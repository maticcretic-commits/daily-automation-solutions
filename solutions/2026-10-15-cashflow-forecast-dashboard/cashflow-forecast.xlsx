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164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F3E0"/>
        </patternFill>
      </fill>
    </dxf>
    <dxf>
      <fill>
        <patternFill patternType="solid">
          <fgColor rgb="00FCE4E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balance — history vs forecast</a:t>
            </a:r>
          </a:p>
        </rich>
      </tx>
    </title>
    <plotArea>
      <lineChart>
        <grouping val="standard"/>
        <ser>
          <idx val="0"/>
          <order val="0"/>
          <tx>
            <v>History closing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'History'!$O$2:$O$27</f>
            </numRef>
          </val>
        </ser>
        <ser>
          <idx val="1"/>
          <order val="1"/>
          <tx>
            <v>Forecast closing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'Forecast'!$F$2:$F$14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inflow vs outflow (history)</a:t>
            </a:r>
          </a:p>
        </rich>
      </tx>
    </title>
    <plotArea>
      <barChart>
        <barDir val="col"/>
        <grouping val="clustered"/>
        <ser>
          <idx val="0"/>
          <order val="0"/>
          <tx>
            <v>Inflow</v>
          </tx>
          <spPr>
            <a:ln xmlns:a="http://schemas.openxmlformats.org/drawingml/2006/main">
              <a:prstDash val="solid"/>
            </a:ln>
          </spPr>
          <val>
            <numRef>
              <f>'History'!$E$2:$E$27</f>
            </numRef>
          </val>
        </ser>
        <ser>
          <idx val="1"/>
          <order val="1"/>
          <tx>
            <v>Outflow</v>
          </tx>
          <spPr>
            <a:ln xmlns:a="http://schemas.openxmlformats.org/drawingml/2006/main">
              <a:prstDash val="solid"/>
            </a:ln>
          </spPr>
          <val>
            <numRef>
              <f>'History'!$L$2:$L$27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Outflow mix — 26 weeks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'Dashboard'!$K$4:$K$9</f>
            </numRef>
          </cat>
          <val>
            <numRef>
              <f>'Dashboard'!$L$4:$L$9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FlowForge — 13-week cash-flow forecast + budget-variance dashboard</t>
        </is>
      </c>
    </row>
    <row r="2">
      <c r="A2" s="2" t="inlineStr">
        <is>
          <t>Fictional demo data: 'Patna Traders Pvt. Ltd.', FMCG wholesale distributor. All values in INR. Every money figure on History/Forecast is a live formula — nothing is hard-coded, so one assumption change re-flows the whole model.</t>
        </is>
      </c>
    </row>
    <row r="3" ht="22" customHeight="1">
      <c r="A3" s="3" t="inlineStr">
        <is>
          <t>HOW TO USE</t>
        </is>
      </c>
    </row>
    <row r="4">
      <c r="A4" s="2" t="inlineStr">
        <is>
          <t>1. Edit the yellow cells on Assumptions (growth rates, cash floor, openings).</t>
        </is>
      </c>
    </row>
    <row r="5">
      <c r="A5" s="2" t="inlineStr">
        <is>
          <t>2. Paste new weekly actuals into History columns B–D and F–K (values only); totals, net, balances, variances and alerts are all formulas and extend automatically.</t>
        </is>
      </c>
    </row>
    <row r="6">
      <c r="A6" s="2" t="inlineStr">
        <is>
          <t>3. Forecast re-projects from the trailing-4-week average of History plus your growth assumptions. Weeks under the cash floor are flagged in red.</t>
        </is>
      </c>
    </row>
    <row r="7">
      <c r="A7" s="2" t="inlineStr">
        <is>
          <t>4. Dashboard KPIs and all three charts read live from History/Forecast.</t>
        </is>
      </c>
    </row>
    <row r="8">
      <c r="A8" s="2" t="inlineStr">
        <is>
          <t>5. Checks must all read PASS after any edit — a FAIL means a formula was overwritten.</t>
        </is>
      </c>
    </row>
    <row r="9">
      <c r="A9" s="2" t="inlineStr">
        <is>
          <t>WEEKLY ROUTINE (15 min): paste actuals → check Report for the narrative → act on any BELOW FLOOR or ⚠ Review flags → re-export.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history_opening_balance</t>
        </is>
      </c>
      <c r="B2" s="5" t="n">
        <v>4250000</v>
      </c>
      <c r="C2" t="inlineStr">
        <is>
          <t>Opening bank balance at start of W-25</t>
        </is>
      </c>
    </row>
    <row r="3">
      <c r="A3" t="inlineStr">
        <is>
          <t>forecast_opening_balance</t>
        </is>
      </c>
      <c r="B3" s="5" t="n">
        <v>5094820</v>
      </c>
      <c r="C3" t="inlineStr">
        <is>
          <t>Opening balance for F1 (= W0 closing)</t>
        </is>
      </c>
    </row>
    <row r="4">
      <c r="A4" t="inlineStr">
        <is>
          <t>inflow_growth</t>
        </is>
      </c>
      <c r="B4" s="6" t="n">
        <v>0.02</v>
      </c>
      <c r="C4" t="inlineStr">
        <is>
          <t>Weekly inflow growth vs trailing-4-week average</t>
        </is>
      </c>
    </row>
    <row r="5">
      <c r="A5" t="inlineStr">
        <is>
          <t>outflow_growth</t>
        </is>
      </c>
      <c r="B5" s="6" t="n">
        <v>0.015</v>
      </c>
      <c r="C5" t="inlineStr">
        <is>
          <t>Weekly outflow growth vs trailing-4-week average</t>
        </is>
      </c>
    </row>
    <row r="6">
      <c r="A6" t="inlineStr">
        <is>
          <t>cash_floor</t>
        </is>
      </c>
      <c r="B6" s="5" t="n">
        <v>500000</v>
      </c>
      <c r="C6" t="inlineStr">
        <is>
          <t>Minimum safe cash — forecast weeks below this are flagged</t>
        </is>
      </c>
    </row>
    <row r="7">
      <c r="A7" t="inlineStr">
        <is>
          <t>trailing_weeks</t>
        </is>
      </c>
      <c r="B7" s="7" t="n">
        <v>4</v>
      </c>
      <c r="C7" t="inlineStr">
        <is>
          <t>Weeks of history averaged for the run-rate forecast</t>
        </is>
      </c>
    </row>
    <row r="8">
      <c r="A8" t="inlineStr">
        <is>
          <t>variance_alert_pct</t>
        </is>
      </c>
      <c r="B8" s="7" t="n">
        <v>10</v>
      </c>
      <c r="C8" t="inlineStr">
        <is>
          <t>Budget-vs-actual variance % that triggers a review 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4" t="inlineStr">
        <is>
          <t>Week</t>
        </is>
      </c>
      <c r="B1" s="4" t="inlineStr">
        <is>
          <t>Sales Receipts</t>
        </is>
      </c>
      <c r="C1" s="4" t="inlineStr">
        <is>
          <t>Gst Refund</t>
        </is>
      </c>
      <c r="D1" s="4" t="inlineStr">
        <is>
          <t>Other Income</t>
        </is>
      </c>
      <c r="E1" s="4" t="inlineStr">
        <is>
          <t>Total Inflow</t>
        </is>
      </c>
      <c r="F1" s="4" t="inlineStr">
        <is>
          <t>Supplier Payments</t>
        </is>
      </c>
      <c r="G1" s="4" t="inlineStr">
        <is>
          <t>Payroll</t>
        </is>
      </c>
      <c r="H1" s="4" t="inlineStr">
        <is>
          <t>Rent</t>
        </is>
      </c>
      <c r="I1" s="4" t="inlineStr">
        <is>
          <t>Logistics</t>
        </is>
      </c>
      <c r="J1" s="4" t="inlineStr">
        <is>
          <t>Gst Tax</t>
        </is>
      </c>
      <c r="K1" s="4" t="inlineStr">
        <is>
          <t>Loan Emi</t>
        </is>
      </c>
      <c r="L1" s="4" t="inlineStr">
        <is>
          <t>Total Outflow</t>
        </is>
      </c>
      <c r="M1" s="4" t="inlineStr">
        <is>
          <t>Net</t>
        </is>
      </c>
      <c r="N1" s="4" t="inlineStr">
        <is>
          <t>Opening</t>
        </is>
      </c>
      <c r="O1" s="4" t="inlineStr">
        <is>
          <t>Closing</t>
        </is>
      </c>
      <c r="P1" s="4" t="inlineStr">
        <is>
          <t>Budget Inflow</t>
        </is>
      </c>
      <c r="Q1" s="4" t="inlineStr">
        <is>
          <t>Budget Outflow</t>
        </is>
      </c>
      <c r="R1" s="4" t="inlineStr">
        <is>
          <t>Inflow Var %</t>
        </is>
      </c>
      <c r="S1" s="4" t="inlineStr">
        <is>
          <t>Outflow Var %</t>
        </is>
      </c>
      <c r="T1" s="4" t="inlineStr">
        <is>
          <t>Alert</t>
        </is>
      </c>
    </row>
    <row r="2">
      <c r="A2" t="inlineStr">
        <is>
          <t>W-25</t>
        </is>
      </c>
      <c r="B2" s="8" t="n">
        <v>844022</v>
      </c>
      <c r="C2" s="8" t="n">
        <v>45000</v>
      </c>
      <c r="D2" s="8" t="n">
        <v>2136</v>
      </c>
      <c r="E2" s="8">
        <f>SUM(B2:D2)</f>
        <v/>
      </c>
      <c r="F2" s="8" t="n">
        <v>657357</v>
      </c>
      <c r="G2" s="8" t="n">
        <v>116239</v>
      </c>
      <c r="H2" s="8" t="n">
        <v>25000</v>
      </c>
      <c r="I2" s="8" t="n">
        <v>40717</v>
      </c>
      <c r="J2" s="8" t="n">
        <v>0</v>
      </c>
      <c r="K2" s="8" t="n">
        <v>0</v>
      </c>
      <c r="L2" s="8">
        <f>SUM(F2:K2)</f>
        <v/>
      </c>
      <c r="M2" s="8">
        <f>E2-L2</f>
        <v/>
      </c>
      <c r="N2" s="8">
        <f>Assumptions!$B$2</f>
        <v/>
      </c>
      <c r="O2" s="8">
        <f>N2+M2</f>
        <v/>
      </c>
      <c r="P2" s="8" t="n">
        <v>950037</v>
      </c>
      <c r="Q2" s="8" t="n">
        <v>788950</v>
      </c>
      <c r="R2" s="9">
        <f>IF(P2=0,0,(E2-P2)/P2)</f>
        <v/>
      </c>
      <c r="S2" s="9">
        <f>IF(Q2=0,0,(L2-Q2)/Q2)</f>
        <v/>
      </c>
      <c r="T2">
        <f>IF(OR(ABS(R2)&gt;Assumptions!$B$8/100,ABS(S2)&gt;Assumptions!$B$8/100),"⚠ Review","")</f>
        <v/>
      </c>
    </row>
    <row r="3">
      <c r="A3" t="inlineStr">
        <is>
          <t>W-24</t>
        </is>
      </c>
      <c r="B3" s="8" t="n">
        <v>1004307</v>
      </c>
      <c r="C3" s="8" t="n">
        <v>72000</v>
      </c>
      <c r="D3" s="8" t="n">
        <v>10483</v>
      </c>
      <c r="E3" s="8">
        <f>SUM(B3:D3)</f>
        <v/>
      </c>
      <c r="F3" s="8" t="n">
        <v>801072</v>
      </c>
      <c r="G3" s="8" t="n">
        <v>121049</v>
      </c>
      <c r="H3" s="8" t="n">
        <v>25000</v>
      </c>
      <c r="I3" s="8" t="n">
        <v>47143</v>
      </c>
      <c r="J3" s="8" t="n">
        <v>158437</v>
      </c>
      <c r="K3" s="8" t="n">
        <v>0</v>
      </c>
      <c r="L3" s="8">
        <f>SUM(F3:K3)</f>
        <v/>
      </c>
      <c r="M3" s="8">
        <f>E3-L3</f>
        <v/>
      </c>
      <c r="N3" s="8">
        <f>O2</f>
        <v/>
      </c>
      <c r="O3" s="8">
        <f>N3+M3</f>
        <v/>
      </c>
      <c r="P3" s="8" t="n">
        <v>941168</v>
      </c>
      <c r="Q3" s="8" t="n">
        <v>798409</v>
      </c>
      <c r="R3" s="9">
        <f>IF(P3=0,0,(E3-P3)/P3)</f>
        <v/>
      </c>
      <c r="S3" s="9">
        <f>IF(Q3=0,0,(L3-Q3)/Q3)</f>
        <v/>
      </c>
      <c r="T3">
        <f>IF(OR(ABS(R3)&gt;Assumptions!$B$8/100,ABS(S3)&gt;Assumptions!$B$8/100),"⚠ Review","")</f>
        <v/>
      </c>
    </row>
    <row r="4">
      <c r="A4" t="inlineStr">
        <is>
          <t>W-23</t>
        </is>
      </c>
      <c r="B4" s="8" t="n">
        <v>992295</v>
      </c>
      <c r="C4" s="8" t="n">
        <v>45000</v>
      </c>
      <c r="D4" s="8" t="n">
        <v>10926</v>
      </c>
      <c r="E4" s="8">
        <f>SUM(B4:D4)</f>
        <v/>
      </c>
      <c r="F4" s="8" t="n">
        <v>782675</v>
      </c>
      <c r="G4" s="8" t="n">
        <v>123910</v>
      </c>
      <c r="H4" s="8" t="n">
        <v>25000</v>
      </c>
      <c r="I4" s="8" t="n">
        <v>45724</v>
      </c>
      <c r="J4" s="8" t="n">
        <v>0</v>
      </c>
      <c r="K4" s="8" t="n">
        <v>78000</v>
      </c>
      <c r="L4" s="8">
        <f>SUM(F4:K4)</f>
        <v/>
      </c>
      <c r="M4" s="8">
        <f>E4-L4</f>
        <v/>
      </c>
      <c r="N4" s="8">
        <f>O3</f>
        <v/>
      </c>
      <c r="O4" s="8">
        <f>N4+M4</f>
        <v/>
      </c>
      <c r="P4" s="8" t="n">
        <v>918505</v>
      </c>
      <c r="Q4" s="8" t="n">
        <v>790198</v>
      </c>
      <c r="R4" s="9">
        <f>IF(P4=0,0,(E4-P4)/P4)</f>
        <v/>
      </c>
      <c r="S4" s="9">
        <f>IF(Q4=0,0,(L4-Q4)/Q4)</f>
        <v/>
      </c>
      <c r="T4">
        <f>IF(OR(ABS(R4)&gt;Assumptions!$B$8/100,ABS(S4)&gt;Assumptions!$B$8/100),"⚠ Review","")</f>
        <v/>
      </c>
    </row>
    <row r="5">
      <c r="A5" t="inlineStr">
        <is>
          <t>W-22</t>
        </is>
      </c>
      <c r="B5" s="8" t="n">
        <v>963741</v>
      </c>
      <c r="C5" s="8" t="n">
        <v>0</v>
      </c>
      <c r="D5" s="8" t="n">
        <v>6566</v>
      </c>
      <c r="E5" s="8">
        <f>SUM(B5:D5)</f>
        <v/>
      </c>
      <c r="F5" s="8" t="n">
        <v>762913</v>
      </c>
      <c r="G5" s="8" t="n">
        <v>118160</v>
      </c>
      <c r="H5" s="8" t="n">
        <v>25000</v>
      </c>
      <c r="I5" s="8" t="n">
        <v>43471</v>
      </c>
      <c r="J5" s="8" t="n">
        <v>0</v>
      </c>
      <c r="K5" s="8" t="n">
        <v>0</v>
      </c>
      <c r="L5" s="8">
        <f>SUM(F5:K5)</f>
        <v/>
      </c>
      <c r="M5" s="8">
        <f>E5-L5</f>
        <v/>
      </c>
      <c r="N5" s="8">
        <f>O4</f>
        <v/>
      </c>
      <c r="O5" s="8">
        <f>N5+M5</f>
        <v/>
      </c>
      <c r="P5" s="8" t="n">
        <v>933968</v>
      </c>
      <c r="Q5" s="8" t="n">
        <v>815179</v>
      </c>
      <c r="R5" s="9">
        <f>IF(P5=0,0,(E5-P5)/P5)</f>
        <v/>
      </c>
      <c r="S5" s="9">
        <f>IF(Q5=0,0,(L5-Q5)/Q5)</f>
        <v/>
      </c>
      <c r="T5">
        <f>IF(OR(ABS(R5)&gt;Assumptions!$B$8/100,ABS(S5)&gt;Assumptions!$B$8/100),"⚠ Review","")</f>
        <v/>
      </c>
    </row>
    <row r="6">
      <c r="A6" t="inlineStr">
        <is>
          <t>W-21</t>
        </is>
      </c>
      <c r="B6" s="8" t="n">
        <v>835321</v>
      </c>
      <c r="C6" s="8" t="n">
        <v>0</v>
      </c>
      <c r="D6" s="8" t="n">
        <v>8989</v>
      </c>
      <c r="E6" s="8">
        <f>SUM(B6:D6)</f>
        <v/>
      </c>
      <c r="F6" s="8" t="n">
        <v>610640</v>
      </c>
      <c r="G6" s="8" t="n">
        <v>123089</v>
      </c>
      <c r="H6" s="8" t="n">
        <v>25000</v>
      </c>
      <c r="I6" s="8" t="n">
        <v>47043</v>
      </c>
      <c r="J6" s="8" t="n">
        <v>0</v>
      </c>
      <c r="K6" s="8" t="n">
        <v>0</v>
      </c>
      <c r="L6" s="8">
        <f>SUM(F6:K6)</f>
        <v/>
      </c>
      <c r="M6" s="8">
        <f>E6-L6</f>
        <v/>
      </c>
      <c r="N6" s="8">
        <f>O5</f>
        <v/>
      </c>
      <c r="O6" s="8">
        <f>N6+M6</f>
        <v/>
      </c>
      <c r="P6" s="8" t="n">
        <v>938899</v>
      </c>
      <c r="Q6" s="8" t="n">
        <v>813075</v>
      </c>
      <c r="R6" s="9">
        <f>IF(P6=0,0,(E6-P6)/P6)</f>
        <v/>
      </c>
      <c r="S6" s="9">
        <f>IF(Q6=0,0,(L6-Q6)/Q6)</f>
        <v/>
      </c>
      <c r="T6">
        <f>IF(OR(ABS(R6)&gt;Assumptions!$B$8/100,ABS(S6)&gt;Assumptions!$B$8/100),"⚠ Review","")</f>
        <v/>
      </c>
    </row>
    <row r="7">
      <c r="A7" t="inlineStr">
        <is>
          <t>W-20</t>
        </is>
      </c>
      <c r="B7" s="8" t="n">
        <v>943906</v>
      </c>
      <c r="C7" s="8" t="n">
        <v>0</v>
      </c>
      <c r="D7" s="8" t="n">
        <v>11378</v>
      </c>
      <c r="E7" s="8">
        <f>SUM(B7:D7)</f>
        <v/>
      </c>
      <c r="F7" s="8" t="n">
        <v>739123</v>
      </c>
      <c r="G7" s="8" t="n">
        <v>120268</v>
      </c>
      <c r="H7" s="8" t="n">
        <v>25000</v>
      </c>
      <c r="I7" s="8" t="n">
        <v>51403</v>
      </c>
      <c r="J7" s="8" t="n">
        <v>131656</v>
      </c>
      <c r="K7" s="8" t="n">
        <v>0</v>
      </c>
      <c r="L7" s="8">
        <f>SUM(F7:K7)</f>
        <v/>
      </c>
      <c r="M7" s="8">
        <f>E7-L7</f>
        <v/>
      </c>
      <c r="N7" s="8">
        <f>O6</f>
        <v/>
      </c>
      <c r="O7" s="8">
        <f>N7+M7</f>
        <v/>
      </c>
      <c r="P7" s="8" t="n">
        <v>947080</v>
      </c>
      <c r="Q7" s="8" t="n">
        <v>801264</v>
      </c>
      <c r="R7" s="9">
        <f>IF(P7=0,0,(E7-P7)/P7)</f>
        <v/>
      </c>
      <c r="S7" s="9">
        <f>IF(Q7=0,0,(L7-Q7)/Q7)</f>
        <v/>
      </c>
      <c r="T7">
        <f>IF(OR(ABS(R7)&gt;Assumptions!$B$8/100,ABS(S7)&gt;Assumptions!$B$8/100),"⚠ Review","")</f>
        <v/>
      </c>
    </row>
    <row r="8">
      <c r="A8" t="inlineStr">
        <is>
          <t>W-19</t>
        </is>
      </c>
      <c r="B8" s="8" t="n">
        <v>946879</v>
      </c>
      <c r="C8" s="8" t="n">
        <v>45000</v>
      </c>
      <c r="D8" s="8" t="n">
        <v>14282</v>
      </c>
      <c r="E8" s="8">
        <f>SUM(B8:D8)</f>
        <v/>
      </c>
      <c r="F8" s="8" t="n">
        <v>707668</v>
      </c>
      <c r="G8" s="8" t="n">
        <v>120657</v>
      </c>
      <c r="H8" s="8" t="n">
        <v>25000</v>
      </c>
      <c r="I8" s="8" t="n">
        <v>47964</v>
      </c>
      <c r="J8" s="8" t="n">
        <v>0</v>
      </c>
      <c r="K8" s="8" t="n">
        <v>78000</v>
      </c>
      <c r="L8" s="8">
        <f>SUM(F8:K8)</f>
        <v/>
      </c>
      <c r="M8" s="8">
        <f>E8-L8</f>
        <v/>
      </c>
      <c r="N8" s="8">
        <f>O7</f>
        <v/>
      </c>
      <c r="O8" s="8">
        <f>N8+M8</f>
        <v/>
      </c>
      <c r="P8" s="8" t="n">
        <v>926862</v>
      </c>
      <c r="Q8" s="8" t="n">
        <v>813686</v>
      </c>
      <c r="R8" s="9">
        <f>IF(P8=0,0,(E8-P8)/P8)</f>
        <v/>
      </c>
      <c r="S8" s="9">
        <f>IF(Q8=0,0,(L8-Q8)/Q8)</f>
        <v/>
      </c>
      <c r="T8">
        <f>IF(OR(ABS(R8)&gt;Assumptions!$B$8/100,ABS(S8)&gt;Assumptions!$B$8/100),"⚠ Review","")</f>
        <v/>
      </c>
    </row>
    <row r="9">
      <c r="A9" t="inlineStr">
        <is>
          <t>W-18</t>
        </is>
      </c>
      <c r="B9" s="8" t="n">
        <v>1077818</v>
      </c>
      <c r="C9" s="8" t="n">
        <v>45000</v>
      </c>
      <c r="D9" s="8" t="n">
        <v>3736</v>
      </c>
      <c r="E9" s="8">
        <f>SUM(B9:D9)</f>
        <v/>
      </c>
      <c r="F9" s="8" t="n">
        <v>854547</v>
      </c>
      <c r="G9" s="8" t="n">
        <v>122601</v>
      </c>
      <c r="H9" s="8" t="n">
        <v>25000</v>
      </c>
      <c r="I9" s="8" t="n">
        <v>39368</v>
      </c>
      <c r="J9" s="8" t="n">
        <v>0</v>
      </c>
      <c r="K9" s="8" t="n">
        <v>0</v>
      </c>
      <c r="L9" s="8">
        <f>SUM(F9:K9)</f>
        <v/>
      </c>
      <c r="M9" s="8">
        <f>E9-L9</f>
        <v/>
      </c>
      <c r="N9" s="8">
        <f>O8</f>
        <v/>
      </c>
      <c r="O9" s="8">
        <f>N9+M9</f>
        <v/>
      </c>
      <c r="P9" s="8" t="n">
        <v>911093</v>
      </c>
      <c r="Q9" s="8" t="n">
        <v>827209</v>
      </c>
      <c r="R9" s="9">
        <f>IF(P9=0,0,(E9-P9)/P9)</f>
        <v/>
      </c>
      <c r="S9" s="9">
        <f>IF(Q9=0,0,(L9-Q9)/Q9)</f>
        <v/>
      </c>
      <c r="T9">
        <f>IF(OR(ABS(R9)&gt;Assumptions!$B$8/100,ABS(S9)&gt;Assumptions!$B$8/100),"⚠ Review","")</f>
        <v/>
      </c>
    </row>
    <row r="10">
      <c r="A10" t="inlineStr">
        <is>
          <t>W-17</t>
        </is>
      </c>
      <c r="B10" s="8" t="n">
        <v>937373</v>
      </c>
      <c r="C10" s="8" t="n">
        <v>0</v>
      </c>
      <c r="D10" s="8" t="n">
        <v>13074</v>
      </c>
      <c r="E10" s="8">
        <f>SUM(B10:D10)</f>
        <v/>
      </c>
      <c r="F10" s="8" t="n">
        <v>683884</v>
      </c>
      <c r="G10" s="8" t="n">
        <v>121601</v>
      </c>
      <c r="H10" s="8" t="n">
        <v>25000</v>
      </c>
      <c r="I10" s="8" t="n">
        <v>44522</v>
      </c>
      <c r="J10" s="8" t="n">
        <v>0</v>
      </c>
      <c r="K10" s="8" t="n">
        <v>0</v>
      </c>
      <c r="L10" s="8">
        <f>SUM(F10:K10)</f>
        <v/>
      </c>
      <c r="M10" s="8">
        <f>E10-L10</f>
        <v/>
      </c>
      <c r="N10" s="8">
        <f>O9</f>
        <v/>
      </c>
      <c r="O10" s="8">
        <f>N10+M10</f>
        <v/>
      </c>
      <c r="P10" s="8" t="n">
        <v>934727</v>
      </c>
      <c r="Q10" s="8" t="n">
        <v>830593</v>
      </c>
      <c r="R10" s="9">
        <f>IF(P10=0,0,(E10-P10)/P10)</f>
        <v/>
      </c>
      <c r="S10" s="9">
        <f>IF(Q10=0,0,(L10-Q10)/Q10)</f>
        <v/>
      </c>
      <c r="T10">
        <f>IF(OR(ABS(R10)&gt;Assumptions!$B$8/100,ABS(S10)&gt;Assumptions!$B$8/100),"⚠ Review","")</f>
        <v/>
      </c>
    </row>
    <row r="11">
      <c r="A11" t="inlineStr">
        <is>
          <t>W-16</t>
        </is>
      </c>
      <c r="B11" s="8" t="n">
        <v>896021</v>
      </c>
      <c r="C11" s="8" t="n">
        <v>30000</v>
      </c>
      <c r="D11" s="8" t="n">
        <v>9568</v>
      </c>
      <c r="E11" s="8">
        <f>SUM(B11:D11)</f>
        <v/>
      </c>
      <c r="F11" s="8" t="n">
        <v>623780</v>
      </c>
      <c r="G11" s="8" t="n">
        <v>119790</v>
      </c>
      <c r="H11" s="8" t="n">
        <v>25000</v>
      </c>
      <c r="I11" s="8" t="n">
        <v>47748</v>
      </c>
      <c r="J11" s="8" t="n">
        <v>109730</v>
      </c>
      <c r="K11" s="8" t="n">
        <v>0</v>
      </c>
      <c r="L11" s="8">
        <f>SUM(F11:K11)</f>
        <v/>
      </c>
      <c r="M11" s="8">
        <f>E11-L11</f>
        <v/>
      </c>
      <c r="N11" s="8">
        <f>O10</f>
        <v/>
      </c>
      <c r="O11" s="8">
        <f>N11+M11</f>
        <v/>
      </c>
      <c r="P11" s="8" t="n">
        <v>912402</v>
      </c>
      <c r="Q11" s="8" t="n">
        <v>797232</v>
      </c>
      <c r="R11" s="9">
        <f>IF(P11=0,0,(E11-P11)/P11)</f>
        <v/>
      </c>
      <c r="S11" s="9">
        <f>IF(Q11=0,0,(L11-Q11)/Q11)</f>
        <v/>
      </c>
      <c r="T11">
        <f>IF(OR(ABS(R11)&gt;Assumptions!$B$8/100,ABS(S11)&gt;Assumptions!$B$8/100),"⚠ Review","")</f>
        <v/>
      </c>
    </row>
    <row r="12">
      <c r="A12" t="inlineStr">
        <is>
          <t>W-15</t>
        </is>
      </c>
      <c r="B12" s="8" t="n">
        <v>1042308</v>
      </c>
      <c r="C12" s="8" t="n">
        <v>0</v>
      </c>
      <c r="D12" s="8" t="n">
        <v>11719</v>
      </c>
      <c r="E12" s="8">
        <f>SUM(B12:D12)</f>
        <v/>
      </c>
      <c r="F12" s="8" t="n">
        <v>817634</v>
      </c>
      <c r="G12" s="8" t="n">
        <v>120605</v>
      </c>
      <c r="H12" s="8" t="n">
        <v>25000</v>
      </c>
      <c r="I12" s="8" t="n">
        <v>50580</v>
      </c>
      <c r="J12" s="8" t="n">
        <v>0</v>
      </c>
      <c r="K12" s="8" t="n">
        <v>78000</v>
      </c>
      <c r="L12" s="8">
        <f>SUM(F12:K12)</f>
        <v/>
      </c>
      <c r="M12" s="8">
        <f>E12-L12</f>
        <v/>
      </c>
      <c r="N12" s="8">
        <f>O11</f>
        <v/>
      </c>
      <c r="O12" s="8">
        <f>N12+M12</f>
        <v/>
      </c>
      <c r="P12" s="8" t="n">
        <v>909202</v>
      </c>
      <c r="Q12" s="8" t="n">
        <v>789772</v>
      </c>
      <c r="R12" s="9">
        <f>IF(P12=0,0,(E12-P12)/P12)</f>
        <v/>
      </c>
      <c r="S12" s="9">
        <f>IF(Q12=0,0,(L12-Q12)/Q12)</f>
        <v/>
      </c>
      <c r="T12">
        <f>IF(OR(ABS(R12)&gt;Assumptions!$B$8/100,ABS(S12)&gt;Assumptions!$B$8/100),"⚠ Review","")</f>
        <v/>
      </c>
    </row>
    <row r="13">
      <c r="A13" t="inlineStr">
        <is>
          <t>W-14</t>
        </is>
      </c>
      <c r="B13" s="8" t="n">
        <v>1091104</v>
      </c>
      <c r="C13" s="8" t="n">
        <v>0</v>
      </c>
      <c r="D13" s="8" t="n">
        <v>11220</v>
      </c>
      <c r="E13" s="8">
        <f>SUM(B13:D13)</f>
        <v/>
      </c>
      <c r="F13" s="8" t="n">
        <v>797191</v>
      </c>
      <c r="G13" s="8" t="n">
        <v>123629</v>
      </c>
      <c r="H13" s="8" t="n">
        <v>25000</v>
      </c>
      <c r="I13" s="8" t="n">
        <v>51009</v>
      </c>
      <c r="J13" s="8" t="n">
        <v>0</v>
      </c>
      <c r="K13" s="8" t="n">
        <v>0</v>
      </c>
      <c r="L13" s="8">
        <f>SUM(F13:K13)</f>
        <v/>
      </c>
      <c r="M13" s="8">
        <f>E13-L13</f>
        <v/>
      </c>
      <c r="N13" s="8">
        <f>O12</f>
        <v/>
      </c>
      <c r="O13" s="8">
        <f>N13+M13</f>
        <v/>
      </c>
      <c r="P13" s="8" t="n">
        <v>921524</v>
      </c>
      <c r="Q13" s="8" t="n">
        <v>826763</v>
      </c>
      <c r="R13" s="9">
        <f>IF(P13=0,0,(E13-P13)/P13)</f>
        <v/>
      </c>
      <c r="S13" s="9">
        <f>IF(Q13=0,0,(L13-Q13)/Q13)</f>
        <v/>
      </c>
      <c r="T13">
        <f>IF(OR(ABS(R13)&gt;Assumptions!$B$8/100,ABS(S13)&gt;Assumptions!$B$8/100),"⚠ Review","")</f>
        <v/>
      </c>
    </row>
    <row r="14">
      <c r="A14" t="inlineStr">
        <is>
          <t>W-13</t>
        </is>
      </c>
      <c r="B14" s="8" t="n">
        <v>1000159</v>
      </c>
      <c r="C14" s="8" t="n">
        <v>0</v>
      </c>
      <c r="D14" s="8" t="n">
        <v>3465</v>
      </c>
      <c r="E14" s="8">
        <f>SUM(B14:D14)</f>
        <v/>
      </c>
      <c r="F14" s="8" t="n">
        <v>786720</v>
      </c>
      <c r="G14" s="8" t="n">
        <v>122499</v>
      </c>
      <c r="H14" s="8" t="n">
        <v>25000</v>
      </c>
      <c r="I14" s="8" t="n">
        <v>47129</v>
      </c>
      <c r="J14" s="8" t="n">
        <v>0</v>
      </c>
      <c r="K14" s="8" t="n">
        <v>0</v>
      </c>
      <c r="L14" s="8">
        <f>SUM(F14:K14)</f>
        <v/>
      </c>
      <c r="M14" s="8">
        <f>E14-L14</f>
        <v/>
      </c>
      <c r="N14" s="8">
        <f>O13</f>
        <v/>
      </c>
      <c r="O14" s="8">
        <f>N14+M14</f>
        <v/>
      </c>
      <c r="P14" s="8" t="n">
        <v>907523</v>
      </c>
      <c r="Q14" s="8" t="n">
        <v>797251</v>
      </c>
      <c r="R14" s="9">
        <f>IF(P14=0,0,(E14-P14)/P14)</f>
        <v/>
      </c>
      <c r="S14" s="9">
        <f>IF(Q14=0,0,(L14-Q14)/Q14)</f>
        <v/>
      </c>
      <c r="T14">
        <f>IF(OR(ABS(R14)&gt;Assumptions!$B$8/100,ABS(S14)&gt;Assumptions!$B$8/100),"⚠ Review","")</f>
        <v/>
      </c>
    </row>
    <row r="15">
      <c r="A15" t="inlineStr">
        <is>
          <t>W-12</t>
        </is>
      </c>
      <c r="B15" s="8" t="n">
        <v>886058</v>
      </c>
      <c r="C15" s="8" t="n">
        <v>72000</v>
      </c>
      <c r="D15" s="8" t="n">
        <v>14743</v>
      </c>
      <c r="E15" s="8">
        <f>SUM(B15:D15)</f>
        <v/>
      </c>
      <c r="F15" s="8" t="n">
        <v>612468</v>
      </c>
      <c r="G15" s="8" t="n">
        <v>122448</v>
      </c>
      <c r="H15" s="8" t="n">
        <v>25000</v>
      </c>
      <c r="I15" s="8" t="n">
        <v>51039</v>
      </c>
      <c r="J15" s="8" t="n">
        <v>98721</v>
      </c>
      <c r="K15" s="8" t="n">
        <v>0</v>
      </c>
      <c r="L15" s="8">
        <f>SUM(F15:K15)</f>
        <v/>
      </c>
      <c r="M15" s="8">
        <f>E15-L15</f>
        <v/>
      </c>
      <c r="N15" s="8">
        <f>O14</f>
        <v/>
      </c>
      <c r="O15" s="8">
        <f>N15+M15</f>
        <v/>
      </c>
      <c r="P15" s="8" t="n">
        <v>912431</v>
      </c>
      <c r="Q15" s="8" t="n">
        <v>794436</v>
      </c>
      <c r="R15" s="9">
        <f>IF(P15=0,0,(E15-P15)/P15)</f>
        <v/>
      </c>
      <c r="S15" s="9">
        <f>IF(Q15=0,0,(L15-Q15)/Q15)</f>
        <v/>
      </c>
      <c r="T15">
        <f>IF(OR(ABS(R15)&gt;Assumptions!$B$8/100,ABS(S15)&gt;Assumptions!$B$8/100),"⚠ Review","")</f>
        <v/>
      </c>
    </row>
    <row r="16">
      <c r="A16" t="inlineStr">
        <is>
          <t>W-11</t>
        </is>
      </c>
      <c r="B16" s="8" t="n">
        <v>954147</v>
      </c>
      <c r="C16" s="8" t="n">
        <v>0</v>
      </c>
      <c r="D16" s="8" t="n">
        <v>3513</v>
      </c>
      <c r="E16" s="8">
        <f>SUM(B16:D16)</f>
        <v/>
      </c>
      <c r="F16" s="8" t="n">
        <v>658204</v>
      </c>
      <c r="G16" s="8" t="n">
        <v>121043</v>
      </c>
      <c r="H16" s="8" t="n">
        <v>25000</v>
      </c>
      <c r="I16" s="8" t="n">
        <v>42121</v>
      </c>
      <c r="J16" s="8" t="n">
        <v>0</v>
      </c>
      <c r="K16" s="8" t="n">
        <v>78000</v>
      </c>
      <c r="L16" s="8">
        <f>SUM(F16:K16)</f>
        <v/>
      </c>
      <c r="M16" s="8">
        <f>E16-L16</f>
        <v/>
      </c>
      <c r="N16" s="8">
        <f>O15</f>
        <v/>
      </c>
      <c r="O16" s="8">
        <f>N16+M16</f>
        <v/>
      </c>
      <c r="P16" s="8" t="n">
        <v>909819</v>
      </c>
      <c r="Q16" s="8" t="n">
        <v>800914</v>
      </c>
      <c r="R16" s="9">
        <f>IF(P16=0,0,(E16-P16)/P16)</f>
        <v/>
      </c>
      <c r="S16" s="9">
        <f>IF(Q16=0,0,(L16-Q16)/Q16)</f>
        <v/>
      </c>
      <c r="T16">
        <f>IF(OR(ABS(R16)&gt;Assumptions!$B$8/100,ABS(S16)&gt;Assumptions!$B$8/100),"⚠ Review","")</f>
        <v/>
      </c>
    </row>
    <row r="17">
      <c r="A17" t="inlineStr">
        <is>
          <t>W-10</t>
        </is>
      </c>
      <c r="B17" s="8" t="n">
        <v>919291</v>
      </c>
      <c r="C17" s="8" t="n">
        <v>0</v>
      </c>
      <c r="D17" s="8" t="n">
        <v>11508</v>
      </c>
      <c r="E17" s="8">
        <f>SUM(B17:D17)</f>
        <v/>
      </c>
      <c r="F17" s="8" t="n">
        <v>721664</v>
      </c>
      <c r="G17" s="8" t="n">
        <v>120841</v>
      </c>
      <c r="H17" s="8" t="n">
        <v>25000</v>
      </c>
      <c r="I17" s="8" t="n">
        <v>42522</v>
      </c>
      <c r="J17" s="8" t="n">
        <v>0</v>
      </c>
      <c r="K17" s="8" t="n">
        <v>0</v>
      </c>
      <c r="L17" s="8">
        <f>SUM(F17:K17)</f>
        <v/>
      </c>
      <c r="M17" s="8">
        <f>E17-L17</f>
        <v/>
      </c>
      <c r="N17" s="8">
        <f>O16</f>
        <v/>
      </c>
      <c r="O17" s="8">
        <f>N17+M17</f>
        <v/>
      </c>
      <c r="P17" s="8" t="n">
        <v>934564</v>
      </c>
      <c r="Q17" s="8" t="n">
        <v>817844</v>
      </c>
      <c r="R17" s="9">
        <f>IF(P17=0,0,(E17-P17)/P17)</f>
        <v/>
      </c>
      <c r="S17" s="9">
        <f>IF(Q17=0,0,(L17-Q17)/Q17)</f>
        <v/>
      </c>
      <c r="T17">
        <f>IF(OR(ABS(R17)&gt;Assumptions!$B$8/100,ABS(S17)&gt;Assumptions!$B$8/100),"⚠ Review","")</f>
        <v/>
      </c>
    </row>
    <row r="18">
      <c r="A18" t="inlineStr">
        <is>
          <t>W-9</t>
        </is>
      </c>
      <c r="B18" s="8" t="n">
        <v>1015299</v>
      </c>
      <c r="C18" s="8" t="n">
        <v>0</v>
      </c>
      <c r="D18" s="8" t="n">
        <v>10230</v>
      </c>
      <c r="E18" s="8">
        <f>SUM(B18:D18)</f>
        <v/>
      </c>
      <c r="F18" s="8" t="n">
        <v>806821</v>
      </c>
      <c r="G18" s="8" t="n">
        <v>118953</v>
      </c>
      <c r="H18" s="8" t="n">
        <v>25000</v>
      </c>
      <c r="I18" s="8" t="n">
        <v>49374</v>
      </c>
      <c r="J18" s="8" t="n">
        <v>0</v>
      </c>
      <c r="K18" s="8" t="n">
        <v>0</v>
      </c>
      <c r="L18" s="8">
        <f>SUM(F18:K18)</f>
        <v/>
      </c>
      <c r="M18" s="8">
        <f>E18-L18</f>
        <v/>
      </c>
      <c r="N18" s="8">
        <f>O17</f>
        <v/>
      </c>
      <c r="O18" s="8">
        <f>N18+M18</f>
        <v/>
      </c>
      <c r="P18" s="8" t="n">
        <v>904591</v>
      </c>
      <c r="Q18" s="8" t="n">
        <v>805342</v>
      </c>
      <c r="R18" s="9">
        <f>IF(P18=0,0,(E18-P18)/P18)</f>
        <v/>
      </c>
      <c r="S18" s="9">
        <f>IF(Q18=0,0,(L18-Q18)/Q18)</f>
        <v/>
      </c>
      <c r="T18">
        <f>IF(OR(ABS(R18)&gt;Assumptions!$B$8/100,ABS(S18)&gt;Assumptions!$B$8/100),"⚠ Review","")</f>
        <v/>
      </c>
    </row>
    <row r="19">
      <c r="A19" t="inlineStr">
        <is>
          <t>W-8</t>
        </is>
      </c>
      <c r="B19" s="8" t="n">
        <v>981393</v>
      </c>
      <c r="C19" s="8" t="n">
        <v>30000</v>
      </c>
      <c r="D19" s="8" t="n">
        <v>13763</v>
      </c>
      <c r="E19" s="8">
        <f>SUM(B19:D19)</f>
        <v/>
      </c>
      <c r="F19" s="8" t="n">
        <v>684209</v>
      </c>
      <c r="G19" s="8" t="n">
        <v>120900</v>
      </c>
      <c r="H19" s="8" t="n">
        <v>25000</v>
      </c>
      <c r="I19" s="8" t="n">
        <v>48871</v>
      </c>
      <c r="J19" s="8" t="n">
        <v>116372</v>
      </c>
      <c r="K19" s="8" t="n">
        <v>0</v>
      </c>
      <c r="L19" s="8">
        <f>SUM(F19:K19)</f>
        <v/>
      </c>
      <c r="M19" s="8">
        <f>E19-L19</f>
        <v/>
      </c>
      <c r="N19" s="8">
        <f>O18</f>
        <v/>
      </c>
      <c r="O19" s="8">
        <f>N19+M19</f>
        <v/>
      </c>
      <c r="P19" s="8" t="n">
        <v>907271</v>
      </c>
      <c r="Q19" s="8" t="n">
        <v>816838</v>
      </c>
      <c r="R19" s="9">
        <f>IF(P19=0,0,(E19-P19)/P19)</f>
        <v/>
      </c>
      <c r="S19" s="9">
        <f>IF(Q19=0,0,(L19-Q19)/Q19)</f>
        <v/>
      </c>
      <c r="T19">
        <f>IF(OR(ABS(R19)&gt;Assumptions!$B$8/100,ABS(S19)&gt;Assumptions!$B$8/100),"⚠ Review","")</f>
        <v/>
      </c>
    </row>
    <row r="20">
      <c r="A20" t="inlineStr">
        <is>
          <t>W-7</t>
        </is>
      </c>
      <c r="B20" s="8" t="n">
        <v>945451</v>
      </c>
      <c r="C20" s="8" t="n">
        <v>0</v>
      </c>
      <c r="D20" s="8" t="n">
        <v>3893</v>
      </c>
      <c r="E20" s="8">
        <f>SUM(B20:D20)</f>
        <v/>
      </c>
      <c r="F20" s="8" t="n">
        <v>702780</v>
      </c>
      <c r="G20" s="8" t="n">
        <v>119472</v>
      </c>
      <c r="H20" s="8" t="n">
        <v>25000</v>
      </c>
      <c r="I20" s="8" t="n">
        <v>42268</v>
      </c>
      <c r="J20" s="8" t="n">
        <v>0</v>
      </c>
      <c r="K20" s="8" t="n">
        <v>78000</v>
      </c>
      <c r="L20" s="8">
        <f>SUM(F20:K20)</f>
        <v/>
      </c>
      <c r="M20" s="8">
        <f>E20-L20</f>
        <v/>
      </c>
      <c r="N20" s="8">
        <f>O19</f>
        <v/>
      </c>
      <c r="O20" s="8">
        <f>N20+M20</f>
        <v/>
      </c>
      <c r="P20" s="8" t="n">
        <v>947460</v>
      </c>
      <c r="Q20" s="8" t="n">
        <v>813678</v>
      </c>
      <c r="R20" s="9">
        <f>IF(P20=0,0,(E20-P20)/P20)</f>
        <v/>
      </c>
      <c r="S20" s="9">
        <f>IF(Q20=0,0,(L20-Q20)/Q20)</f>
        <v/>
      </c>
      <c r="T20">
        <f>IF(OR(ABS(R20)&gt;Assumptions!$B$8/100,ABS(S20)&gt;Assumptions!$B$8/100),"⚠ Review","")</f>
        <v/>
      </c>
    </row>
    <row r="21">
      <c r="A21" t="inlineStr">
        <is>
          <t>W-6</t>
        </is>
      </c>
      <c r="B21" s="8" t="n">
        <v>1108804</v>
      </c>
      <c r="C21" s="8" t="n">
        <v>0</v>
      </c>
      <c r="D21" s="8" t="n">
        <v>4274</v>
      </c>
      <c r="E21" s="8">
        <f>SUM(B21:D21)</f>
        <v/>
      </c>
      <c r="F21" s="8" t="n">
        <v>843062</v>
      </c>
      <c r="G21" s="8" t="n">
        <v>118932</v>
      </c>
      <c r="H21" s="8" t="n">
        <v>25000</v>
      </c>
      <c r="I21" s="8" t="n">
        <v>43347</v>
      </c>
      <c r="J21" s="8" t="n">
        <v>0</v>
      </c>
      <c r="K21" s="8" t="n">
        <v>0</v>
      </c>
      <c r="L21" s="8">
        <f>SUM(F21:K21)</f>
        <v/>
      </c>
      <c r="M21" s="8">
        <f>E21-L21</f>
        <v/>
      </c>
      <c r="N21" s="8">
        <f>O20</f>
        <v/>
      </c>
      <c r="O21" s="8">
        <f>N21+M21</f>
        <v/>
      </c>
      <c r="P21" s="8" t="n">
        <v>923336</v>
      </c>
      <c r="Q21" s="8" t="n">
        <v>832519</v>
      </c>
      <c r="R21" s="9">
        <f>IF(P21=0,0,(E21-P21)/P21)</f>
        <v/>
      </c>
      <c r="S21" s="9">
        <f>IF(Q21=0,0,(L21-Q21)/Q21)</f>
        <v/>
      </c>
      <c r="T21">
        <f>IF(OR(ABS(R21)&gt;Assumptions!$B$8/100,ABS(S21)&gt;Assumptions!$B$8/100),"⚠ Review","")</f>
        <v/>
      </c>
    </row>
    <row r="22">
      <c r="A22" t="inlineStr">
        <is>
          <t>W-5</t>
        </is>
      </c>
      <c r="B22" s="8" t="n">
        <v>1082739</v>
      </c>
      <c r="C22" s="8" t="n">
        <v>30000</v>
      </c>
      <c r="D22" s="8" t="n">
        <v>6226</v>
      </c>
      <c r="E22" s="8">
        <f>SUM(B22:D22)</f>
        <v/>
      </c>
      <c r="F22" s="8" t="n">
        <v>743243</v>
      </c>
      <c r="G22" s="8" t="n">
        <v>123824</v>
      </c>
      <c r="H22" s="8" t="n">
        <v>25000</v>
      </c>
      <c r="I22" s="8" t="n">
        <v>38467</v>
      </c>
      <c r="J22" s="8" t="n">
        <v>0</v>
      </c>
      <c r="K22" s="8" t="n">
        <v>0</v>
      </c>
      <c r="L22" s="8">
        <f>SUM(F22:K22)</f>
        <v/>
      </c>
      <c r="M22" s="8">
        <f>E22-L22</f>
        <v/>
      </c>
      <c r="N22" s="8">
        <f>O21</f>
        <v/>
      </c>
      <c r="O22" s="8">
        <f>N22+M22</f>
        <v/>
      </c>
      <c r="P22" s="8" t="n">
        <v>950306</v>
      </c>
      <c r="Q22" s="8" t="n">
        <v>830114</v>
      </c>
      <c r="R22" s="9">
        <f>IF(P22=0,0,(E22-P22)/P22)</f>
        <v/>
      </c>
      <c r="S22" s="9">
        <f>IF(Q22=0,0,(L22-Q22)/Q22)</f>
        <v/>
      </c>
      <c r="T22">
        <f>IF(OR(ABS(R22)&gt;Assumptions!$B$8/100,ABS(S22)&gt;Assumptions!$B$8/100),"⚠ Review","")</f>
        <v/>
      </c>
    </row>
    <row r="23">
      <c r="A23" t="inlineStr">
        <is>
          <t>W-4</t>
        </is>
      </c>
      <c r="B23" s="8" t="n">
        <v>937781</v>
      </c>
      <c r="C23" s="8" t="n">
        <v>0</v>
      </c>
      <c r="D23" s="8" t="n">
        <v>5338</v>
      </c>
      <c r="E23" s="8">
        <f>SUM(B23:D23)</f>
        <v/>
      </c>
      <c r="F23" s="8" t="n">
        <v>695575</v>
      </c>
      <c r="G23" s="8" t="n">
        <v>119022</v>
      </c>
      <c r="H23" s="8" t="n">
        <v>25000</v>
      </c>
      <c r="I23" s="8" t="n">
        <v>40825</v>
      </c>
      <c r="J23" s="8" t="n">
        <v>107606</v>
      </c>
      <c r="K23" s="8" t="n">
        <v>0</v>
      </c>
      <c r="L23" s="8">
        <f>SUM(F23:K23)</f>
        <v/>
      </c>
      <c r="M23" s="8">
        <f>E23-L23</f>
        <v/>
      </c>
      <c r="N23" s="8">
        <f>O22</f>
        <v/>
      </c>
      <c r="O23" s="8">
        <f>N23+M23</f>
        <v/>
      </c>
      <c r="P23" s="8" t="n">
        <v>923360</v>
      </c>
      <c r="Q23" s="8" t="n">
        <v>821483</v>
      </c>
      <c r="R23" s="9">
        <f>IF(P23=0,0,(E23-P23)/P23)</f>
        <v/>
      </c>
      <c r="S23" s="9">
        <f>IF(Q23=0,0,(L23-Q23)/Q23)</f>
        <v/>
      </c>
      <c r="T23">
        <f>IF(OR(ABS(R23)&gt;Assumptions!$B$8/100,ABS(S23)&gt;Assumptions!$B$8/100),"⚠ Review","")</f>
        <v/>
      </c>
    </row>
    <row r="24">
      <c r="A24" t="inlineStr">
        <is>
          <t>W-3</t>
        </is>
      </c>
      <c r="B24" s="8" t="n">
        <v>1094333</v>
      </c>
      <c r="C24" s="8" t="n">
        <v>0</v>
      </c>
      <c r="D24" s="8" t="n">
        <v>3372</v>
      </c>
      <c r="E24" s="8">
        <f>SUM(B24:D24)</f>
        <v/>
      </c>
      <c r="F24" s="8" t="n">
        <v>820175</v>
      </c>
      <c r="G24" s="8" t="n">
        <v>120355</v>
      </c>
      <c r="H24" s="8" t="n">
        <v>25000</v>
      </c>
      <c r="I24" s="8" t="n">
        <v>50139</v>
      </c>
      <c r="J24" s="8" t="n">
        <v>0</v>
      </c>
      <c r="K24" s="8" t="n">
        <v>78000</v>
      </c>
      <c r="L24" s="8">
        <f>SUM(F24:K24)</f>
        <v/>
      </c>
      <c r="M24" s="8">
        <f>E24-L24</f>
        <v/>
      </c>
      <c r="N24" s="8">
        <f>O23</f>
        <v/>
      </c>
      <c r="O24" s="8">
        <f>N24+M24</f>
        <v/>
      </c>
      <c r="P24" s="8" t="n">
        <v>906674</v>
      </c>
      <c r="Q24" s="8" t="n">
        <v>807027</v>
      </c>
      <c r="R24" s="9">
        <f>IF(P24=0,0,(E24-P24)/P24)</f>
        <v/>
      </c>
      <c r="S24" s="9">
        <f>IF(Q24=0,0,(L24-Q24)/Q24)</f>
        <v/>
      </c>
      <c r="T24">
        <f>IF(OR(ABS(R24)&gt;Assumptions!$B$8/100,ABS(S24)&gt;Assumptions!$B$8/100),"⚠ Review","")</f>
        <v/>
      </c>
    </row>
    <row r="25">
      <c r="A25" t="inlineStr">
        <is>
          <t>W-2</t>
        </is>
      </c>
      <c r="B25" s="8" t="n">
        <v>964810</v>
      </c>
      <c r="C25" s="8" t="n">
        <v>0</v>
      </c>
      <c r="D25" s="8" t="n">
        <v>8963</v>
      </c>
      <c r="E25" s="8">
        <f>SUM(B25:D25)</f>
        <v/>
      </c>
      <c r="F25" s="8" t="n">
        <v>721538</v>
      </c>
      <c r="G25" s="8" t="n">
        <v>117357</v>
      </c>
      <c r="H25" s="8" t="n">
        <v>25000</v>
      </c>
      <c r="I25" s="8" t="n">
        <v>48343</v>
      </c>
      <c r="J25" s="8" t="n">
        <v>0</v>
      </c>
      <c r="K25" s="8" t="n">
        <v>0</v>
      </c>
      <c r="L25" s="8">
        <f>SUM(F25:K25)</f>
        <v/>
      </c>
      <c r="M25" s="8">
        <f>E25-L25</f>
        <v/>
      </c>
      <c r="N25" s="8">
        <f>O24</f>
        <v/>
      </c>
      <c r="O25" s="8">
        <f>N25+M25</f>
        <v/>
      </c>
      <c r="P25" s="8" t="n">
        <v>927832</v>
      </c>
      <c r="Q25" s="8" t="n">
        <v>791036</v>
      </c>
      <c r="R25" s="9">
        <f>IF(P25=0,0,(E25-P25)/P25)</f>
        <v/>
      </c>
      <c r="S25" s="9">
        <f>IF(Q25=0,0,(L25-Q25)/Q25)</f>
        <v/>
      </c>
      <c r="T25">
        <f>IF(OR(ABS(R25)&gt;Assumptions!$B$8/100,ABS(S25)&gt;Assumptions!$B$8/100),"⚠ Review","")</f>
        <v/>
      </c>
    </row>
    <row r="26">
      <c r="A26" t="inlineStr">
        <is>
          <t>W-1</t>
        </is>
      </c>
      <c r="B26" s="8" t="n">
        <v>940418</v>
      </c>
      <c r="C26" s="8" t="n">
        <v>0</v>
      </c>
      <c r="D26" s="8" t="n">
        <v>11644</v>
      </c>
      <c r="E26" s="8">
        <f>SUM(B26:D26)</f>
        <v/>
      </c>
      <c r="F26" s="8" t="n">
        <v>673886</v>
      </c>
      <c r="G26" s="8" t="n">
        <v>116492</v>
      </c>
      <c r="H26" s="8" t="n">
        <v>25000</v>
      </c>
      <c r="I26" s="8" t="n">
        <v>38484</v>
      </c>
      <c r="J26" s="8" t="n">
        <v>0</v>
      </c>
      <c r="K26" s="8" t="n">
        <v>0</v>
      </c>
      <c r="L26" s="8">
        <f>SUM(F26:K26)</f>
        <v/>
      </c>
      <c r="M26" s="8">
        <f>E26-L26</f>
        <v/>
      </c>
      <c r="N26" s="8">
        <f>O25</f>
        <v/>
      </c>
      <c r="O26" s="8">
        <f>N26+M26</f>
        <v/>
      </c>
      <c r="P26" s="8" t="n">
        <v>924510</v>
      </c>
      <c r="Q26" s="8" t="n">
        <v>812556</v>
      </c>
      <c r="R26" s="9">
        <f>IF(P26=0,0,(E26-P26)/P26)</f>
        <v/>
      </c>
      <c r="S26" s="9">
        <f>IF(Q26=0,0,(L26-Q26)/Q26)</f>
        <v/>
      </c>
      <c r="T26">
        <f>IF(OR(ABS(R26)&gt;Assumptions!$B$8/100,ABS(S26)&gt;Assumptions!$B$8/100),"⚠ Review","")</f>
        <v/>
      </c>
    </row>
    <row r="27">
      <c r="A27" t="inlineStr">
        <is>
          <t>W0</t>
        </is>
      </c>
      <c r="B27" s="8" t="n">
        <v>1026085</v>
      </c>
      <c r="C27" s="8" t="n">
        <v>72000</v>
      </c>
      <c r="D27" s="8" t="n">
        <v>4016</v>
      </c>
      <c r="E27" s="8">
        <f>SUM(B27:D27)</f>
        <v/>
      </c>
      <c r="F27" s="8" t="n">
        <v>705788</v>
      </c>
      <c r="G27" s="8" t="n">
        <v>119903</v>
      </c>
      <c r="H27" s="8" t="n">
        <v>25000</v>
      </c>
      <c r="I27" s="8" t="n">
        <v>40728</v>
      </c>
      <c r="J27" s="8" t="n">
        <v>122941</v>
      </c>
      <c r="K27" s="8" t="n">
        <v>0</v>
      </c>
      <c r="L27" s="8">
        <f>SUM(F27:K27)</f>
        <v/>
      </c>
      <c r="M27" s="8">
        <f>E27-L27</f>
        <v/>
      </c>
      <c r="N27" s="8">
        <f>O26</f>
        <v/>
      </c>
      <c r="O27" s="8">
        <f>N27+M27</f>
        <v/>
      </c>
      <c r="P27" s="8" t="n">
        <v>913829</v>
      </c>
      <c r="Q27" s="8" t="n">
        <v>791165</v>
      </c>
      <c r="R27" s="9">
        <f>IF(P27=0,0,(E27-P27)/P27)</f>
        <v/>
      </c>
      <c r="S27" s="9">
        <f>IF(Q27=0,0,(L27-Q27)/Q27)</f>
        <v/>
      </c>
      <c r="T27">
        <f>IF(OR(ABS(R27)&gt;Assumptions!$B$8/100,ABS(S27)&gt;Assumptions!$B$8/100),"⚠ Review","")</f>
        <v/>
      </c>
    </row>
  </sheetData>
  <conditionalFormatting sqref="T2:T27">
    <cfRule type="cellIs" priority="1" operator="notEqual" dxfId="0">
      <formula>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</cols>
  <sheetData>
    <row r="1">
      <c r="A1" s="4" t="inlineStr">
        <is>
          <t>Week</t>
        </is>
      </c>
      <c r="B1" s="4" t="inlineStr">
        <is>
          <t>Forecast Inflow</t>
        </is>
      </c>
      <c r="C1" s="4" t="inlineStr">
        <is>
          <t>Forecast Outflow</t>
        </is>
      </c>
      <c r="D1" s="4" t="inlineStr">
        <is>
          <t>Net</t>
        </is>
      </c>
      <c r="E1" s="4" t="inlineStr">
        <is>
          <t>Opening</t>
        </is>
      </c>
      <c r="F1" s="4" t="inlineStr">
        <is>
          <t>Closing</t>
        </is>
      </c>
      <c r="G1" s="4" t="inlineStr">
        <is>
          <t>Floor Check</t>
        </is>
      </c>
    </row>
    <row r="2">
      <c r="A2" t="inlineStr">
        <is>
          <t>F1</t>
        </is>
      </c>
      <c r="B2" s="8">
        <f>ROUND(AVERAGE(History!$E$24:$E$27)*(1+Assumptions!$B$4)^(2-1),0)</f>
        <v/>
      </c>
      <c r="C2" s="8">
        <f>ROUND(AVERAGE(History!$L$24:$L$27)*(1+Assumptions!$B$5)^(2-1),0)</f>
        <v/>
      </c>
      <c r="D2" s="8">
        <f>B2-C2</f>
        <v/>
      </c>
      <c r="E2" s="8">
        <f>Assumptions!$B$3</f>
        <v/>
      </c>
      <c r="F2" s="8">
        <f>E2+D2</f>
        <v/>
      </c>
      <c r="G2">
        <f>IF(F2&lt;Assumptions!$B$6,"▼ BELOW FLOOR","✓")</f>
        <v/>
      </c>
    </row>
    <row r="3">
      <c r="A3" t="inlineStr">
        <is>
          <t>F2</t>
        </is>
      </c>
      <c r="B3" s="8">
        <f>ROUND(AVERAGE(History!$E$24:$E$27)*(1+Assumptions!$B$4)^(3-1),0)</f>
        <v/>
      </c>
      <c r="C3" s="8">
        <f>ROUND(AVERAGE(History!$L$24:$L$27)*(1+Assumptions!$B$5)^(3-1),0)</f>
        <v/>
      </c>
      <c r="D3" s="8">
        <f>B3-C3</f>
        <v/>
      </c>
      <c r="E3" s="8">
        <f>F2</f>
        <v/>
      </c>
      <c r="F3" s="8">
        <f>E3+D3</f>
        <v/>
      </c>
      <c r="G3">
        <f>IF(F3&lt;Assumptions!$B$6,"▼ BELOW FLOOR","✓")</f>
        <v/>
      </c>
    </row>
    <row r="4">
      <c r="A4" t="inlineStr">
        <is>
          <t>F3</t>
        </is>
      </c>
      <c r="B4" s="8">
        <f>ROUND(AVERAGE(History!$E$24:$E$27)*(1+Assumptions!$B$4)^(4-1),0)</f>
        <v/>
      </c>
      <c r="C4" s="8">
        <f>ROUND(AVERAGE(History!$L$24:$L$27)*(1+Assumptions!$B$5)^(4-1),0)</f>
        <v/>
      </c>
      <c r="D4" s="8">
        <f>B4-C4</f>
        <v/>
      </c>
      <c r="E4" s="8">
        <f>F3</f>
        <v/>
      </c>
      <c r="F4" s="8">
        <f>E4+D4</f>
        <v/>
      </c>
      <c r="G4">
        <f>IF(F4&lt;Assumptions!$B$6,"▼ BELOW FLOOR","✓")</f>
        <v/>
      </c>
    </row>
    <row r="5">
      <c r="A5" t="inlineStr">
        <is>
          <t>F4</t>
        </is>
      </c>
      <c r="B5" s="8">
        <f>ROUND(AVERAGE(History!$E$24:$E$27)*(1+Assumptions!$B$4)^(5-1),0)</f>
        <v/>
      </c>
      <c r="C5" s="8">
        <f>ROUND(AVERAGE(History!$L$24:$L$27)*(1+Assumptions!$B$5)^(5-1),0)</f>
        <v/>
      </c>
      <c r="D5" s="8">
        <f>B5-C5</f>
        <v/>
      </c>
      <c r="E5" s="8">
        <f>F4</f>
        <v/>
      </c>
      <c r="F5" s="8">
        <f>E5+D5</f>
        <v/>
      </c>
      <c r="G5">
        <f>IF(F5&lt;Assumptions!$B$6,"▼ BELOW FLOOR","✓")</f>
        <v/>
      </c>
    </row>
    <row r="6">
      <c r="A6" t="inlineStr">
        <is>
          <t>F5</t>
        </is>
      </c>
      <c r="B6" s="8">
        <f>ROUND(AVERAGE(History!$E$24:$E$27)*(1+Assumptions!$B$4)^(6-1),0)</f>
        <v/>
      </c>
      <c r="C6" s="8">
        <f>ROUND(AVERAGE(History!$L$24:$L$27)*(1+Assumptions!$B$5)^(6-1),0)</f>
        <v/>
      </c>
      <c r="D6" s="8">
        <f>B6-C6</f>
        <v/>
      </c>
      <c r="E6" s="8">
        <f>F5</f>
        <v/>
      </c>
      <c r="F6" s="8">
        <f>E6+D6</f>
        <v/>
      </c>
      <c r="G6">
        <f>IF(F6&lt;Assumptions!$B$6,"▼ BELOW FLOOR","✓")</f>
        <v/>
      </c>
    </row>
    <row r="7">
      <c r="A7" t="inlineStr">
        <is>
          <t>F6</t>
        </is>
      </c>
      <c r="B7" s="8">
        <f>ROUND(AVERAGE(History!$E$24:$E$27)*(1+Assumptions!$B$4)^(7-1),0)</f>
        <v/>
      </c>
      <c r="C7" s="8">
        <f>ROUND(AVERAGE(History!$L$24:$L$27)*(1+Assumptions!$B$5)^(7-1),0)</f>
        <v/>
      </c>
      <c r="D7" s="8">
        <f>B7-C7</f>
        <v/>
      </c>
      <c r="E7" s="8">
        <f>F6</f>
        <v/>
      </c>
      <c r="F7" s="8">
        <f>E7+D7</f>
        <v/>
      </c>
      <c r="G7">
        <f>IF(F7&lt;Assumptions!$B$6,"▼ BELOW FLOOR","✓")</f>
        <v/>
      </c>
    </row>
    <row r="8">
      <c r="A8" t="inlineStr">
        <is>
          <t>F7</t>
        </is>
      </c>
      <c r="B8" s="8">
        <f>ROUND(AVERAGE(History!$E$24:$E$27)*(1+Assumptions!$B$4)^(8-1),0)</f>
        <v/>
      </c>
      <c r="C8" s="8">
        <f>ROUND(AVERAGE(History!$L$24:$L$27)*(1+Assumptions!$B$5)^(8-1),0)</f>
        <v/>
      </c>
      <c r="D8" s="8">
        <f>B8-C8</f>
        <v/>
      </c>
      <c r="E8" s="8">
        <f>F7</f>
        <v/>
      </c>
      <c r="F8" s="8">
        <f>E8+D8</f>
        <v/>
      </c>
      <c r="G8">
        <f>IF(F8&lt;Assumptions!$B$6,"▼ BELOW FLOOR","✓")</f>
        <v/>
      </c>
    </row>
    <row r="9">
      <c r="A9" t="inlineStr">
        <is>
          <t>F8</t>
        </is>
      </c>
      <c r="B9" s="8">
        <f>ROUND(AVERAGE(History!$E$24:$E$27)*(1+Assumptions!$B$4)^(9-1),0)</f>
        <v/>
      </c>
      <c r="C9" s="8">
        <f>ROUND(AVERAGE(History!$L$24:$L$27)*(1+Assumptions!$B$5)^(9-1),0)</f>
        <v/>
      </c>
      <c r="D9" s="8">
        <f>B9-C9</f>
        <v/>
      </c>
      <c r="E9" s="8">
        <f>F8</f>
        <v/>
      </c>
      <c r="F9" s="8">
        <f>E9+D9</f>
        <v/>
      </c>
      <c r="G9">
        <f>IF(F9&lt;Assumptions!$B$6,"▼ BELOW FLOOR","✓")</f>
        <v/>
      </c>
    </row>
    <row r="10">
      <c r="A10" t="inlineStr">
        <is>
          <t>F9</t>
        </is>
      </c>
      <c r="B10" s="8">
        <f>ROUND(AVERAGE(History!$E$24:$E$27)*(1+Assumptions!$B$4)^(10-1),0)</f>
        <v/>
      </c>
      <c r="C10" s="8">
        <f>ROUND(AVERAGE(History!$L$24:$L$27)*(1+Assumptions!$B$5)^(10-1),0)</f>
        <v/>
      </c>
      <c r="D10" s="8">
        <f>B10-C10</f>
        <v/>
      </c>
      <c r="E10" s="8">
        <f>F9</f>
        <v/>
      </c>
      <c r="F10" s="8">
        <f>E10+D10</f>
        <v/>
      </c>
      <c r="G10">
        <f>IF(F10&lt;Assumptions!$B$6,"▼ BELOW FLOOR","✓")</f>
        <v/>
      </c>
    </row>
    <row r="11">
      <c r="A11" t="inlineStr">
        <is>
          <t>F10</t>
        </is>
      </c>
      <c r="B11" s="8">
        <f>ROUND(AVERAGE(History!$E$24:$E$27)*(1+Assumptions!$B$4)^(11-1),0)</f>
        <v/>
      </c>
      <c r="C11" s="8">
        <f>ROUND(AVERAGE(History!$L$24:$L$27)*(1+Assumptions!$B$5)^(11-1),0)</f>
        <v/>
      </c>
      <c r="D11" s="8">
        <f>B11-C11</f>
        <v/>
      </c>
      <c r="E11" s="8">
        <f>F10</f>
        <v/>
      </c>
      <c r="F11" s="8">
        <f>E11+D11</f>
        <v/>
      </c>
      <c r="G11">
        <f>IF(F11&lt;Assumptions!$B$6,"▼ BELOW FLOOR","✓")</f>
        <v/>
      </c>
    </row>
    <row r="12">
      <c r="A12" t="inlineStr">
        <is>
          <t>F11</t>
        </is>
      </c>
      <c r="B12" s="8">
        <f>ROUND(AVERAGE(History!$E$24:$E$27)*(1+Assumptions!$B$4)^(12-1),0)</f>
        <v/>
      </c>
      <c r="C12" s="8">
        <f>ROUND(AVERAGE(History!$L$24:$L$27)*(1+Assumptions!$B$5)^(12-1),0)</f>
        <v/>
      </c>
      <c r="D12" s="8">
        <f>B12-C12</f>
        <v/>
      </c>
      <c r="E12" s="8">
        <f>F11</f>
        <v/>
      </c>
      <c r="F12" s="8">
        <f>E12+D12</f>
        <v/>
      </c>
      <c r="G12">
        <f>IF(F12&lt;Assumptions!$B$6,"▼ BELOW FLOOR","✓")</f>
        <v/>
      </c>
    </row>
    <row r="13">
      <c r="A13" t="inlineStr">
        <is>
          <t>F12</t>
        </is>
      </c>
      <c r="B13" s="8">
        <f>ROUND(AVERAGE(History!$E$24:$E$27)*(1+Assumptions!$B$4)^(13-1),0)</f>
        <v/>
      </c>
      <c r="C13" s="8">
        <f>ROUND(AVERAGE(History!$L$24:$L$27)*(1+Assumptions!$B$5)^(13-1),0)</f>
        <v/>
      </c>
      <c r="D13" s="8">
        <f>B13-C13</f>
        <v/>
      </c>
      <c r="E13" s="8">
        <f>F12</f>
        <v/>
      </c>
      <c r="F13" s="8">
        <f>E13+D13</f>
        <v/>
      </c>
      <c r="G13">
        <f>IF(F13&lt;Assumptions!$B$6,"▼ BELOW FLOOR","✓")</f>
        <v/>
      </c>
    </row>
    <row r="14">
      <c r="A14" t="inlineStr">
        <is>
          <t>F13</t>
        </is>
      </c>
      <c r="B14" s="8">
        <f>ROUND(AVERAGE(History!$E$24:$E$27)*(1+Assumptions!$B$4)^(14-1),0)</f>
        <v/>
      </c>
      <c r="C14" s="8">
        <f>ROUND(AVERAGE(History!$L$24:$L$27)*(1+Assumptions!$B$5)^(14-1),0)</f>
        <v/>
      </c>
      <c r="D14" s="8">
        <f>B14-C14</f>
        <v/>
      </c>
      <c r="E14" s="8">
        <f>F13</f>
        <v/>
      </c>
      <c r="F14" s="8">
        <f>E14+D14</f>
        <v/>
      </c>
      <c r="G14">
        <f>IF(F14&lt;Assumptions!$B$6,"▼ BELOW FLOOR","✓")</f>
        <v/>
      </c>
    </row>
  </sheetData>
  <conditionalFormatting sqref="G2:G14">
    <cfRule type="cellIs" priority="1" operator="equal" dxfId="1">
      <formula>"▼ BELOW FLOOR"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0" t="inlineStr">
        <is>
          <t>FlowForge — Cash Flow Dashboard</t>
        </is>
      </c>
    </row>
    <row r="2">
      <c r="A2" t="inlineStr">
        <is>
          <t>Live from History/Forecast. Fictional demo data — 'Patna Traders Pvt. Ltd.', INR.</t>
        </is>
      </c>
    </row>
    <row r="3">
      <c r="K3" t="inlineStr">
        <is>
          <t>Outflow mix (history)</t>
        </is>
      </c>
    </row>
    <row r="4">
      <c r="A4" s="11" t="inlineStr">
        <is>
          <t>Forecast opening balance</t>
        </is>
      </c>
      <c r="B4" s="12">
        <f>Assumptions!$B$3</f>
        <v/>
      </c>
      <c r="K4" t="inlineStr">
        <is>
          <t>Supplier Payments</t>
        </is>
      </c>
      <c r="L4" s="8">
        <f>SUM(History!F2:F27)</f>
        <v/>
      </c>
    </row>
    <row r="5">
      <c r="A5" s="11" t="inlineStr">
        <is>
          <t>Projected closing (F13)</t>
        </is>
      </c>
      <c r="B5" s="12">
        <f>Forecast!F14</f>
        <v/>
      </c>
      <c r="K5" t="inlineStr">
        <is>
          <t>Payroll</t>
        </is>
      </c>
      <c r="L5" s="8">
        <f>SUM(History!G2:G27)</f>
        <v/>
      </c>
    </row>
    <row r="6">
      <c r="A6" s="11" t="inlineStr">
        <is>
          <t>Minimum cash over forecast</t>
        </is>
      </c>
      <c r="B6" s="12">
        <f>MIN(Forecast!F2:F14)</f>
        <v/>
      </c>
      <c r="K6" t="inlineStr">
        <is>
          <t>Rent</t>
        </is>
      </c>
      <c r="L6" s="8">
        <f>SUM(History!H2:H27)</f>
        <v/>
      </c>
    </row>
    <row r="7">
      <c r="A7" s="11" t="inlineStr">
        <is>
          <t>Weeks below cash floor</t>
        </is>
      </c>
      <c r="B7" s="13">
        <f>COUNTIF(Forecast!G2:G14,"*BELOW*")</f>
        <v/>
      </c>
      <c r="K7" t="inlineStr">
        <is>
          <t>Logistics</t>
        </is>
      </c>
      <c r="L7" s="8">
        <f>SUM(History!I2:I27)</f>
        <v/>
      </c>
    </row>
    <row r="8">
      <c r="A8" s="11" t="inlineStr">
        <is>
          <t>Avg weekly net (forecast)</t>
        </is>
      </c>
      <c r="B8" s="12">
        <f>AVERAGE(Forecast!D2:D14)</f>
        <v/>
      </c>
      <c r="K8" t="inlineStr">
        <is>
          <t>Gst Tax</t>
        </is>
      </c>
      <c r="L8" s="8">
        <f>SUM(History!J2:J27)</f>
        <v/>
      </c>
    </row>
    <row r="9">
      <c r="A9" s="11" t="inlineStr">
        <is>
          <t>History total inflow (26 wks)</t>
        </is>
      </c>
      <c r="B9" s="12">
        <f>SUM(History!E2:E27)</f>
        <v/>
      </c>
      <c r="K9" t="inlineStr">
        <is>
          <t>Loan Emi</t>
        </is>
      </c>
      <c r="L9" s="8">
        <f>SUM(History!K2:K27)</f>
        <v/>
      </c>
    </row>
    <row r="10">
      <c r="A10" s="11" t="inlineStr">
        <is>
          <t>History total outflow (26 wks)</t>
        </is>
      </c>
      <c r="B10" s="12">
        <f>SUM(History!L2:L27)</f>
        <v/>
      </c>
    </row>
    <row r="11">
      <c r="A11" s="11" t="inlineStr">
        <is>
          <t>Weeks with budget-review alert</t>
        </is>
      </c>
      <c r="B11" s="12">
        <f>COUNTIF(History!T2:T27,"*Review*")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</cols>
  <sheetData>
    <row r="1">
      <c r="A1" s="14" t="inlineStr">
        <is>
          <t>Integrity checks — all must read PASS</t>
        </is>
      </c>
    </row>
    <row r="2">
      <c r="A2" s="4" t="inlineStr">
        <is>
          <t>Check</t>
        </is>
      </c>
      <c r="B2" s="4" t="inlineStr">
        <is>
          <t>Result</t>
        </is>
      </c>
    </row>
    <row r="3">
      <c r="A3" s="2" t="inlineStr">
        <is>
          <t>History reconciles: opening + net = closing every week</t>
        </is>
      </c>
      <c r="B3" s="15">
        <f>IF(SUMPRODUCT((History!N2:N27+History!M2:M27-History!O2:O27)^2)=0,"PASS","FAIL")</f>
        <v/>
      </c>
    </row>
    <row r="4">
      <c r="A4" s="2" t="inlineStr">
        <is>
          <t>History continuity: each week's opening = prior closing</t>
        </is>
      </c>
      <c r="B4" s="15">
        <f>IF(SUMPRODUCT((History!N3:N27-History!O2:O26)^2)=0,"PASS","FAIL")</f>
        <v/>
      </c>
    </row>
    <row r="5">
      <c r="A5" s="2" t="inlineStr">
        <is>
          <t>Forecast continuity: each week's opening = prior closing</t>
        </is>
      </c>
      <c r="B5" s="15">
        <f>IF(SUMPRODUCT((Forecast!E3:E14-Forecast!F2:F13)^2)=0,"PASS","FAIL")</f>
        <v/>
      </c>
    </row>
    <row r="6">
      <c r="A6" s="2" t="inlineStr">
        <is>
          <t>Forecast closing = opening + net every week</t>
        </is>
      </c>
      <c r="B6" s="15">
        <f>IF(SUMPRODUCT((Forecast!F2:F14-Forecast!E2:E14-Forecast!D2:D14)^2)=0,"PASS","FAIL")</f>
        <v/>
      </c>
    </row>
    <row r="7">
      <c r="A7" s="2" t="inlineStr">
        <is>
          <t>Forecast opening equals Assumptions value</t>
        </is>
      </c>
      <c r="B7" s="15">
        <f>IF(Forecast!E2=Assumptions!$B$3,"PASS","FAIL")</f>
        <v/>
      </c>
    </row>
    <row r="8">
      <c r="A8" s="2" t="inlineStr">
        <is>
          <t>No formula errors anywhere in History/Forecast</t>
        </is>
      </c>
      <c r="B8" s="15">
        <f>IF(SUMPRODUCT(--ISERROR(History!A2:T27))+SUMPRODUCT(--ISERROR(Forecast!A2:G14))=0,"PASS","FAIL")</f>
        <v/>
      </c>
    </row>
    <row r="9">
      <c r="A9" s="2" t="inlineStr">
        <is>
          <t>Review alerts fire exactly when |variance| exceeds threshold</t>
        </is>
      </c>
      <c r="B9" s="15">
        <f>IF(SUMPRODUCT((ABS(History!R2:R27)&gt;Assumptions!$B$8/100)*(History!T2:T27=""))+SUMPRODUCT((ABS(History!S2:S27)&gt;Assumptions!$B$8/100)*(History!T2:T27=""))=0,"PASS","FAIL")</f>
        <v/>
      </c>
    </row>
    <row r="10">
      <c r="A10" s="2" t="inlineStr">
        <is>
          <t>Floor flags fire for every forecast week under the cash floor</t>
        </is>
      </c>
      <c r="B10" s="15">
        <f>IF(SUMPRODUCT((Forecast!F2:F14&lt;Assumptions!$B$6)*(Forecast!G2:G14="✓"))=0,"PASS","FAIL")</f>
        <v/>
      </c>
    </row>
  </sheetData>
  <conditionalFormatting sqref="B3:B10">
    <cfRule type="cellIs" priority="1" operator="equal" dxfId="2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 t="inlineStr">
        <is>
          <t>Weekly cash narrative — generated from this workbook's data</t>
        </is>
      </c>
    </row>
    <row r="3" ht="30" customHeight="1">
      <c r="A3" s="2" t="inlineStr">
        <is>
          <t>Strongest inflow week: W-18 (₹1,126,554); weakest: W-21 (₹844,310).</t>
        </is>
      </c>
    </row>
    <row r="4" ht="30" customHeight="1">
      <c r="A4" s="2" t="inlineStr">
        <is>
          <t>Heaviest outflow week: W-24 (₹1,152,701) — GST/EMI weeks drive the spikes; the forecast carries them inside the trailing average.</t>
        </is>
      </c>
    </row>
    <row r="5" ht="30" customHeight="1">
      <c r="A5" s="2" t="inlineStr">
        <is>
          <t>13-week outlook from F1 opening ₹5,094,820: projected closing ₹6,543,431; minimum cash ₹5,163,798 in F1.</t>
        </is>
      </c>
    </row>
    <row r="6" ht="30" customHeight="1">
      <c r="A6" s="2" t="inlineStr">
        <is>
          <t>No forecast week breaches the ₹500,000 cash floor — buffer intact.</t>
        </is>
      </c>
    </row>
    <row r="7" ht="30" customHeight="1">
      <c r="A7" s="2" t="inlineStr">
        <is>
          <t>23 of 26 history weeks breached the 10% budget-variance threshold — see the Alert column on History.</t>
        </is>
      </c>
    </row>
    <row r="8" ht="30" customHeight="1">
      <c r="A8" s="2" t="inlineStr">
        <is>
          <t>Weekly routine: paste actuals → re-read this sheet → act on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2026-10-15T02:24:26+00:00Z</dcterms:created>
  <dcterms:modified xmlns:dcterms="http://purl.org/dc/terms/" xmlns:xsi="http://www.w3.org/2001/XMLSchema-instance" xsi:type="dcterms:W3CDTF">2026-10-15T02:24:26+00:00Z</dcterms:modified>
</cp:coreProperties>
</file>