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Raw_Invoices" sheetId="2" state="visible" r:id="rId2"/>
    <sheet xmlns:r="http://schemas.openxmlformats.org/officeDocument/2006/relationships" name="Raw_Payments" sheetId="3" state="visible" r:id="rId3"/>
    <sheet xmlns:r="http://schemas.openxmlformats.org/officeDocument/2006/relationships" name="P&amp;L" sheetId="4" state="visible" r:id="rId4"/>
    <sheet xmlns:r="http://schemas.openxmlformats.org/officeDocument/2006/relationships" name="CashFlow" sheetId="5" state="visible" r:id="rId5"/>
    <sheet xmlns:r="http://schemas.openxmlformats.org/officeDocument/2006/relationships" name="Receivables" sheetId="6" state="visible" r:id="rId6"/>
    <sheet xmlns:r="http://schemas.openxmlformats.org/officeDocument/2006/relationships" name="Dashboard" sheetId="7" state="visible" r:id="rId7"/>
    <sheet xmlns:r="http://schemas.openxmlformats.org/officeDocument/2006/relationships" name="AI_Report" sheetId="8" state="visible" r:id="rId8"/>
    <sheet xmlns:r="http://schemas.openxmlformats.org/officeDocument/2006/relationships" name="Checks" sheetId="9" state="visible" r:id="rId9"/>
  </sheets>
  <definedNames>
    <definedName name="_xlnm._FilterDatabase" localSheetId="1" hidden="1">'Raw_Invoices'!$A$1:$M$788</definedName>
    <definedName name="_xlnm._FilterDatabase" localSheetId="2" hidden="1">'Raw_Payments'!$A$1:$F$658</definedName>
    <definedName name="_xlnm._FilterDatabase" localSheetId="5" hidden="1">'Receivables'!$A$3:$H$173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"/>
    <numFmt numFmtId="166" formatCode="0.0%"/>
    <numFmt numFmtId="167" formatCode="0.0"/>
  </numFmts>
  <fonts count="5">
    <font>
      <name val="Calibri"/>
      <family val="2"/>
      <color theme="1"/>
      <sz val="11"/>
      <scheme val="minor"/>
    </font>
    <font>
      <b val="1"/>
      <color rgb="001F4E5F"/>
      <sz val="14"/>
    </font>
    <font>
      <b val="1"/>
    </font>
    <font>
      <b val="1"/>
      <color rgb="00FFFFFF"/>
    </font>
    <font>
      <color rgb="001F4E5F"/>
      <sz val="13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165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5" fontId="0" fillId="0" borderId="0" pivotButton="0" quotePrefix="0" xfId="0"/>
    <xf numFmtId="4" fontId="0" fillId="0" borderId="0" pivotButton="0" quotePrefix="0" xfId="0"/>
    <xf numFmtId="17" fontId="3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6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4" fontId="4" fillId="0" borderId="0" pivotButton="0" quotePrefix="0" xfId="0"/>
    <xf numFmtId="166" fontId="4" fillId="0" borderId="0" pivotButton="0" quotePrefix="0" xfId="0"/>
    <xf numFmtId="167" fontId="4" fillId="0" borderId="0" pivotButton="0" quotePrefix="0" xfId="0"/>
    <xf numFmtId="0" fontId="0" fillId="0" borderId="0" applyAlignment="1" pivotButton="0" quotePrefix="0" xfId="0">
      <alignment wrapText="1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vs expenses</a:t>
            </a:r>
          </a:p>
        </rich>
      </tx>
    </title>
    <plotArea>
      <lineChart>
        <grouping val="standard"/>
        <ser>
          <idx val="0"/>
          <order val="0"/>
          <tx>
            <v>Revenue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'P&amp;L'!$B$2:$M$2</f>
            </numRef>
          </cat>
          <val>
            <numRef>
              <f>'P&amp;L'!$B$6:$M$6</f>
            </numRef>
          </val>
        </ser>
        <ser>
          <idx val="1"/>
          <order val="1"/>
          <tx>
            <v>Expenses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'P&amp;L'!$B$2:$M$2</f>
            </numRef>
          </cat>
          <val>
            <numRef>
              <f>'P&amp;L'!$B$16:$M$16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FY revenue by category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'P&amp;L'!$A$3:$A$5</f>
            </numRef>
          </cat>
          <val>
            <numRef>
              <f>'P&amp;L'!$N$3:$N$5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cash flow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'CashFlow'!$B$2:$M$2</f>
            </numRef>
          </cat>
          <val>
            <numRef>
              <f>'CashFlow'!$B$6:$M$6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3</col>
      <colOff>0</colOff>
      <row>33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8" customWidth="1" min="1" max="1"/>
    <col width="16" customWidth="1" min="2" max="2"/>
  </cols>
  <sheetData>
    <row r="1">
      <c r="A1" s="1" t="inlineStr">
        <is>
          <t>InvoiceLedger — invoice-to-reports workbook</t>
        </is>
      </c>
    </row>
    <row r="2">
      <c r="A2" t="inlineStr">
        <is>
          <t>Report date (all aging measured from here):</t>
        </is>
      </c>
      <c r="B2" s="2" t="n">
        <v>46295</v>
      </c>
    </row>
    <row r="4">
      <c r="A4" t="inlineStr">
        <is>
          <t>1. Paste new invoice rows into Raw_Invoices (keep the column order).</t>
        </is>
      </c>
    </row>
    <row r="5">
      <c r="A5" t="inlineStr">
        <is>
          <t>2. Paste new payment rows into Raw_Payments.</t>
        </is>
      </c>
    </row>
    <row r="6">
      <c r="A6" t="inlineStr">
        <is>
          <t>3. Everything else recalculates: P&amp;L, CashFlow, Receivables aging,</t>
        </is>
      </c>
    </row>
    <row r="7">
      <c r="A7" t="inlineStr">
        <is>
          <t xml:space="preserve">   Dashboard KPIs/charts, the AI_Report narrative and the Checks.</t>
        </is>
      </c>
    </row>
    <row r="8">
      <c r="A8" t="inlineStr">
        <is>
          <t>4. Change the report date in B2 and the aging buckets move with it.</t>
        </is>
      </c>
    </row>
    <row r="9">
      <c r="A9" t="inlineStr">
        <is>
          <t>Data dictionary — Raw_Invoices: inv_id, date, party, type</t>
        </is>
      </c>
    </row>
    <row r="10">
      <c r="A10" t="inlineStr">
        <is>
          <t>(SALES/PURCHASE/EXPENSE), category, amount (ex-GST), gst_rate,</t>
        </is>
      </c>
    </row>
    <row r="11">
      <c r="A11" t="inlineStr">
        <is>
          <t>gst_amt, total, paid_amount, paid_date, balance (=total-paid),</t>
        </is>
      </c>
    </row>
    <row r="12">
      <c r="A12" t="inlineStr">
        <is>
          <t>days_to_pay (=paid_date - date, paid invoices only).</t>
        </is>
      </c>
    </row>
    <row r="13">
      <c r="A13" t="inlineStr">
        <is>
          <t>Raw_Payments: pay_id, inv_id, type, category, date, amount.</t>
        </is>
      </c>
    </row>
    <row r="14">
      <c r="A14" t="inlineStr">
        <is>
          <t>All records are fictional demo data for 'Gupta Garments &amp; Textiles'.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6" customWidth="1" min="3" max="3"/>
    <col width="10" customWidth="1" min="4" max="4"/>
    <col width="20" customWidth="1" min="5" max="5"/>
    <col width="12" customWidth="1" min="6" max="6"/>
    <col width="9" customWidth="1" min="7" max="7"/>
    <col width="10" customWidth="1" min="8" max="8"/>
    <col width="12" customWidth="1" min="9" max="9"/>
    <col width="12" customWidth="1" min="10" max="10"/>
    <col width="12" customWidth="1" min="11" max="11"/>
    <col width="11" customWidth="1" min="12" max="12"/>
    <col width="11" customWidth="1" min="13" max="13"/>
  </cols>
  <sheetData>
    <row r="1">
      <c r="A1" s="3" t="inlineStr">
        <is>
          <t>inv_id</t>
        </is>
      </c>
      <c r="B1" s="3" t="inlineStr">
        <is>
          <t>date</t>
        </is>
      </c>
      <c r="C1" s="3" t="inlineStr">
        <is>
          <t>party</t>
        </is>
      </c>
      <c r="D1" s="3" t="inlineStr">
        <is>
          <t>type</t>
        </is>
      </c>
      <c r="E1" s="3" t="inlineStr">
        <is>
          <t>category</t>
        </is>
      </c>
      <c r="F1" s="3" t="inlineStr">
        <is>
          <t>amount</t>
        </is>
      </c>
      <c r="G1" s="3" t="inlineStr">
        <is>
          <t>gst_rate</t>
        </is>
      </c>
      <c r="H1" s="3" t="inlineStr">
        <is>
          <t>gst_amt</t>
        </is>
      </c>
      <c r="I1" s="3" t="inlineStr">
        <is>
          <t>total</t>
        </is>
      </c>
      <c r="J1" s="3" t="inlineStr">
        <is>
          <t>paid_amount</t>
        </is>
      </c>
      <c r="K1" s="3" t="inlineStr">
        <is>
          <t>paid_date</t>
        </is>
      </c>
      <c r="L1" s="3" t="inlineStr">
        <is>
          <t>balance</t>
        </is>
      </c>
      <c r="M1" s="3" t="inlineStr">
        <is>
          <t>days_to_pay</t>
        </is>
      </c>
    </row>
    <row r="2">
      <c r="A2" t="inlineStr">
        <is>
          <t>S-00001</t>
        </is>
      </c>
      <c r="B2" s="4" t="n">
        <v>45949</v>
      </c>
      <c r="C2" t="inlineStr">
        <is>
          <t>Gaya Textile Traders</t>
        </is>
      </c>
      <c r="D2" t="inlineStr">
        <is>
          <t>SALES</t>
        </is>
      </c>
      <c r="E2" t="inlineStr">
        <is>
          <t>Fabrics</t>
        </is>
      </c>
      <c r="F2" s="5" t="n">
        <v>33474.18</v>
      </c>
      <c r="G2" t="n">
        <v>5</v>
      </c>
      <c r="H2" s="5" t="n">
        <v>1673.71</v>
      </c>
      <c r="I2" s="5" t="n">
        <v>35147.89</v>
      </c>
      <c r="J2" s="5" t="n">
        <v>35147.89</v>
      </c>
      <c r="K2" s="4" t="n">
        <v>46000</v>
      </c>
      <c r="L2" s="5">
        <f>IF(I2="","",I2-J2)</f>
        <v/>
      </c>
      <c r="M2">
        <f>IF(K2="","",K2-B2)</f>
        <v/>
      </c>
    </row>
    <row r="3">
      <c r="A3" t="inlineStr">
        <is>
          <t>S-00002</t>
        </is>
      </c>
      <c r="B3" s="4" t="n">
        <v>45932</v>
      </c>
      <c r="C3" t="inlineStr">
        <is>
          <t>City Centre Apparel</t>
        </is>
      </c>
      <c r="D3" t="inlineStr">
        <is>
          <t>SALES</t>
        </is>
      </c>
      <c r="E3" t="inlineStr">
        <is>
          <t>Fabrics</t>
        </is>
      </c>
      <c r="F3" s="5" t="n">
        <v>75604.95</v>
      </c>
      <c r="G3" t="n">
        <v>5</v>
      </c>
      <c r="H3" s="5" t="n">
        <v>3780.25</v>
      </c>
      <c r="I3" s="5" t="n">
        <v>79385.2</v>
      </c>
      <c r="J3" s="5" t="n">
        <v>79385.2</v>
      </c>
      <c r="K3" s="4" t="n">
        <v>45967</v>
      </c>
      <c r="L3" s="5">
        <f>IF(I3="","",I3-J3)</f>
        <v/>
      </c>
      <c r="M3">
        <f>IF(K3="","",K3-B3)</f>
        <v/>
      </c>
    </row>
    <row r="4">
      <c r="A4" t="inlineStr">
        <is>
          <t>S-00003</t>
        </is>
      </c>
      <c r="B4" s="4" t="n">
        <v>45934</v>
      </c>
      <c r="C4" t="inlineStr">
        <is>
          <t>City Centre Apparel</t>
        </is>
      </c>
      <c r="D4" t="inlineStr">
        <is>
          <t>SALES</t>
        </is>
      </c>
      <c r="E4" t="inlineStr">
        <is>
          <t>Fabrics</t>
        </is>
      </c>
      <c r="F4" s="5" t="n">
        <v>88644.42</v>
      </c>
      <c r="G4" t="n">
        <v>5</v>
      </c>
      <c r="H4" s="5" t="n">
        <v>4432.22</v>
      </c>
      <c r="I4" s="5" t="n">
        <v>93076.64</v>
      </c>
      <c r="J4" s="5" t="n">
        <v>44997.63</v>
      </c>
      <c r="K4" s="4" t="n">
        <v>45977</v>
      </c>
      <c r="L4" s="5">
        <f>IF(I4="","",I4-J4)</f>
        <v/>
      </c>
      <c r="M4">
        <f>IF(K4="","",K4-B4)</f>
        <v/>
      </c>
    </row>
    <row r="5">
      <c r="A5" t="inlineStr">
        <is>
          <t>S-00004</t>
        </is>
      </c>
      <c r="B5" s="4" t="n">
        <v>45933</v>
      </c>
      <c r="C5" t="inlineStr">
        <is>
          <t>Bhagalpur Silk Centre</t>
        </is>
      </c>
      <c r="D5" t="inlineStr">
        <is>
          <t>SALES</t>
        </is>
      </c>
      <c r="E5" t="inlineStr">
        <is>
          <t>Fabrics</t>
        </is>
      </c>
      <c r="F5" s="5" t="n">
        <v>39211</v>
      </c>
      <c r="G5" t="n">
        <v>5</v>
      </c>
      <c r="H5" s="5" t="n">
        <v>1960.55</v>
      </c>
      <c r="I5" s="5" t="n">
        <v>41171.55</v>
      </c>
      <c r="J5" s="5" t="n">
        <v>41171.55</v>
      </c>
      <c r="K5" s="4" t="n">
        <v>45963</v>
      </c>
      <c r="L5" s="5">
        <f>IF(I5="","",I5-J5)</f>
        <v/>
      </c>
      <c r="M5">
        <f>IF(K5="","",K5-B5)</f>
        <v/>
      </c>
    </row>
    <row r="6">
      <c r="A6" t="inlineStr">
        <is>
          <t>S-00005</t>
        </is>
      </c>
      <c r="B6" s="4" t="n">
        <v>45961</v>
      </c>
      <c r="C6" t="inlineStr">
        <is>
          <t>Lakshmi Cloth Store</t>
        </is>
      </c>
      <c r="D6" t="inlineStr">
        <is>
          <t>SALES</t>
        </is>
      </c>
      <c r="E6" t="inlineStr">
        <is>
          <t>Fabrics</t>
        </is>
      </c>
      <c r="F6" s="5" t="n">
        <v>77485.72</v>
      </c>
      <c r="G6" t="n">
        <v>5</v>
      </c>
      <c r="H6" s="5" t="n">
        <v>3874.29</v>
      </c>
      <c r="I6" s="5" t="n">
        <v>81360.00999999999</v>
      </c>
      <c r="J6" s="5" t="n">
        <v>81360.00999999999</v>
      </c>
      <c r="K6" s="4" t="n">
        <v>45983</v>
      </c>
      <c r="L6" s="5">
        <f>IF(I6="","",I6-J6)</f>
        <v/>
      </c>
      <c r="M6">
        <f>IF(K6="","",K6-B6)</f>
        <v/>
      </c>
    </row>
    <row r="7">
      <c r="A7" t="inlineStr">
        <is>
          <t>S-00006</t>
        </is>
      </c>
      <c r="B7" s="4" t="n">
        <v>45950</v>
      </c>
      <c r="C7" t="inlineStr">
        <is>
          <t>Patna Fashion House</t>
        </is>
      </c>
      <c r="D7" t="inlineStr">
        <is>
          <t>SALES</t>
        </is>
      </c>
      <c r="E7" t="inlineStr">
        <is>
          <t>Fabrics</t>
        </is>
      </c>
      <c r="F7" s="5" t="n">
        <v>89845.5</v>
      </c>
      <c r="G7" t="n">
        <v>5</v>
      </c>
      <c r="H7" s="5" t="n">
        <v>4492.27</v>
      </c>
      <c r="I7" s="5" t="n">
        <v>94337.77</v>
      </c>
      <c r="J7" s="5" t="n">
        <v>47036.71</v>
      </c>
      <c r="K7" s="4" t="n">
        <v>46017</v>
      </c>
      <c r="L7" s="5">
        <f>IF(I7="","",I7-J7)</f>
        <v/>
      </c>
      <c r="M7">
        <f>IF(K7="","",K7-B7)</f>
        <v/>
      </c>
    </row>
    <row r="8">
      <c r="A8" t="inlineStr">
        <is>
          <t>S-00007</t>
        </is>
      </c>
      <c r="B8" s="4" t="n">
        <v>45960</v>
      </c>
      <c r="C8" t="inlineStr">
        <is>
          <t>Sharma Retail Store</t>
        </is>
      </c>
      <c r="D8" t="inlineStr">
        <is>
          <t>SALES</t>
        </is>
      </c>
      <c r="E8" t="inlineStr">
        <is>
          <t>Garments</t>
        </is>
      </c>
      <c r="F8" s="5" t="n">
        <v>39726.42</v>
      </c>
      <c r="G8" t="n">
        <v>12</v>
      </c>
      <c r="H8" s="5" t="n">
        <v>4767.17</v>
      </c>
      <c r="I8" s="5" t="n">
        <v>44493.59</v>
      </c>
      <c r="J8" s="5" t="n">
        <v>44493.59</v>
      </c>
      <c r="K8" s="4" t="n">
        <v>45986</v>
      </c>
      <c r="L8" s="5">
        <f>IF(I8="","",I8-J8)</f>
        <v/>
      </c>
      <c r="M8">
        <f>IF(K8="","",K8-B8)</f>
        <v/>
      </c>
    </row>
    <row r="9">
      <c r="A9" t="inlineStr">
        <is>
          <t>S-00008</t>
        </is>
      </c>
      <c r="B9" s="4" t="n">
        <v>45961</v>
      </c>
      <c r="C9" t="inlineStr">
        <is>
          <t>Gaya Textile Traders</t>
        </is>
      </c>
      <c r="D9" t="inlineStr">
        <is>
          <t>SALES</t>
        </is>
      </c>
      <c r="E9" t="inlineStr">
        <is>
          <t>Garments</t>
        </is>
      </c>
      <c r="F9" s="5" t="n">
        <v>82133.17999999999</v>
      </c>
      <c r="G9" t="n">
        <v>12</v>
      </c>
      <c r="H9" s="5" t="n">
        <v>9855.98</v>
      </c>
      <c r="I9" s="5" t="n">
        <v>91989.16</v>
      </c>
      <c r="J9" s="5" t="n">
        <v>0</v>
      </c>
      <c r="K9" s="4" t="inlineStr"/>
      <c r="L9" s="5">
        <f>IF(I9="","",I9-J9)</f>
        <v/>
      </c>
      <c r="M9">
        <f>IF(K9="","",K9-B9)</f>
        <v/>
      </c>
    </row>
    <row r="10">
      <c r="A10" t="inlineStr">
        <is>
          <t>S-00009</t>
        </is>
      </c>
      <c r="B10" s="4" t="n">
        <v>45942</v>
      </c>
      <c r="C10" t="inlineStr">
        <is>
          <t>Arrah Garment Plaza</t>
        </is>
      </c>
      <c r="D10" t="inlineStr">
        <is>
          <t>SALES</t>
        </is>
      </c>
      <c r="E10" t="inlineStr">
        <is>
          <t>Garments</t>
        </is>
      </c>
      <c r="F10" s="5" t="n">
        <v>69916.32000000001</v>
      </c>
      <c r="G10" t="n">
        <v>12</v>
      </c>
      <c r="H10" s="5" t="n">
        <v>8389.959999999999</v>
      </c>
      <c r="I10" s="5" t="n">
        <v>78306.28</v>
      </c>
      <c r="J10" s="5" t="n">
        <v>45569.08</v>
      </c>
      <c r="K10" s="4" t="n">
        <v>45955</v>
      </c>
      <c r="L10" s="5">
        <f>IF(I10="","",I10-J10)</f>
        <v/>
      </c>
      <c r="M10">
        <f>IF(K10="","",K10-B10)</f>
        <v/>
      </c>
    </row>
    <row r="11">
      <c r="A11" t="inlineStr">
        <is>
          <t>S-00010</t>
        </is>
      </c>
      <c r="B11" s="4" t="n">
        <v>45958</v>
      </c>
      <c r="C11" t="inlineStr">
        <is>
          <t>Purnia Fashion Hub</t>
        </is>
      </c>
      <c r="D11" t="inlineStr">
        <is>
          <t>SALES</t>
        </is>
      </c>
      <c r="E11" t="inlineStr">
        <is>
          <t>Fabrics</t>
        </is>
      </c>
      <c r="F11" s="5" t="n">
        <v>18254.46</v>
      </c>
      <c r="G11" t="n">
        <v>5</v>
      </c>
      <c r="H11" s="5" t="n">
        <v>912.72</v>
      </c>
      <c r="I11" s="5" t="n">
        <v>19167.18</v>
      </c>
      <c r="J11" s="5" t="n">
        <v>19167.18</v>
      </c>
      <c r="K11" s="4" t="n">
        <v>46022</v>
      </c>
      <c r="L11" s="5">
        <f>IF(I11="","",I11-J11)</f>
        <v/>
      </c>
      <c r="M11">
        <f>IF(K11="","",K11-B11)</f>
        <v/>
      </c>
    </row>
    <row r="12">
      <c r="A12" t="inlineStr">
        <is>
          <t>S-00011</t>
        </is>
      </c>
      <c r="B12" s="4" t="n">
        <v>45955</v>
      </c>
      <c r="C12" t="inlineStr">
        <is>
          <t>Bhagalpur Silk Centre</t>
        </is>
      </c>
      <c r="D12" t="inlineStr">
        <is>
          <t>SALES</t>
        </is>
      </c>
      <c r="E12" t="inlineStr">
        <is>
          <t>Garments</t>
        </is>
      </c>
      <c r="F12" s="5" t="n">
        <v>46369.74</v>
      </c>
      <c r="G12" t="n">
        <v>12</v>
      </c>
      <c r="H12" s="5" t="n">
        <v>5564.37</v>
      </c>
      <c r="I12" s="5" t="n">
        <v>51934.11</v>
      </c>
      <c r="J12" s="5" t="n">
        <v>51934.11</v>
      </c>
      <c r="K12" s="4" t="n">
        <v>45996</v>
      </c>
      <c r="L12" s="5">
        <f>IF(I12="","",I12-J12)</f>
        <v/>
      </c>
      <c r="M12">
        <f>IF(K12="","",K12-B12)</f>
        <v/>
      </c>
    </row>
    <row r="13">
      <c r="A13" t="inlineStr">
        <is>
          <t>S-00012</t>
        </is>
      </c>
      <c r="B13" s="4" t="n">
        <v>45956</v>
      </c>
      <c r="C13" t="inlineStr">
        <is>
          <t>Kumkum Saree Sadan</t>
        </is>
      </c>
      <c r="D13" t="inlineStr">
        <is>
          <t>SALES</t>
        </is>
      </c>
      <c r="E13" t="inlineStr">
        <is>
          <t>Accessories</t>
        </is>
      </c>
      <c r="F13" s="5" t="n">
        <v>11576.19</v>
      </c>
      <c r="G13" t="n">
        <v>12</v>
      </c>
      <c r="H13" s="5" t="n">
        <v>1389.14</v>
      </c>
      <c r="I13" s="5" t="n">
        <v>12965.33</v>
      </c>
      <c r="J13" s="5" t="n">
        <v>12965.33</v>
      </c>
      <c r="K13" s="4" t="n">
        <v>45971</v>
      </c>
      <c r="L13" s="5">
        <f>IF(I13="","",I13-J13)</f>
        <v/>
      </c>
      <c r="M13">
        <f>IF(K13="","",K13-B13)</f>
        <v/>
      </c>
    </row>
    <row r="14">
      <c r="A14" t="inlineStr">
        <is>
          <t>S-00013</t>
        </is>
      </c>
      <c r="B14" s="4" t="n">
        <v>45948</v>
      </c>
      <c r="C14" t="inlineStr">
        <is>
          <t>Sharma Retail Store</t>
        </is>
      </c>
      <c r="D14" t="inlineStr">
        <is>
          <t>SALES</t>
        </is>
      </c>
      <c r="E14" t="inlineStr">
        <is>
          <t>Fabrics</t>
        </is>
      </c>
      <c r="F14" s="5" t="n">
        <v>92978.92999999999</v>
      </c>
      <c r="G14" t="n">
        <v>5</v>
      </c>
      <c r="H14" s="5" t="n">
        <v>4648.95</v>
      </c>
      <c r="I14" s="5" t="n">
        <v>97627.88</v>
      </c>
      <c r="J14" s="5" t="n">
        <v>97627.88</v>
      </c>
      <c r="K14" s="4" t="n">
        <v>45999</v>
      </c>
      <c r="L14" s="5">
        <f>IF(I14="","",I14-J14)</f>
        <v/>
      </c>
      <c r="M14">
        <f>IF(K14="","",K14-B14)</f>
        <v/>
      </c>
    </row>
    <row r="15">
      <c r="A15" t="inlineStr">
        <is>
          <t>S-00014</t>
        </is>
      </c>
      <c r="B15" s="4" t="n">
        <v>45938</v>
      </c>
      <c r="C15" t="inlineStr">
        <is>
          <t>Lakshmi Cloth Store</t>
        </is>
      </c>
      <c r="D15" t="inlineStr">
        <is>
          <t>SALES</t>
        </is>
      </c>
      <c r="E15" t="inlineStr">
        <is>
          <t>Garments</t>
        </is>
      </c>
      <c r="F15" s="5" t="n">
        <v>72129.12</v>
      </c>
      <c r="G15" t="n">
        <v>12</v>
      </c>
      <c r="H15" s="5" t="n">
        <v>8655.49</v>
      </c>
      <c r="I15" s="5" t="n">
        <v>80784.61</v>
      </c>
      <c r="J15" s="5" t="n">
        <v>0</v>
      </c>
      <c r="K15" s="4" t="inlineStr"/>
      <c r="L15" s="5">
        <f>IF(I15="","",I15-J15)</f>
        <v/>
      </c>
      <c r="M15">
        <f>IF(K15="","",K15-B15)</f>
        <v/>
      </c>
    </row>
    <row r="16">
      <c r="A16" t="inlineStr">
        <is>
          <t>S-00015</t>
        </is>
      </c>
      <c r="B16" s="4" t="n">
        <v>45952</v>
      </c>
      <c r="C16" t="inlineStr">
        <is>
          <t>Lakshmi Cloth Store</t>
        </is>
      </c>
      <c r="D16" t="inlineStr">
        <is>
          <t>SALES</t>
        </is>
      </c>
      <c r="E16" t="inlineStr">
        <is>
          <t>Garments</t>
        </is>
      </c>
      <c r="F16" s="5" t="n">
        <v>38547.73</v>
      </c>
      <c r="G16" t="n">
        <v>12</v>
      </c>
      <c r="H16" s="5" t="n">
        <v>4625.73</v>
      </c>
      <c r="I16" s="5" t="n">
        <v>43173.46</v>
      </c>
      <c r="J16" s="5" t="n">
        <v>43173.46</v>
      </c>
      <c r="K16" s="4" t="n">
        <v>45975</v>
      </c>
      <c r="L16" s="5">
        <f>IF(I16="","",I16-J16)</f>
        <v/>
      </c>
      <c r="M16">
        <f>IF(K16="","",K16-B16)</f>
        <v/>
      </c>
    </row>
    <row r="17">
      <c r="A17" t="inlineStr">
        <is>
          <t>S-00016</t>
        </is>
      </c>
      <c r="B17" s="4" t="n">
        <v>45932</v>
      </c>
      <c r="C17" t="inlineStr">
        <is>
          <t>Muzaffarpur Cloth House</t>
        </is>
      </c>
      <c r="D17" t="inlineStr">
        <is>
          <t>SALES</t>
        </is>
      </c>
      <c r="E17" t="inlineStr">
        <is>
          <t>Accessories</t>
        </is>
      </c>
      <c r="F17" s="5" t="n">
        <v>40611.95</v>
      </c>
      <c r="G17" t="n">
        <v>12</v>
      </c>
      <c r="H17" s="5" t="n">
        <v>4873.43</v>
      </c>
      <c r="I17" s="5" t="n">
        <v>45485.38</v>
      </c>
      <c r="J17" s="5" t="n">
        <v>0</v>
      </c>
      <c r="K17" s="4" t="inlineStr"/>
      <c r="L17" s="5">
        <f>IF(I17="","",I17-J17)</f>
        <v/>
      </c>
      <c r="M17">
        <f>IF(K17="","",K17-B17)</f>
        <v/>
      </c>
    </row>
    <row r="18">
      <c r="A18" t="inlineStr">
        <is>
          <t>S-00017</t>
        </is>
      </c>
      <c r="B18" s="4" t="n">
        <v>45960</v>
      </c>
      <c r="C18" t="inlineStr">
        <is>
          <t>Arrah Garment Plaza</t>
        </is>
      </c>
      <c r="D18" t="inlineStr">
        <is>
          <t>SALES</t>
        </is>
      </c>
      <c r="E18" t="inlineStr">
        <is>
          <t>Garments</t>
        </is>
      </c>
      <c r="F18" s="5" t="n">
        <v>19201.36</v>
      </c>
      <c r="G18" t="n">
        <v>12</v>
      </c>
      <c r="H18" s="5" t="n">
        <v>2304.16</v>
      </c>
      <c r="I18" s="5" t="n">
        <v>21505.52</v>
      </c>
      <c r="J18" s="5" t="n">
        <v>21505.52</v>
      </c>
      <c r="K18" s="4" t="n">
        <v>46031</v>
      </c>
      <c r="L18" s="5">
        <f>IF(I18="","",I18-J18)</f>
        <v/>
      </c>
      <c r="M18">
        <f>IF(K18="","",K18-B18)</f>
        <v/>
      </c>
    </row>
    <row r="19">
      <c r="A19" t="inlineStr">
        <is>
          <t>S-00018</t>
        </is>
      </c>
      <c r="B19" s="4" t="n">
        <v>45941</v>
      </c>
      <c r="C19" t="inlineStr">
        <is>
          <t>Trendy Threads</t>
        </is>
      </c>
      <c r="D19" t="inlineStr">
        <is>
          <t>SALES</t>
        </is>
      </c>
      <c r="E19" t="inlineStr">
        <is>
          <t>Fabrics</t>
        </is>
      </c>
      <c r="F19" s="5" t="n">
        <v>78227.06</v>
      </c>
      <c r="G19" t="n">
        <v>5</v>
      </c>
      <c r="H19" s="5" t="n">
        <v>3911.35</v>
      </c>
      <c r="I19" s="5" t="n">
        <v>82138.41</v>
      </c>
      <c r="J19" s="5" t="n">
        <v>48055.6</v>
      </c>
      <c r="K19" s="4" t="n">
        <v>46002</v>
      </c>
      <c r="L19" s="5">
        <f>IF(I19="","",I19-J19)</f>
        <v/>
      </c>
      <c r="M19">
        <f>IF(K19="","",K19-B19)</f>
        <v/>
      </c>
    </row>
    <row r="20">
      <c r="A20" t="inlineStr">
        <is>
          <t>S-00019</t>
        </is>
      </c>
      <c r="B20" s="4" t="n">
        <v>45951</v>
      </c>
      <c r="C20" t="inlineStr">
        <is>
          <t>Gaya Textile Traders</t>
        </is>
      </c>
      <c r="D20" t="inlineStr">
        <is>
          <t>SALES</t>
        </is>
      </c>
      <c r="E20" t="inlineStr">
        <is>
          <t>Fabrics</t>
        </is>
      </c>
      <c r="F20" s="5" t="n">
        <v>85368.07000000001</v>
      </c>
      <c r="G20" t="n">
        <v>5</v>
      </c>
      <c r="H20" s="5" t="n">
        <v>4268.4</v>
      </c>
      <c r="I20" s="5" t="n">
        <v>89636.47</v>
      </c>
      <c r="J20" s="5" t="n">
        <v>89636.47</v>
      </c>
      <c r="K20" s="4" t="n">
        <v>45968</v>
      </c>
      <c r="L20" s="5">
        <f>IF(I20="","",I20-J20)</f>
        <v/>
      </c>
      <c r="M20">
        <f>IF(K20="","",K20-B20)</f>
        <v/>
      </c>
    </row>
    <row r="21">
      <c r="A21" t="inlineStr">
        <is>
          <t>S-00020</t>
        </is>
      </c>
      <c r="B21" s="4" t="n">
        <v>45939</v>
      </c>
      <c r="C21" t="inlineStr">
        <is>
          <t>City Centre Apparel</t>
        </is>
      </c>
      <c r="D21" t="inlineStr">
        <is>
          <t>SALES</t>
        </is>
      </c>
      <c r="E21" t="inlineStr">
        <is>
          <t>Fabrics</t>
        </is>
      </c>
      <c r="F21" s="5" t="n">
        <v>48161.2</v>
      </c>
      <c r="G21" t="n">
        <v>5</v>
      </c>
      <c r="H21" s="5" t="n">
        <v>2408.06</v>
      </c>
      <c r="I21" s="5" t="n">
        <v>50569.26</v>
      </c>
      <c r="J21" s="5" t="n">
        <v>50569.26</v>
      </c>
      <c r="K21" s="4" t="n">
        <v>45953</v>
      </c>
      <c r="L21" s="5">
        <f>IF(I21="","",I21-J21)</f>
        <v/>
      </c>
      <c r="M21">
        <f>IF(K21="","",K21-B21)</f>
        <v/>
      </c>
    </row>
    <row r="22">
      <c r="A22" t="inlineStr">
        <is>
          <t>S-00021</t>
        </is>
      </c>
      <c r="B22" s="4" t="n">
        <v>45944</v>
      </c>
      <c r="C22" t="inlineStr">
        <is>
          <t>Muzaffarpur Cloth House</t>
        </is>
      </c>
      <c r="D22" t="inlineStr">
        <is>
          <t>SALES</t>
        </is>
      </c>
      <c r="E22" t="inlineStr">
        <is>
          <t>Accessories</t>
        </is>
      </c>
      <c r="F22" s="5" t="n">
        <v>26130.13</v>
      </c>
      <c r="G22" t="n">
        <v>12</v>
      </c>
      <c r="H22" s="5" t="n">
        <v>3135.62</v>
      </c>
      <c r="I22" s="5" t="n">
        <v>29265.75</v>
      </c>
      <c r="J22" s="5" t="n">
        <v>29265.75</v>
      </c>
      <c r="K22" s="4" t="n">
        <v>45980</v>
      </c>
      <c r="L22" s="5">
        <f>IF(I22="","",I22-J22)</f>
        <v/>
      </c>
      <c r="M22">
        <f>IF(K22="","",K22-B22)</f>
        <v/>
      </c>
    </row>
    <row r="23">
      <c r="A23" t="inlineStr">
        <is>
          <t>S-00022</t>
        </is>
      </c>
      <c r="B23" s="4" t="n">
        <v>45961</v>
      </c>
      <c r="C23" t="inlineStr">
        <is>
          <t>Patna Fashion House</t>
        </is>
      </c>
      <c r="D23" t="inlineStr">
        <is>
          <t>SALES</t>
        </is>
      </c>
      <c r="E23" t="inlineStr">
        <is>
          <t>Garments</t>
        </is>
      </c>
      <c r="F23" s="5" t="n">
        <v>54681.33</v>
      </c>
      <c r="G23" t="n">
        <v>12</v>
      </c>
      <c r="H23" s="5" t="n">
        <v>6561.76</v>
      </c>
      <c r="I23" s="5" t="n">
        <v>61243.09</v>
      </c>
      <c r="J23" s="5" t="n">
        <v>61243.09</v>
      </c>
      <c r="K23" s="4" t="n">
        <v>46016</v>
      </c>
      <c r="L23" s="5">
        <f>IF(I23="","",I23-J23)</f>
        <v/>
      </c>
      <c r="M23">
        <f>IF(K23="","",K23-B23)</f>
        <v/>
      </c>
    </row>
    <row r="24">
      <c r="A24" t="inlineStr">
        <is>
          <t>S-00023</t>
        </is>
      </c>
      <c r="B24" s="4" t="n">
        <v>45943</v>
      </c>
      <c r="C24" t="inlineStr">
        <is>
          <t>Bhagalpur Silk Centre</t>
        </is>
      </c>
      <c r="D24" t="inlineStr">
        <is>
          <t>SALES</t>
        </is>
      </c>
      <c r="E24" t="inlineStr">
        <is>
          <t>Garments</t>
        </is>
      </c>
      <c r="F24" s="5" t="n">
        <v>21524.59</v>
      </c>
      <c r="G24" t="n">
        <v>12</v>
      </c>
      <c r="H24" s="5" t="n">
        <v>2582.95</v>
      </c>
      <c r="I24" s="5" t="n">
        <v>24107.54</v>
      </c>
      <c r="J24" s="5" t="n">
        <v>24107.54</v>
      </c>
      <c r="K24" s="4" t="n">
        <v>45986</v>
      </c>
      <c r="L24" s="5">
        <f>IF(I24="","",I24-J24)</f>
        <v/>
      </c>
      <c r="M24">
        <f>IF(K24="","",K24-B24)</f>
        <v/>
      </c>
    </row>
    <row r="25">
      <c r="A25" t="inlineStr">
        <is>
          <t>S-00024</t>
        </is>
      </c>
      <c r="B25" s="4" t="n">
        <v>45932</v>
      </c>
      <c r="C25" t="inlineStr">
        <is>
          <t>Sharma Retail Store</t>
        </is>
      </c>
      <c r="D25" t="inlineStr">
        <is>
          <t>SALES</t>
        </is>
      </c>
      <c r="E25" t="inlineStr">
        <is>
          <t>Garments</t>
        </is>
      </c>
      <c r="F25" s="5" t="n">
        <v>84328.27</v>
      </c>
      <c r="G25" t="n">
        <v>12</v>
      </c>
      <c r="H25" s="5" t="n">
        <v>10119.39</v>
      </c>
      <c r="I25" s="5" t="n">
        <v>94447.66</v>
      </c>
      <c r="J25" s="5" t="n">
        <v>94447.66</v>
      </c>
      <c r="K25" s="4" t="n">
        <v>45963</v>
      </c>
      <c r="L25" s="5">
        <f>IF(I25="","",I25-J25)</f>
        <v/>
      </c>
      <c r="M25">
        <f>IF(K25="","",K25-B25)</f>
        <v/>
      </c>
    </row>
    <row r="26">
      <c r="A26" t="inlineStr">
        <is>
          <t>S-00025</t>
        </is>
      </c>
      <c r="B26" s="4" t="n">
        <v>45947</v>
      </c>
      <c r="C26" t="inlineStr">
        <is>
          <t>Bazaar Collection</t>
        </is>
      </c>
      <c r="D26" t="inlineStr">
        <is>
          <t>SALES</t>
        </is>
      </c>
      <c r="E26" t="inlineStr">
        <is>
          <t>Garments</t>
        </is>
      </c>
      <c r="F26" s="5" t="n">
        <v>92705.53999999999</v>
      </c>
      <c r="G26" t="n">
        <v>12</v>
      </c>
      <c r="H26" s="5" t="n">
        <v>11124.66</v>
      </c>
      <c r="I26" s="5" t="n">
        <v>103830.2</v>
      </c>
      <c r="J26" s="5" t="n">
        <v>103830.2</v>
      </c>
      <c r="K26" s="4" t="n">
        <v>45973</v>
      </c>
      <c r="L26" s="5">
        <f>IF(I26="","",I26-J26)</f>
        <v/>
      </c>
      <c r="M26">
        <f>IF(K26="","",K26-B26)</f>
        <v/>
      </c>
    </row>
    <row r="27">
      <c r="A27" t="inlineStr">
        <is>
          <t>S-00026</t>
        </is>
      </c>
      <c r="B27" s="4" t="n">
        <v>45953</v>
      </c>
      <c r="C27" t="inlineStr">
        <is>
          <t>Trendy Threads</t>
        </is>
      </c>
      <c r="D27" t="inlineStr">
        <is>
          <t>SALES</t>
        </is>
      </c>
      <c r="E27" t="inlineStr">
        <is>
          <t>Accessories</t>
        </is>
      </c>
      <c r="F27" s="5" t="n">
        <v>48811.13</v>
      </c>
      <c r="G27" t="n">
        <v>12</v>
      </c>
      <c r="H27" s="5" t="n">
        <v>5857.34</v>
      </c>
      <c r="I27" s="5" t="n">
        <v>54668.47</v>
      </c>
      <c r="J27" s="5" t="n">
        <v>26916.26</v>
      </c>
      <c r="K27" s="4" t="n">
        <v>46009</v>
      </c>
      <c r="L27" s="5">
        <f>IF(I27="","",I27-J27)</f>
        <v/>
      </c>
      <c r="M27">
        <f>IF(K27="","",K27-B27)</f>
        <v/>
      </c>
    </row>
    <row r="28">
      <c r="A28" t="inlineStr">
        <is>
          <t>S-00027</t>
        </is>
      </c>
      <c r="B28" s="4" t="n">
        <v>45951</v>
      </c>
      <c r="C28" t="inlineStr">
        <is>
          <t>City Centre Apparel</t>
        </is>
      </c>
      <c r="D28" t="inlineStr">
        <is>
          <t>SALES</t>
        </is>
      </c>
      <c r="E28" t="inlineStr">
        <is>
          <t>Garments</t>
        </is>
      </c>
      <c r="F28" s="5" t="n">
        <v>35581.48</v>
      </c>
      <c r="G28" t="n">
        <v>12</v>
      </c>
      <c r="H28" s="5" t="n">
        <v>4269.78</v>
      </c>
      <c r="I28" s="5" t="n">
        <v>39851.26</v>
      </c>
      <c r="J28" s="5" t="n">
        <v>39851.26</v>
      </c>
      <c r="K28" s="4" t="n">
        <v>45985</v>
      </c>
      <c r="L28" s="5">
        <f>IF(I28="","",I28-J28)</f>
        <v/>
      </c>
      <c r="M28">
        <f>IF(K28="","",K28-B28)</f>
        <v/>
      </c>
    </row>
    <row r="29">
      <c r="A29" t="inlineStr">
        <is>
          <t>S-00028</t>
        </is>
      </c>
      <c r="B29" s="4" t="n">
        <v>45949</v>
      </c>
      <c r="C29" t="inlineStr">
        <is>
          <t>Vishal Mega Mart (franchise)</t>
        </is>
      </c>
      <c r="D29" t="inlineStr">
        <is>
          <t>SALES</t>
        </is>
      </c>
      <c r="E29" t="inlineStr">
        <is>
          <t>Fabrics</t>
        </is>
      </c>
      <c r="F29" s="5" t="n">
        <v>73908.34</v>
      </c>
      <c r="G29" t="n">
        <v>5</v>
      </c>
      <c r="H29" s="5" t="n">
        <v>3695.42</v>
      </c>
      <c r="I29" s="5" t="n">
        <v>77603.75999999999</v>
      </c>
      <c r="J29" s="5" t="n">
        <v>77603.75999999999</v>
      </c>
      <c r="K29" s="4" t="n">
        <v>45968</v>
      </c>
      <c r="L29" s="5">
        <f>IF(I29="","",I29-J29)</f>
        <v/>
      </c>
      <c r="M29">
        <f>IF(K29="","",K29-B29)</f>
        <v/>
      </c>
    </row>
    <row r="30">
      <c r="A30" t="inlineStr">
        <is>
          <t>S-00029</t>
        </is>
      </c>
      <c r="B30" s="4" t="n">
        <v>45959</v>
      </c>
      <c r="C30" t="inlineStr">
        <is>
          <t>Bazaar Collection</t>
        </is>
      </c>
      <c r="D30" t="inlineStr">
        <is>
          <t>SALES</t>
        </is>
      </c>
      <c r="E30" t="inlineStr">
        <is>
          <t>Garments</t>
        </is>
      </c>
      <c r="F30" s="5" t="n">
        <v>38617.55</v>
      </c>
      <c r="G30" t="n">
        <v>12</v>
      </c>
      <c r="H30" s="5" t="n">
        <v>4634.11</v>
      </c>
      <c r="I30" s="5" t="n">
        <v>43251.66</v>
      </c>
      <c r="J30" s="5" t="n">
        <v>43251.66</v>
      </c>
      <c r="K30" s="4" t="n">
        <v>46004</v>
      </c>
      <c r="L30" s="5">
        <f>IF(I30="","",I30-J30)</f>
        <v/>
      </c>
      <c r="M30">
        <f>IF(K30="","",K30-B30)</f>
        <v/>
      </c>
    </row>
    <row r="31">
      <c r="A31" t="inlineStr">
        <is>
          <t>S-00030</t>
        </is>
      </c>
      <c r="B31" s="4" t="n">
        <v>45954</v>
      </c>
      <c r="C31" t="inlineStr">
        <is>
          <t>Bazaar Collection</t>
        </is>
      </c>
      <c r="D31" t="inlineStr">
        <is>
          <t>SALES</t>
        </is>
      </c>
      <c r="E31" t="inlineStr">
        <is>
          <t>Garments</t>
        </is>
      </c>
      <c r="F31" s="5" t="n">
        <v>75970.87</v>
      </c>
      <c r="G31" t="n">
        <v>12</v>
      </c>
      <c r="H31" s="5" t="n">
        <v>9116.5</v>
      </c>
      <c r="I31" s="5" t="n">
        <v>85087.37</v>
      </c>
      <c r="J31" s="5" t="n">
        <v>40598.37</v>
      </c>
      <c r="K31" s="4" t="n">
        <v>45975</v>
      </c>
      <c r="L31" s="5">
        <f>IF(I31="","",I31-J31)</f>
        <v/>
      </c>
      <c r="M31">
        <f>IF(K31="","",K31-B31)</f>
        <v/>
      </c>
    </row>
    <row r="32">
      <c r="A32" t="inlineStr">
        <is>
          <t>S-00031</t>
        </is>
      </c>
      <c r="B32" s="4" t="n">
        <v>45945</v>
      </c>
      <c r="C32" t="inlineStr">
        <is>
          <t>Purnia Fashion Hub</t>
        </is>
      </c>
      <c r="D32" t="inlineStr">
        <is>
          <t>SALES</t>
        </is>
      </c>
      <c r="E32" t="inlineStr">
        <is>
          <t>Garments</t>
        </is>
      </c>
      <c r="F32" s="5" t="n">
        <v>65709.3</v>
      </c>
      <c r="G32" t="n">
        <v>12</v>
      </c>
      <c r="H32" s="5" t="n">
        <v>7885.12</v>
      </c>
      <c r="I32" s="5" t="n">
        <v>73594.42</v>
      </c>
      <c r="J32" s="5" t="n">
        <v>73594.42</v>
      </c>
      <c r="K32" s="4" t="n">
        <v>45975</v>
      </c>
      <c r="L32" s="5">
        <f>IF(I32="","",I32-J32)</f>
        <v/>
      </c>
      <c r="M32">
        <f>IF(K32="","",K32-B32)</f>
        <v/>
      </c>
    </row>
    <row r="33">
      <c r="A33" t="inlineStr">
        <is>
          <t>S-00032</t>
        </is>
      </c>
      <c r="B33" s="4" t="n">
        <v>45945</v>
      </c>
      <c r="C33" t="inlineStr">
        <is>
          <t>Sharma Retail Store</t>
        </is>
      </c>
      <c r="D33" t="inlineStr">
        <is>
          <t>SALES</t>
        </is>
      </c>
      <c r="E33" t="inlineStr">
        <is>
          <t>Garments</t>
        </is>
      </c>
      <c r="F33" s="5" t="n">
        <v>60466.11</v>
      </c>
      <c r="G33" t="n">
        <v>12</v>
      </c>
      <c r="H33" s="5" t="n">
        <v>7255.93</v>
      </c>
      <c r="I33" s="5" t="n">
        <v>67722.03999999999</v>
      </c>
      <c r="J33" s="5" t="n">
        <v>67722.03999999999</v>
      </c>
      <c r="K33" s="4" t="n">
        <v>45983</v>
      </c>
      <c r="L33" s="5">
        <f>IF(I33="","",I33-J33)</f>
        <v/>
      </c>
      <c r="M33">
        <f>IF(K33="","",K33-B33)</f>
        <v/>
      </c>
    </row>
    <row r="34">
      <c r="A34" t="inlineStr">
        <is>
          <t>S-00033</t>
        </is>
      </c>
      <c r="B34" s="4" t="n">
        <v>45960</v>
      </c>
      <c r="C34" t="inlineStr">
        <is>
          <t>Darbhanga Dress Point</t>
        </is>
      </c>
      <c r="D34" t="inlineStr">
        <is>
          <t>SALES</t>
        </is>
      </c>
      <c r="E34" t="inlineStr">
        <is>
          <t>Fabrics</t>
        </is>
      </c>
      <c r="F34" s="5" t="n">
        <v>60857.72</v>
      </c>
      <c r="G34" t="n">
        <v>5</v>
      </c>
      <c r="H34" s="5" t="n">
        <v>3042.89</v>
      </c>
      <c r="I34" s="5" t="n">
        <v>63900.61</v>
      </c>
      <c r="J34" s="5" t="n">
        <v>63900.61</v>
      </c>
      <c r="K34" s="4" t="n">
        <v>45978</v>
      </c>
      <c r="L34" s="5">
        <f>IF(I34="","",I34-J34)</f>
        <v/>
      </c>
      <c r="M34">
        <f>IF(K34="","",K34-B34)</f>
        <v/>
      </c>
    </row>
    <row r="35">
      <c r="A35" t="inlineStr">
        <is>
          <t>S-00034</t>
        </is>
      </c>
      <c r="B35" s="4" t="n">
        <v>45944</v>
      </c>
      <c r="C35" t="inlineStr">
        <is>
          <t>New Look Garments</t>
        </is>
      </c>
      <c r="D35" t="inlineStr">
        <is>
          <t>SALES</t>
        </is>
      </c>
      <c r="E35" t="inlineStr">
        <is>
          <t>Garments</t>
        </is>
      </c>
      <c r="F35" s="5" t="n">
        <v>60127.18</v>
      </c>
      <c r="G35" t="n">
        <v>12</v>
      </c>
      <c r="H35" s="5" t="n">
        <v>7215.26</v>
      </c>
      <c r="I35" s="5" t="n">
        <v>67342.44</v>
      </c>
      <c r="J35" s="5" t="n">
        <v>67342.44</v>
      </c>
      <c r="K35" s="4" t="n">
        <v>45983</v>
      </c>
      <c r="L35" s="5">
        <f>IF(I35="","",I35-J35)</f>
        <v/>
      </c>
      <c r="M35">
        <f>IF(K35="","",K35-B35)</f>
        <v/>
      </c>
    </row>
    <row r="36">
      <c r="A36" t="inlineStr">
        <is>
          <t>S-00035</t>
        </is>
      </c>
      <c r="B36" s="4" t="n">
        <v>45940</v>
      </c>
      <c r="C36" t="inlineStr">
        <is>
          <t>Darbhanga Dress Point</t>
        </is>
      </c>
      <c r="D36" t="inlineStr">
        <is>
          <t>SALES</t>
        </is>
      </c>
      <c r="E36" t="inlineStr">
        <is>
          <t>Fabrics</t>
        </is>
      </c>
      <c r="F36" s="5" t="n">
        <v>66746.84</v>
      </c>
      <c r="G36" t="n">
        <v>5</v>
      </c>
      <c r="H36" s="5" t="n">
        <v>3337.34</v>
      </c>
      <c r="I36" s="5" t="n">
        <v>70084.17999999999</v>
      </c>
      <c r="J36" s="5" t="n">
        <v>70084.17999999999</v>
      </c>
      <c r="K36" s="4" t="n">
        <v>46004</v>
      </c>
      <c r="L36" s="5">
        <f>IF(I36="","",I36-J36)</f>
        <v/>
      </c>
      <c r="M36">
        <f>IF(K36="","",K36-B36)</f>
        <v/>
      </c>
    </row>
    <row r="37">
      <c r="A37" t="inlineStr">
        <is>
          <t>S-00036</t>
        </is>
      </c>
      <c r="B37" s="4" t="n">
        <v>45936</v>
      </c>
      <c r="C37" t="inlineStr">
        <is>
          <t>Vishal Mega Mart (franchise)</t>
        </is>
      </c>
      <c r="D37" t="inlineStr">
        <is>
          <t>SALES</t>
        </is>
      </c>
      <c r="E37" t="inlineStr">
        <is>
          <t>Fabrics</t>
        </is>
      </c>
      <c r="F37" s="5" t="n">
        <v>37679.37</v>
      </c>
      <c r="G37" t="n">
        <v>5</v>
      </c>
      <c r="H37" s="5" t="n">
        <v>1883.97</v>
      </c>
      <c r="I37" s="5" t="n">
        <v>39563.34</v>
      </c>
      <c r="J37" s="5" t="n">
        <v>39563.34</v>
      </c>
      <c r="K37" s="4" t="n">
        <v>45985</v>
      </c>
      <c r="L37" s="5">
        <f>IF(I37="","",I37-J37)</f>
        <v/>
      </c>
      <c r="M37">
        <f>IF(K37="","",K37-B37)</f>
        <v/>
      </c>
    </row>
    <row r="38">
      <c r="A38" t="inlineStr">
        <is>
          <t>S-00037</t>
        </is>
      </c>
      <c r="B38" s="4" t="n">
        <v>45946</v>
      </c>
      <c r="C38" t="inlineStr">
        <is>
          <t>Bazaar Collection</t>
        </is>
      </c>
      <c r="D38" t="inlineStr">
        <is>
          <t>SALES</t>
        </is>
      </c>
      <c r="E38" t="inlineStr">
        <is>
          <t>Garments</t>
        </is>
      </c>
      <c r="F38" s="5" t="n">
        <v>75556.22</v>
      </c>
      <c r="G38" t="n">
        <v>12</v>
      </c>
      <c r="H38" s="5" t="n">
        <v>9066.75</v>
      </c>
      <c r="I38" s="5" t="n">
        <v>84622.97</v>
      </c>
      <c r="J38" s="5" t="n">
        <v>84622.97</v>
      </c>
      <c r="K38" s="4" t="n">
        <v>45975</v>
      </c>
      <c r="L38" s="5">
        <f>IF(I38="","",I38-J38)</f>
        <v/>
      </c>
      <c r="M38">
        <f>IF(K38="","",K38-B38)</f>
        <v/>
      </c>
    </row>
    <row r="39">
      <c r="A39" t="inlineStr">
        <is>
          <t>S-00038</t>
        </is>
      </c>
      <c r="B39" s="4" t="n">
        <v>45950</v>
      </c>
      <c r="C39" t="inlineStr">
        <is>
          <t>Vishal Mega Mart (franchise)</t>
        </is>
      </c>
      <c r="D39" t="inlineStr">
        <is>
          <t>SALES</t>
        </is>
      </c>
      <c r="E39" t="inlineStr">
        <is>
          <t>Fabrics</t>
        </is>
      </c>
      <c r="F39" s="5" t="n">
        <v>52118.29</v>
      </c>
      <c r="G39" t="n">
        <v>5</v>
      </c>
      <c r="H39" s="5" t="n">
        <v>2605.91</v>
      </c>
      <c r="I39" s="5" t="n">
        <v>54724.2</v>
      </c>
      <c r="J39" s="5" t="n">
        <v>54724.2</v>
      </c>
      <c r="K39" s="4" t="n">
        <v>45957</v>
      </c>
      <c r="L39" s="5">
        <f>IF(I39="","",I39-J39)</f>
        <v/>
      </c>
      <c r="M39">
        <f>IF(K39="","",K39-B39)</f>
        <v/>
      </c>
    </row>
    <row r="40">
      <c r="A40" t="inlineStr">
        <is>
          <t>S-00039</t>
        </is>
      </c>
      <c r="B40" s="4" t="n">
        <v>45947</v>
      </c>
      <c r="C40" t="inlineStr">
        <is>
          <t>Lakshmi Cloth Store</t>
        </is>
      </c>
      <c r="D40" t="inlineStr">
        <is>
          <t>SALES</t>
        </is>
      </c>
      <c r="E40" t="inlineStr">
        <is>
          <t>Accessories</t>
        </is>
      </c>
      <c r="F40" s="5" t="n">
        <v>39190.5</v>
      </c>
      <c r="G40" t="n">
        <v>12</v>
      </c>
      <c r="H40" s="5" t="n">
        <v>4702.86</v>
      </c>
      <c r="I40" s="5" t="n">
        <v>43893.36</v>
      </c>
      <c r="J40" s="5" t="n">
        <v>43893.36</v>
      </c>
      <c r="K40" s="4" t="n">
        <v>45959</v>
      </c>
      <c r="L40" s="5">
        <f>IF(I40="","",I40-J40)</f>
        <v/>
      </c>
      <c r="M40">
        <f>IF(K40="","",K40-B40)</f>
        <v/>
      </c>
    </row>
    <row r="41">
      <c r="A41" t="inlineStr">
        <is>
          <t>P-00001</t>
        </is>
      </c>
      <c r="B41" s="4" t="n">
        <v>45943</v>
      </c>
      <c r="C41" t="inlineStr">
        <is>
          <t>Kolkata Hosiery House</t>
        </is>
      </c>
      <c r="D41" t="inlineStr">
        <is>
          <t>PURCHASE</t>
        </is>
      </c>
      <c r="E41" t="inlineStr">
        <is>
          <t>Inventory purchases</t>
        </is>
      </c>
      <c r="F41" s="5" t="n">
        <v>68123.91</v>
      </c>
      <c r="G41" t="n">
        <v>5</v>
      </c>
      <c r="H41" s="5" t="n">
        <v>3406.2</v>
      </c>
      <c r="I41" s="5" t="n">
        <v>71530.11</v>
      </c>
      <c r="J41" s="5" t="n">
        <v>71530.11</v>
      </c>
      <c r="K41" s="4" t="n">
        <v>45962</v>
      </c>
      <c r="L41" s="5">
        <f>IF(I41="","",I41-J41)</f>
        <v/>
      </c>
      <c r="M41">
        <f>IF(K41="","",K41-B41)</f>
        <v/>
      </c>
    </row>
    <row r="42">
      <c r="A42" t="inlineStr">
        <is>
          <t>P-00002</t>
        </is>
      </c>
      <c r="B42" s="4" t="n">
        <v>45960</v>
      </c>
      <c r="C42" t="inlineStr">
        <is>
          <t>Kolkata Hosiery House</t>
        </is>
      </c>
      <c r="D42" t="inlineStr">
        <is>
          <t>PURCHASE</t>
        </is>
      </c>
      <c r="E42" t="inlineStr">
        <is>
          <t>Inventory purchases</t>
        </is>
      </c>
      <c r="F42" s="5" t="n">
        <v>22432.41</v>
      </c>
      <c r="G42" t="n">
        <v>5</v>
      </c>
      <c r="H42" s="5" t="n">
        <v>1121.62</v>
      </c>
      <c r="I42" s="5" t="n">
        <v>23554.03</v>
      </c>
      <c r="J42" s="5" t="n">
        <v>0</v>
      </c>
      <c r="K42" s="4" t="inlineStr"/>
      <c r="L42" s="5">
        <f>IF(I42="","",I42-J42)</f>
        <v/>
      </c>
      <c r="M42">
        <f>IF(K42="","",K42-B42)</f>
        <v/>
      </c>
    </row>
    <row r="43">
      <c r="A43" t="inlineStr">
        <is>
          <t>P-00003</t>
        </is>
      </c>
      <c r="B43" s="4" t="n">
        <v>45939</v>
      </c>
      <c r="C43" t="inlineStr">
        <is>
          <t>Kolkata Hosiery House</t>
        </is>
      </c>
      <c r="D43" t="inlineStr">
        <is>
          <t>PURCHASE</t>
        </is>
      </c>
      <c r="E43" t="inlineStr">
        <is>
          <t>Inventory purchases</t>
        </is>
      </c>
      <c r="F43" s="5" t="n">
        <v>13905.84</v>
      </c>
      <c r="G43" t="n">
        <v>5</v>
      </c>
      <c r="H43" s="5" t="n">
        <v>695.29</v>
      </c>
      <c r="I43" s="5" t="n">
        <v>14601.13</v>
      </c>
      <c r="J43" s="5" t="n">
        <v>14601.13</v>
      </c>
      <c r="K43" s="4" t="n">
        <v>45954</v>
      </c>
      <c r="L43" s="5">
        <f>IF(I43="","",I43-J43)</f>
        <v/>
      </c>
      <c r="M43">
        <f>IF(K43="","",K43-B43)</f>
        <v/>
      </c>
    </row>
    <row r="44">
      <c r="A44" t="inlineStr">
        <is>
          <t>P-00004</t>
        </is>
      </c>
      <c r="B44" s="4" t="n">
        <v>45957</v>
      </c>
      <c r="C44" t="inlineStr">
        <is>
          <t>Delhi Fabric Suppliers</t>
        </is>
      </c>
      <c r="D44" t="inlineStr">
        <is>
          <t>PURCHASE</t>
        </is>
      </c>
      <c r="E44" t="inlineStr">
        <is>
          <t>Inventory purchases</t>
        </is>
      </c>
      <c r="F44" s="5" t="n">
        <v>115697.95</v>
      </c>
      <c r="G44" t="n">
        <v>5</v>
      </c>
      <c r="H44" s="5" t="n">
        <v>5784.9</v>
      </c>
      <c r="I44" s="5" t="n">
        <v>121482.85</v>
      </c>
      <c r="J44" s="5" t="n">
        <v>121482.85</v>
      </c>
      <c r="K44" s="4" t="n">
        <v>45976</v>
      </c>
      <c r="L44" s="5">
        <f>IF(I44="","",I44-J44)</f>
        <v/>
      </c>
      <c r="M44">
        <f>IF(K44="","",K44-B44)</f>
        <v/>
      </c>
    </row>
    <row r="45">
      <c r="A45" t="inlineStr">
        <is>
          <t>P-00005</t>
        </is>
      </c>
      <c r="B45" s="4" t="n">
        <v>45934</v>
      </c>
      <c r="C45" t="inlineStr">
        <is>
          <t>Surat Textile Mills</t>
        </is>
      </c>
      <c r="D45" t="inlineStr">
        <is>
          <t>PURCHASE</t>
        </is>
      </c>
      <c r="E45" t="inlineStr">
        <is>
          <t>Inventory purchases</t>
        </is>
      </c>
      <c r="F45" s="5" t="n">
        <v>68504.42999999999</v>
      </c>
      <c r="G45" t="n">
        <v>5</v>
      </c>
      <c r="H45" s="5" t="n">
        <v>3425.22</v>
      </c>
      <c r="I45" s="5" t="n">
        <v>71929.64999999999</v>
      </c>
      <c r="J45" s="5" t="n">
        <v>71929.64999999999</v>
      </c>
      <c r="K45" s="4" t="n">
        <v>45959</v>
      </c>
      <c r="L45" s="5">
        <f>IF(I45="","",I45-J45)</f>
        <v/>
      </c>
      <c r="M45">
        <f>IF(K45="","",K45-B45)</f>
        <v/>
      </c>
    </row>
    <row r="46">
      <c r="A46" t="inlineStr">
        <is>
          <t>P-00006</t>
        </is>
      </c>
      <c r="B46" s="4" t="n">
        <v>45941</v>
      </c>
      <c r="C46" t="inlineStr">
        <is>
          <t>Jaipur Print Works</t>
        </is>
      </c>
      <c r="D46" t="inlineStr">
        <is>
          <t>PURCHASE</t>
        </is>
      </c>
      <c r="E46" t="inlineStr">
        <is>
          <t>Inventory purchases</t>
        </is>
      </c>
      <c r="F46" s="5" t="n">
        <v>49816.64</v>
      </c>
      <c r="G46" t="n">
        <v>5</v>
      </c>
      <c r="H46" s="5" t="n">
        <v>2490.83</v>
      </c>
      <c r="I46" s="5" t="n">
        <v>52307.47</v>
      </c>
      <c r="J46" s="5" t="n">
        <v>52307.47</v>
      </c>
      <c r="K46" s="4" t="n">
        <v>45971</v>
      </c>
      <c r="L46" s="5">
        <f>IF(I46="","",I46-J46)</f>
        <v/>
      </c>
      <c r="M46">
        <f>IF(K46="","",K46-B46)</f>
        <v/>
      </c>
    </row>
    <row r="47">
      <c r="A47" t="inlineStr">
        <is>
          <t>P-00007</t>
        </is>
      </c>
      <c r="B47" s="4" t="n">
        <v>45948</v>
      </c>
      <c r="C47" t="inlineStr">
        <is>
          <t>Tiruppur Garment Works</t>
        </is>
      </c>
      <c r="D47" t="inlineStr">
        <is>
          <t>PURCHASE</t>
        </is>
      </c>
      <c r="E47" t="inlineStr">
        <is>
          <t>Inventory purchases</t>
        </is>
      </c>
      <c r="F47" s="5" t="n">
        <v>114530.45</v>
      </c>
      <c r="G47" t="n">
        <v>5</v>
      </c>
      <c r="H47" s="5" t="n">
        <v>5726.52</v>
      </c>
      <c r="I47" s="5" t="n">
        <v>120256.97</v>
      </c>
      <c r="J47" s="5" t="n">
        <v>120256.97</v>
      </c>
      <c r="K47" s="4" t="n">
        <v>45961</v>
      </c>
      <c r="L47" s="5">
        <f>IF(I47="","",I47-J47)</f>
        <v/>
      </c>
      <c r="M47">
        <f>IF(K47="","",K47-B47)</f>
        <v/>
      </c>
    </row>
    <row r="48">
      <c r="A48" t="inlineStr">
        <is>
          <t>P-00008</t>
        </is>
      </c>
      <c r="B48" s="4" t="n">
        <v>45950</v>
      </c>
      <c r="C48" t="inlineStr">
        <is>
          <t>Kolkata Hosiery House</t>
        </is>
      </c>
      <c r="D48" t="inlineStr">
        <is>
          <t>PURCHASE</t>
        </is>
      </c>
      <c r="E48" t="inlineStr">
        <is>
          <t>Inventory purchases</t>
        </is>
      </c>
      <c r="F48" s="5" t="n">
        <v>67394.42</v>
      </c>
      <c r="G48" t="n">
        <v>5</v>
      </c>
      <c r="H48" s="5" t="n">
        <v>3369.72</v>
      </c>
      <c r="I48" s="5" t="n">
        <v>70764.14</v>
      </c>
      <c r="J48" s="5" t="n">
        <v>70764.14</v>
      </c>
      <c r="K48" s="4" t="n">
        <v>45966</v>
      </c>
      <c r="L48" s="5">
        <f>IF(I48="","",I48-J48)</f>
        <v/>
      </c>
      <c r="M48">
        <f>IF(K48="","",K48-B48)</f>
        <v/>
      </c>
    </row>
    <row r="49">
      <c r="A49" t="inlineStr">
        <is>
          <t>P-00009</t>
        </is>
      </c>
      <c r="B49" s="4" t="n">
        <v>45953</v>
      </c>
      <c r="C49" t="inlineStr">
        <is>
          <t>Jaipur Print Works</t>
        </is>
      </c>
      <c r="D49" t="inlineStr">
        <is>
          <t>PURCHASE</t>
        </is>
      </c>
      <c r="E49" t="inlineStr">
        <is>
          <t>Inventory purchases</t>
        </is>
      </c>
      <c r="F49" s="5" t="n">
        <v>98811.07000000001</v>
      </c>
      <c r="G49" t="n">
        <v>5</v>
      </c>
      <c r="H49" s="5" t="n">
        <v>4940.55</v>
      </c>
      <c r="I49" s="5" t="n">
        <v>103751.62</v>
      </c>
      <c r="J49" s="5" t="n">
        <v>48854.72</v>
      </c>
      <c r="K49" s="4" t="n">
        <v>45963</v>
      </c>
      <c r="L49" s="5">
        <f>IF(I49="","",I49-J49)</f>
        <v/>
      </c>
      <c r="M49">
        <f>IF(K49="","",K49-B49)</f>
        <v/>
      </c>
    </row>
    <row r="50">
      <c r="A50" t="inlineStr">
        <is>
          <t>P-00010</t>
        </is>
      </c>
      <c r="B50" s="4" t="n">
        <v>45938</v>
      </c>
      <c r="C50" t="inlineStr">
        <is>
          <t>Jaipur Print Works</t>
        </is>
      </c>
      <c r="D50" t="inlineStr">
        <is>
          <t>PURCHASE</t>
        </is>
      </c>
      <c r="E50" t="inlineStr">
        <is>
          <t>Inventory purchases</t>
        </is>
      </c>
      <c r="F50" s="5" t="n">
        <v>106745.09</v>
      </c>
      <c r="G50" t="n">
        <v>5</v>
      </c>
      <c r="H50" s="5" t="n">
        <v>5337.25</v>
      </c>
      <c r="I50" s="5" t="n">
        <v>112082.34</v>
      </c>
      <c r="J50" s="5" t="n">
        <v>112082.34</v>
      </c>
      <c r="K50" s="4" t="n">
        <v>45964</v>
      </c>
      <c r="L50" s="5">
        <f>IF(I50="","",I50-J50)</f>
        <v/>
      </c>
      <c r="M50">
        <f>IF(K50="","",K50-B50)</f>
        <v/>
      </c>
    </row>
    <row r="51">
      <c r="A51" t="inlineStr">
        <is>
          <t>P-00011</t>
        </is>
      </c>
      <c r="B51" s="4" t="n">
        <v>45932</v>
      </c>
      <c r="C51" t="inlineStr">
        <is>
          <t>Ludhiana Knitwear Co</t>
        </is>
      </c>
      <c r="D51" t="inlineStr">
        <is>
          <t>PURCHASE</t>
        </is>
      </c>
      <c r="E51" t="inlineStr">
        <is>
          <t>Inventory purchases</t>
        </is>
      </c>
      <c r="F51" s="5" t="n">
        <v>109229</v>
      </c>
      <c r="G51" t="n">
        <v>5</v>
      </c>
      <c r="H51" s="5" t="n">
        <v>5461.45</v>
      </c>
      <c r="I51" s="5" t="n">
        <v>114690.45</v>
      </c>
      <c r="J51" s="5" t="n">
        <v>0</v>
      </c>
      <c r="K51" s="4" t="inlineStr"/>
      <c r="L51" s="5">
        <f>IF(I51="","",I51-J51)</f>
        <v/>
      </c>
      <c r="M51">
        <f>IF(K51="","",K51-B51)</f>
        <v/>
      </c>
    </row>
    <row r="52">
      <c r="A52" t="inlineStr">
        <is>
          <t>P-00012</t>
        </is>
      </c>
      <c r="B52" s="4" t="n">
        <v>45936</v>
      </c>
      <c r="C52" t="inlineStr">
        <is>
          <t>Kolkata Hosiery House</t>
        </is>
      </c>
      <c r="D52" t="inlineStr">
        <is>
          <t>PURCHASE</t>
        </is>
      </c>
      <c r="E52" t="inlineStr">
        <is>
          <t>Inventory purchases</t>
        </is>
      </c>
      <c r="F52" s="5" t="n">
        <v>72141.64</v>
      </c>
      <c r="G52" t="n">
        <v>5</v>
      </c>
      <c r="H52" s="5" t="n">
        <v>3607.08</v>
      </c>
      <c r="I52" s="5" t="n">
        <v>75748.72</v>
      </c>
      <c r="J52" s="5" t="n">
        <v>75748.72</v>
      </c>
      <c r="K52" s="4" t="n">
        <v>45950</v>
      </c>
      <c r="L52" s="5">
        <f>IF(I52="","",I52-J52)</f>
        <v/>
      </c>
      <c r="M52">
        <f>IF(K52="","",K52-B52)</f>
        <v/>
      </c>
    </row>
    <row r="53">
      <c r="A53" t="inlineStr">
        <is>
          <t>P-00013</t>
        </is>
      </c>
      <c r="B53" s="4" t="n">
        <v>45954</v>
      </c>
      <c r="C53" t="inlineStr">
        <is>
          <t>Jaipur Print Works</t>
        </is>
      </c>
      <c r="D53" t="inlineStr">
        <is>
          <t>PURCHASE</t>
        </is>
      </c>
      <c r="E53" t="inlineStr">
        <is>
          <t>Inventory purchases</t>
        </is>
      </c>
      <c r="F53" s="5" t="n">
        <v>46969.86</v>
      </c>
      <c r="G53" t="n">
        <v>5</v>
      </c>
      <c r="H53" s="5" t="n">
        <v>2348.49</v>
      </c>
      <c r="I53" s="5" t="n">
        <v>49318.35</v>
      </c>
      <c r="J53" s="5" t="n">
        <v>49318.35</v>
      </c>
      <c r="K53" s="4" t="n">
        <v>45971</v>
      </c>
      <c r="L53" s="5">
        <f>IF(I53="","",I53-J53)</f>
        <v/>
      </c>
      <c r="M53">
        <f>IF(K53="","",K53-B53)</f>
        <v/>
      </c>
    </row>
    <row r="54">
      <c r="A54" t="inlineStr">
        <is>
          <t>P-00014</t>
        </is>
      </c>
      <c r="B54" s="4" t="n">
        <v>45932</v>
      </c>
      <c r="C54" t="inlineStr">
        <is>
          <t>Tiruppur Garment Works</t>
        </is>
      </c>
      <c r="D54" t="inlineStr">
        <is>
          <t>PURCHASE</t>
        </is>
      </c>
      <c r="E54" t="inlineStr">
        <is>
          <t>Inventory purchases</t>
        </is>
      </c>
      <c r="F54" s="5" t="n">
        <v>49901.69</v>
      </c>
      <c r="G54" t="n">
        <v>5</v>
      </c>
      <c r="H54" s="5" t="n">
        <v>2495.08</v>
      </c>
      <c r="I54" s="5" t="n">
        <v>52396.77</v>
      </c>
      <c r="J54" s="5" t="n">
        <v>52396.77</v>
      </c>
      <c r="K54" s="4" t="n">
        <v>45941</v>
      </c>
      <c r="L54" s="5">
        <f>IF(I54="","",I54-J54)</f>
        <v/>
      </c>
      <c r="M54">
        <f>IF(K54="","",K54-B54)</f>
        <v/>
      </c>
    </row>
    <row r="55">
      <c r="A55" t="inlineStr">
        <is>
          <t>P-00015</t>
        </is>
      </c>
      <c r="B55" s="4" t="n">
        <v>45937</v>
      </c>
      <c r="C55" t="inlineStr">
        <is>
          <t>Ludhiana Knitwear Co</t>
        </is>
      </c>
      <c r="D55" t="inlineStr">
        <is>
          <t>PURCHASE</t>
        </is>
      </c>
      <c r="E55" t="inlineStr">
        <is>
          <t>Inventory purchases</t>
        </is>
      </c>
      <c r="F55" s="5" t="n">
        <v>35707.39</v>
      </c>
      <c r="G55" t="n">
        <v>5</v>
      </c>
      <c r="H55" s="5" t="n">
        <v>1785.37</v>
      </c>
      <c r="I55" s="5" t="n">
        <v>37492.76</v>
      </c>
      <c r="J55" s="5" t="n">
        <v>37492.76</v>
      </c>
      <c r="K55" s="4" t="n">
        <v>45962</v>
      </c>
      <c r="L55" s="5">
        <f>IF(I55="","",I55-J55)</f>
        <v/>
      </c>
      <c r="M55">
        <f>IF(K55="","",K55-B55)</f>
        <v/>
      </c>
    </row>
    <row r="56">
      <c r="A56" t="inlineStr">
        <is>
          <t>P-00016</t>
        </is>
      </c>
      <c r="B56" s="4" t="n">
        <v>45953</v>
      </c>
      <c r="C56" t="inlineStr">
        <is>
          <t>Ludhiana Knitwear Co</t>
        </is>
      </c>
      <c r="D56" t="inlineStr">
        <is>
          <t>PURCHASE</t>
        </is>
      </c>
      <c r="E56" t="inlineStr">
        <is>
          <t>Inventory purchases</t>
        </is>
      </c>
      <c r="F56" s="5" t="n">
        <v>65006.82</v>
      </c>
      <c r="G56" t="n">
        <v>5</v>
      </c>
      <c r="H56" s="5" t="n">
        <v>3250.34</v>
      </c>
      <c r="I56" s="5" t="n">
        <v>68257.16</v>
      </c>
      <c r="J56" s="5" t="n">
        <v>68257.16</v>
      </c>
      <c r="K56" s="4" t="n">
        <v>45981</v>
      </c>
      <c r="L56" s="5">
        <f>IF(I56="","",I56-J56)</f>
        <v/>
      </c>
      <c r="M56">
        <f>IF(K56="","",K56-B56)</f>
        <v/>
      </c>
    </row>
    <row r="57">
      <c r="A57" t="inlineStr">
        <is>
          <t>E-00001</t>
        </is>
      </c>
      <c r="B57" s="4" t="n">
        <v>45931</v>
      </c>
      <c r="C57" t="inlineStr">
        <is>
          <t>Various</t>
        </is>
      </c>
      <c r="D57" t="inlineStr">
        <is>
          <t>EXPENSE</t>
        </is>
      </c>
      <c r="E57" t="inlineStr">
        <is>
          <t>Rent</t>
        </is>
      </c>
      <c r="F57" s="5" t="n">
        <v>25323.41</v>
      </c>
      <c r="G57" t="n">
        <v>18</v>
      </c>
      <c r="H57" s="5" t="n">
        <v>4558.21</v>
      </c>
      <c r="I57" s="5" t="n">
        <v>29881.62</v>
      </c>
      <c r="J57" s="5" t="n">
        <v>29881.62</v>
      </c>
      <c r="K57" s="4" t="n">
        <v>45938</v>
      </c>
      <c r="L57" s="5">
        <f>IF(I57="","",I57-J57)</f>
        <v/>
      </c>
      <c r="M57">
        <f>IF(K57="","",K57-B57)</f>
        <v/>
      </c>
    </row>
    <row r="58">
      <c r="A58" t="inlineStr">
        <is>
          <t>E-00002</t>
        </is>
      </c>
      <c r="B58" s="4" t="n">
        <v>45960</v>
      </c>
      <c r="C58" t="inlineStr">
        <is>
          <t>Various</t>
        </is>
      </c>
      <c r="D58" t="inlineStr">
        <is>
          <t>EXPENSE</t>
        </is>
      </c>
      <c r="E58" t="inlineStr">
        <is>
          <t>Salaries</t>
        </is>
      </c>
      <c r="F58" s="5" t="n">
        <v>85376.86</v>
      </c>
      <c r="G58" t="n">
        <v>0</v>
      </c>
      <c r="H58" s="5" t="n">
        <v>0</v>
      </c>
      <c r="I58" s="5" t="n">
        <v>85376.86</v>
      </c>
      <c r="J58" s="5" t="n">
        <v>85376.86</v>
      </c>
      <c r="K58" s="4" t="n">
        <v>45962</v>
      </c>
      <c r="L58" s="5">
        <f>IF(I58="","",I58-J58)</f>
        <v/>
      </c>
      <c r="M58">
        <f>IF(K58="","",K58-B58)</f>
        <v/>
      </c>
    </row>
    <row r="59">
      <c r="A59" t="inlineStr">
        <is>
          <t>E-00003</t>
        </is>
      </c>
      <c r="B59" s="4" t="n">
        <v>45933</v>
      </c>
      <c r="C59" t="inlineStr">
        <is>
          <t>Various</t>
        </is>
      </c>
      <c r="D59" t="inlineStr">
        <is>
          <t>EXPENSE</t>
        </is>
      </c>
      <c r="E59" t="inlineStr">
        <is>
          <t>Utilities</t>
        </is>
      </c>
      <c r="F59" s="5" t="n">
        <v>6432</v>
      </c>
      <c r="G59" t="n">
        <v>18</v>
      </c>
      <c r="H59" s="5" t="n">
        <v>1157.76</v>
      </c>
      <c r="I59" s="5" t="n">
        <v>7589.76</v>
      </c>
      <c r="J59" s="5" t="n">
        <v>7589.76</v>
      </c>
      <c r="K59" s="4" t="n">
        <v>45936</v>
      </c>
      <c r="L59" s="5">
        <f>IF(I59="","",I59-J59)</f>
        <v/>
      </c>
      <c r="M59">
        <f>IF(K59="","",K59-B59)</f>
        <v/>
      </c>
    </row>
    <row r="60">
      <c r="A60" t="inlineStr">
        <is>
          <t>E-00004</t>
        </is>
      </c>
      <c r="B60" s="4" t="n">
        <v>45943</v>
      </c>
      <c r="C60" t="inlineStr">
        <is>
          <t>Various</t>
        </is>
      </c>
      <c r="D60" t="inlineStr">
        <is>
          <t>EXPENSE</t>
        </is>
      </c>
      <c r="E60" t="inlineStr">
        <is>
          <t>Transport</t>
        </is>
      </c>
      <c r="F60" s="5" t="n">
        <v>6477.7</v>
      </c>
      <c r="G60" t="n">
        <v>5</v>
      </c>
      <c r="H60" s="5" t="n">
        <v>323.88</v>
      </c>
      <c r="I60" s="5" t="n">
        <v>6801.58</v>
      </c>
      <c r="J60" s="5" t="n">
        <v>6801.58</v>
      </c>
      <c r="K60" s="4" t="n">
        <v>45947</v>
      </c>
      <c r="L60" s="5">
        <f>IF(I60="","",I60-J60)</f>
        <v/>
      </c>
      <c r="M60">
        <f>IF(K60="","",K60-B60)</f>
        <v/>
      </c>
    </row>
    <row r="61">
      <c r="A61" t="inlineStr">
        <is>
          <t>E-00005</t>
        </is>
      </c>
      <c r="B61" s="4" t="n">
        <v>45951</v>
      </c>
      <c r="C61" t="inlineStr">
        <is>
          <t>Various</t>
        </is>
      </c>
      <c r="D61" t="inlineStr">
        <is>
          <t>EXPENSE</t>
        </is>
      </c>
      <c r="E61" t="inlineStr">
        <is>
          <t>Transport</t>
        </is>
      </c>
      <c r="F61" s="5" t="n">
        <v>4900.87</v>
      </c>
      <c r="G61" t="n">
        <v>5</v>
      </c>
      <c r="H61" s="5" t="n">
        <v>245.04</v>
      </c>
      <c r="I61" s="5" t="n">
        <v>5145.91</v>
      </c>
      <c r="J61" s="5" t="n">
        <v>5145.91</v>
      </c>
      <c r="K61" s="4" t="n">
        <v>45952</v>
      </c>
      <c r="L61" s="5">
        <f>IF(I61="","",I61-J61)</f>
        <v/>
      </c>
      <c r="M61">
        <f>IF(K61="","",K61-B61)</f>
        <v/>
      </c>
    </row>
    <row r="62">
      <c r="A62" t="inlineStr">
        <is>
          <t>E-00006</t>
        </is>
      </c>
      <c r="B62" s="4" t="n">
        <v>45942</v>
      </c>
      <c r="C62" t="inlineStr">
        <is>
          <t>Various</t>
        </is>
      </c>
      <c r="D62" t="inlineStr">
        <is>
          <t>EXPENSE</t>
        </is>
      </c>
      <c r="E62" t="inlineStr">
        <is>
          <t>Transport</t>
        </is>
      </c>
      <c r="F62" s="5" t="n">
        <v>1552.57</v>
      </c>
      <c r="G62" t="n">
        <v>5</v>
      </c>
      <c r="H62" s="5" t="n">
        <v>77.63</v>
      </c>
      <c r="I62" s="5" t="n">
        <v>1630.2</v>
      </c>
      <c r="J62" s="5" t="n">
        <v>0</v>
      </c>
      <c r="K62" s="4" t="inlineStr"/>
      <c r="L62" s="5">
        <f>IF(I62="","",I62-J62)</f>
        <v/>
      </c>
      <c r="M62">
        <f>IF(K62="","",K62-B62)</f>
        <v/>
      </c>
    </row>
    <row r="63">
      <c r="A63" t="inlineStr">
        <is>
          <t>E-00007</t>
        </is>
      </c>
      <c r="B63" s="4" t="n">
        <v>45951</v>
      </c>
      <c r="C63" t="inlineStr">
        <is>
          <t>Various</t>
        </is>
      </c>
      <c r="D63" t="inlineStr">
        <is>
          <t>EXPENSE</t>
        </is>
      </c>
      <c r="E63" t="inlineStr">
        <is>
          <t>Transport</t>
        </is>
      </c>
      <c r="F63" s="5" t="n">
        <v>4439.62</v>
      </c>
      <c r="G63" t="n">
        <v>5</v>
      </c>
      <c r="H63" s="5" t="n">
        <v>221.98</v>
      </c>
      <c r="I63" s="5" t="n">
        <v>4661.6</v>
      </c>
      <c r="J63" s="5" t="n">
        <v>4661.6</v>
      </c>
      <c r="K63" s="4" t="n">
        <v>45955</v>
      </c>
      <c r="L63" s="5">
        <f>IF(I63="","",I63-J63)</f>
        <v/>
      </c>
      <c r="M63">
        <f>IF(K63="","",K63-B63)</f>
        <v/>
      </c>
    </row>
    <row r="64">
      <c r="A64" t="inlineStr">
        <is>
          <t>E-00008</t>
        </is>
      </c>
      <c r="B64" s="4" t="n">
        <v>45954</v>
      </c>
      <c r="C64" t="inlineStr">
        <is>
          <t>Various</t>
        </is>
      </c>
      <c r="D64" t="inlineStr">
        <is>
          <t>EXPENSE</t>
        </is>
      </c>
      <c r="E64" t="inlineStr">
        <is>
          <t>Transport</t>
        </is>
      </c>
      <c r="F64" s="5" t="n">
        <v>3910.68</v>
      </c>
      <c r="G64" t="n">
        <v>5</v>
      </c>
      <c r="H64" s="5" t="n">
        <v>195.53</v>
      </c>
      <c r="I64" s="5" t="n">
        <v>4106.21</v>
      </c>
      <c r="J64" s="5" t="n">
        <v>4106.21</v>
      </c>
      <c r="K64" s="4" t="n">
        <v>45956</v>
      </c>
      <c r="L64" s="5">
        <f>IF(I64="","",I64-J64)</f>
        <v/>
      </c>
      <c r="M64">
        <f>IF(K64="","",K64-B64)</f>
        <v/>
      </c>
    </row>
    <row r="65">
      <c r="A65" t="inlineStr">
        <is>
          <t>E-00009</t>
        </is>
      </c>
      <c r="B65" s="4" t="n">
        <v>45954</v>
      </c>
      <c r="C65" t="inlineStr">
        <is>
          <t>Various</t>
        </is>
      </c>
      <c r="D65" t="inlineStr">
        <is>
          <t>EXPENSE</t>
        </is>
      </c>
      <c r="E65" t="inlineStr">
        <is>
          <t>Transport</t>
        </is>
      </c>
      <c r="F65" s="5" t="n">
        <v>5171.31</v>
      </c>
      <c r="G65" t="n">
        <v>5</v>
      </c>
      <c r="H65" s="5" t="n">
        <v>258.57</v>
      </c>
      <c r="I65" s="5" t="n">
        <v>5429.88</v>
      </c>
      <c r="J65" s="5" t="n">
        <v>5429.88</v>
      </c>
      <c r="K65" s="4" t="n">
        <v>45954</v>
      </c>
      <c r="L65" s="5">
        <f>IF(I65="","",I65-J65)</f>
        <v/>
      </c>
      <c r="M65">
        <f>IF(K65="","",K65-B65)</f>
        <v/>
      </c>
    </row>
    <row r="66">
      <c r="A66" t="inlineStr">
        <is>
          <t>E-00010</t>
        </is>
      </c>
      <c r="B66" s="4" t="n">
        <v>45935</v>
      </c>
      <c r="C66" t="inlineStr">
        <is>
          <t>Various</t>
        </is>
      </c>
      <c r="D66" t="inlineStr">
        <is>
          <t>EXPENSE</t>
        </is>
      </c>
      <c r="E66" t="inlineStr">
        <is>
          <t>Marketing</t>
        </is>
      </c>
      <c r="F66" s="5" t="n">
        <v>23413.73</v>
      </c>
      <c r="G66" t="n">
        <v>18</v>
      </c>
      <c r="H66" s="5" t="n">
        <v>4214.47</v>
      </c>
      <c r="I66" s="5" t="n">
        <v>27628.2</v>
      </c>
      <c r="J66" s="5" t="n">
        <v>27628.2</v>
      </c>
      <c r="K66" s="4" t="n">
        <v>45939</v>
      </c>
      <c r="L66" s="5">
        <f>IF(I66="","",I66-J66)</f>
        <v/>
      </c>
      <c r="M66">
        <f>IF(K66="","",K66-B66)</f>
        <v/>
      </c>
    </row>
    <row r="67">
      <c r="A67" t="inlineStr">
        <is>
          <t>E-00011</t>
        </is>
      </c>
      <c r="B67" s="4" t="n">
        <v>45939</v>
      </c>
      <c r="C67" t="inlineStr">
        <is>
          <t>Various</t>
        </is>
      </c>
      <c r="D67" t="inlineStr">
        <is>
          <t>EXPENSE</t>
        </is>
      </c>
      <c r="E67" t="inlineStr">
        <is>
          <t>Marketing</t>
        </is>
      </c>
      <c r="F67" s="5" t="n">
        <v>18271.6</v>
      </c>
      <c r="G67" t="n">
        <v>18</v>
      </c>
      <c r="H67" s="5" t="n">
        <v>3288.89</v>
      </c>
      <c r="I67" s="5" t="n">
        <v>21560.49</v>
      </c>
      <c r="J67" s="5" t="n">
        <v>21560.49</v>
      </c>
      <c r="K67" s="4" t="n">
        <v>45942</v>
      </c>
      <c r="L67" s="5">
        <f>IF(I67="","",I67-J67)</f>
        <v/>
      </c>
      <c r="M67">
        <f>IF(K67="","",K67-B67)</f>
        <v/>
      </c>
    </row>
    <row r="68">
      <c r="A68" t="inlineStr">
        <is>
          <t>E-00012</t>
        </is>
      </c>
      <c r="B68" s="4" t="n">
        <v>45952</v>
      </c>
      <c r="C68" t="inlineStr">
        <is>
          <t>Various</t>
        </is>
      </c>
      <c r="D68" t="inlineStr">
        <is>
          <t>EXPENSE</t>
        </is>
      </c>
      <c r="E68" t="inlineStr">
        <is>
          <t>Professional fees</t>
        </is>
      </c>
      <c r="F68" s="5" t="n">
        <v>6366.81</v>
      </c>
      <c r="G68" t="n">
        <v>18</v>
      </c>
      <c r="H68" s="5" t="n">
        <v>1146.03</v>
      </c>
      <c r="I68" s="5" t="n">
        <v>7512.84</v>
      </c>
      <c r="J68" s="5" t="n">
        <v>7512.84</v>
      </c>
      <c r="K68" s="4" t="n">
        <v>45955</v>
      </c>
      <c r="L68" s="5">
        <f>IF(I68="","",I68-J68)</f>
        <v/>
      </c>
      <c r="M68">
        <f>IF(K68="","",K68-B68)</f>
        <v/>
      </c>
    </row>
    <row r="69">
      <c r="A69" t="inlineStr">
        <is>
          <t>E-00013</t>
        </is>
      </c>
      <c r="B69" s="4" t="n">
        <v>45951</v>
      </c>
      <c r="C69" t="inlineStr">
        <is>
          <t>Various</t>
        </is>
      </c>
      <c r="D69" t="inlineStr">
        <is>
          <t>EXPENSE</t>
        </is>
      </c>
      <c r="E69" t="inlineStr">
        <is>
          <t>Misc</t>
        </is>
      </c>
      <c r="F69" s="5" t="n">
        <v>1426.93</v>
      </c>
      <c r="G69" t="n">
        <v>18</v>
      </c>
      <c r="H69" s="5" t="n">
        <v>256.85</v>
      </c>
      <c r="I69" s="5" t="n">
        <v>1683.78</v>
      </c>
      <c r="J69" s="5" t="n">
        <v>1683.78</v>
      </c>
      <c r="K69" s="4" t="n">
        <v>45954</v>
      </c>
      <c r="L69" s="5">
        <f>IF(I69="","",I69-J69)</f>
        <v/>
      </c>
      <c r="M69">
        <f>IF(K69="","",K69-B69)</f>
        <v/>
      </c>
    </row>
    <row r="70">
      <c r="A70" t="inlineStr">
        <is>
          <t>E-00014</t>
        </is>
      </c>
      <c r="B70" s="4" t="n">
        <v>45933</v>
      </c>
      <c r="C70" t="inlineStr">
        <is>
          <t>Various</t>
        </is>
      </c>
      <c r="D70" t="inlineStr">
        <is>
          <t>EXPENSE</t>
        </is>
      </c>
      <c r="E70" t="inlineStr">
        <is>
          <t>Misc</t>
        </is>
      </c>
      <c r="F70" s="5" t="n">
        <v>5981.3</v>
      </c>
      <c r="G70" t="n">
        <v>18</v>
      </c>
      <c r="H70" s="5" t="n">
        <v>1076.63</v>
      </c>
      <c r="I70" s="5" t="n">
        <v>7057.93</v>
      </c>
      <c r="J70" s="5" t="n">
        <v>7057.93</v>
      </c>
      <c r="K70" s="4" t="n">
        <v>45938</v>
      </c>
      <c r="L70" s="5">
        <f>IF(I70="","",I70-J70)</f>
        <v/>
      </c>
      <c r="M70">
        <f>IF(K70="","",K70-B70)</f>
        <v/>
      </c>
    </row>
    <row r="71">
      <c r="A71" t="inlineStr">
        <is>
          <t>E-00015</t>
        </is>
      </c>
      <c r="B71" s="4" t="n">
        <v>45949</v>
      </c>
      <c r="C71" t="inlineStr">
        <is>
          <t>Various</t>
        </is>
      </c>
      <c r="D71" t="inlineStr">
        <is>
          <t>EXPENSE</t>
        </is>
      </c>
      <c r="E71" t="inlineStr">
        <is>
          <t>Misc</t>
        </is>
      </c>
      <c r="F71" s="5" t="n">
        <v>3052.93</v>
      </c>
      <c r="G71" t="n">
        <v>18</v>
      </c>
      <c r="H71" s="5" t="n">
        <v>549.53</v>
      </c>
      <c r="I71" s="5" t="n">
        <v>3602.46</v>
      </c>
      <c r="J71" s="5" t="n">
        <v>3602.46</v>
      </c>
      <c r="K71" s="4" t="n">
        <v>45954</v>
      </c>
      <c r="L71" s="5">
        <f>IF(I71="","",I71-J71)</f>
        <v/>
      </c>
      <c r="M71">
        <f>IF(K71="","",K71-B71)</f>
        <v/>
      </c>
    </row>
    <row r="72">
      <c r="A72" t="inlineStr">
        <is>
          <t>S-00040</t>
        </is>
      </c>
      <c r="B72" s="4" t="n">
        <v>45968</v>
      </c>
      <c r="C72" t="inlineStr">
        <is>
          <t>Gaya Textile Traders</t>
        </is>
      </c>
      <c r="D72" t="inlineStr">
        <is>
          <t>SALES</t>
        </is>
      </c>
      <c r="E72" t="inlineStr">
        <is>
          <t>Fabrics</t>
        </is>
      </c>
      <c r="F72" s="5" t="n">
        <v>44758.17</v>
      </c>
      <c r="G72" t="n">
        <v>5</v>
      </c>
      <c r="H72" s="5" t="n">
        <v>2237.91</v>
      </c>
      <c r="I72" s="5" t="n">
        <v>46996.08</v>
      </c>
      <c r="J72" s="5" t="n">
        <v>46996.08</v>
      </c>
      <c r="K72" s="4" t="n">
        <v>46014</v>
      </c>
      <c r="L72" s="5">
        <f>IF(I72="","",I72-J72)</f>
        <v/>
      </c>
      <c r="M72">
        <f>IF(K72="","",K72-B72)</f>
        <v/>
      </c>
    </row>
    <row r="73">
      <c r="A73" t="inlineStr">
        <is>
          <t>S-00041</t>
        </is>
      </c>
      <c r="B73" s="4" t="n">
        <v>45989</v>
      </c>
      <c r="C73" t="inlineStr">
        <is>
          <t>Patna Fashion House</t>
        </is>
      </c>
      <c r="D73" t="inlineStr">
        <is>
          <t>SALES</t>
        </is>
      </c>
      <c r="E73" t="inlineStr">
        <is>
          <t>Fabrics</t>
        </is>
      </c>
      <c r="F73" s="5" t="n">
        <v>10203.72</v>
      </c>
      <c r="G73" t="n">
        <v>5</v>
      </c>
      <c r="H73" s="5" t="n">
        <v>510.19</v>
      </c>
      <c r="I73" s="5" t="n">
        <v>10713.91</v>
      </c>
      <c r="J73" s="5" t="n">
        <v>8084.75</v>
      </c>
      <c r="K73" s="4" t="n">
        <v>46016</v>
      </c>
      <c r="L73" s="5">
        <f>IF(I73="","",I73-J73)</f>
        <v/>
      </c>
      <c r="M73">
        <f>IF(K73="","",K73-B73)</f>
        <v/>
      </c>
    </row>
    <row r="74">
      <c r="A74" t="inlineStr">
        <is>
          <t>S-00042</t>
        </is>
      </c>
      <c r="B74" s="4" t="n">
        <v>45979</v>
      </c>
      <c r="C74" t="inlineStr">
        <is>
          <t>Trendy Threads</t>
        </is>
      </c>
      <c r="D74" t="inlineStr">
        <is>
          <t>SALES</t>
        </is>
      </c>
      <c r="E74" t="inlineStr">
        <is>
          <t>Garments</t>
        </is>
      </c>
      <c r="F74" s="5" t="n">
        <v>65145.67</v>
      </c>
      <c r="G74" t="n">
        <v>12</v>
      </c>
      <c r="H74" s="5" t="n">
        <v>7817.48</v>
      </c>
      <c r="I74" s="5" t="n">
        <v>72963.14999999999</v>
      </c>
      <c r="J74" s="5" t="n">
        <v>72963.14999999999</v>
      </c>
      <c r="K74" s="4" t="n">
        <v>46040</v>
      </c>
      <c r="L74" s="5">
        <f>IF(I74="","",I74-J74)</f>
        <v/>
      </c>
      <c r="M74">
        <f>IF(K74="","",K74-B74)</f>
        <v/>
      </c>
    </row>
    <row r="75">
      <c r="A75" t="inlineStr">
        <is>
          <t>S-00043</t>
        </is>
      </c>
      <c r="B75" s="4" t="n">
        <v>45983</v>
      </c>
      <c r="C75" t="inlineStr">
        <is>
          <t>Lakshmi Cloth Store</t>
        </is>
      </c>
      <c r="D75" t="inlineStr">
        <is>
          <t>SALES</t>
        </is>
      </c>
      <c r="E75" t="inlineStr">
        <is>
          <t>Garments</t>
        </is>
      </c>
      <c r="F75" s="5" t="n">
        <v>45115.01</v>
      </c>
      <c r="G75" t="n">
        <v>12</v>
      </c>
      <c r="H75" s="5" t="n">
        <v>5413.8</v>
      </c>
      <c r="I75" s="5" t="n">
        <v>50528.81</v>
      </c>
      <c r="J75" s="5" t="n">
        <v>50528.81</v>
      </c>
      <c r="K75" s="4" t="n">
        <v>46025</v>
      </c>
      <c r="L75" s="5">
        <f>IF(I75="","",I75-J75)</f>
        <v/>
      </c>
      <c r="M75">
        <f>IF(K75="","",K75-B75)</f>
        <v/>
      </c>
    </row>
    <row r="76">
      <c r="A76" t="inlineStr">
        <is>
          <t>S-00044</t>
        </is>
      </c>
      <c r="B76" s="4" t="n">
        <v>45962</v>
      </c>
      <c r="C76" t="inlineStr">
        <is>
          <t>City Centre Apparel</t>
        </is>
      </c>
      <c r="D76" t="inlineStr">
        <is>
          <t>SALES</t>
        </is>
      </c>
      <c r="E76" t="inlineStr">
        <is>
          <t>Fabrics</t>
        </is>
      </c>
      <c r="F76" s="5" t="n">
        <v>75804.45</v>
      </c>
      <c r="G76" t="n">
        <v>5</v>
      </c>
      <c r="H76" s="5" t="n">
        <v>3790.22</v>
      </c>
      <c r="I76" s="5" t="n">
        <v>79594.67</v>
      </c>
      <c r="J76" s="5" t="n">
        <v>79594.67</v>
      </c>
      <c r="K76" s="4" t="n">
        <v>46005</v>
      </c>
      <c r="L76" s="5">
        <f>IF(I76="","",I76-J76)</f>
        <v/>
      </c>
      <c r="M76">
        <f>IF(K76="","",K76-B76)</f>
        <v/>
      </c>
    </row>
    <row r="77">
      <c r="A77" t="inlineStr">
        <is>
          <t>S-00045</t>
        </is>
      </c>
      <c r="B77" s="4" t="n">
        <v>45967</v>
      </c>
      <c r="C77" t="inlineStr">
        <is>
          <t>New Look Garments</t>
        </is>
      </c>
      <c r="D77" t="inlineStr">
        <is>
          <t>SALES</t>
        </is>
      </c>
      <c r="E77" t="inlineStr">
        <is>
          <t>Garments</t>
        </is>
      </c>
      <c r="F77" s="5" t="n">
        <v>68576.16</v>
      </c>
      <c r="G77" t="n">
        <v>12</v>
      </c>
      <c r="H77" s="5" t="n">
        <v>8229.139999999999</v>
      </c>
      <c r="I77" s="5" t="n">
        <v>76805.3</v>
      </c>
      <c r="J77" s="5" t="n">
        <v>0</v>
      </c>
      <c r="K77" s="4" t="inlineStr"/>
      <c r="L77" s="5">
        <f>IF(I77="","",I77-J77)</f>
        <v/>
      </c>
      <c r="M77">
        <f>IF(K77="","",K77-B77)</f>
        <v/>
      </c>
    </row>
    <row r="78">
      <c r="A78" t="inlineStr">
        <is>
          <t>S-00046</t>
        </is>
      </c>
      <c r="B78" s="4" t="n">
        <v>45964</v>
      </c>
      <c r="C78" t="inlineStr">
        <is>
          <t>Gaya Textile Traders</t>
        </is>
      </c>
      <c r="D78" t="inlineStr">
        <is>
          <t>SALES</t>
        </is>
      </c>
      <c r="E78" t="inlineStr">
        <is>
          <t>Garments</t>
        </is>
      </c>
      <c r="F78" s="5" t="n">
        <v>8605.32</v>
      </c>
      <c r="G78" t="n">
        <v>12</v>
      </c>
      <c r="H78" s="5" t="n">
        <v>1032.64</v>
      </c>
      <c r="I78" s="5" t="n">
        <v>9637.959999999999</v>
      </c>
      <c r="J78" s="5" t="n">
        <v>9637.959999999999</v>
      </c>
      <c r="K78" s="4" t="n">
        <v>45994</v>
      </c>
      <c r="L78" s="5">
        <f>IF(I78="","",I78-J78)</f>
        <v/>
      </c>
      <c r="M78">
        <f>IF(K78="","",K78-B78)</f>
        <v/>
      </c>
    </row>
    <row r="79">
      <c r="A79" t="inlineStr">
        <is>
          <t>S-00047</t>
        </is>
      </c>
      <c r="B79" s="4" t="n">
        <v>45970</v>
      </c>
      <c r="C79" t="inlineStr">
        <is>
          <t>Gaya Textile Traders</t>
        </is>
      </c>
      <c r="D79" t="inlineStr">
        <is>
          <t>SALES</t>
        </is>
      </c>
      <c r="E79" t="inlineStr">
        <is>
          <t>Accessories</t>
        </is>
      </c>
      <c r="F79" s="5" t="n">
        <v>11665.06</v>
      </c>
      <c r="G79" t="n">
        <v>12</v>
      </c>
      <c r="H79" s="5" t="n">
        <v>1399.81</v>
      </c>
      <c r="I79" s="5" t="n">
        <v>13064.87</v>
      </c>
      <c r="J79" s="5" t="n">
        <v>13064.87</v>
      </c>
      <c r="K79" s="4" t="n">
        <v>45976</v>
      </c>
      <c r="L79" s="5">
        <f>IF(I79="","",I79-J79)</f>
        <v/>
      </c>
      <c r="M79">
        <f>IF(K79="","",K79-B79)</f>
        <v/>
      </c>
    </row>
    <row r="80">
      <c r="A80" t="inlineStr">
        <is>
          <t>S-00048</t>
        </is>
      </c>
      <c r="B80" s="4" t="n">
        <v>45981</v>
      </c>
      <c r="C80" t="inlineStr">
        <is>
          <t>City Centre Apparel</t>
        </is>
      </c>
      <c r="D80" t="inlineStr">
        <is>
          <t>SALES</t>
        </is>
      </c>
      <c r="E80" t="inlineStr">
        <is>
          <t>Fabrics</t>
        </is>
      </c>
      <c r="F80" s="5" t="n">
        <v>79488.53999999999</v>
      </c>
      <c r="G80" t="n">
        <v>5</v>
      </c>
      <c r="H80" s="5" t="n">
        <v>3974.43</v>
      </c>
      <c r="I80" s="5" t="n">
        <v>83462.97</v>
      </c>
      <c r="J80" s="5" t="n">
        <v>83462.97</v>
      </c>
      <c r="K80" s="4" t="n">
        <v>46019</v>
      </c>
      <c r="L80" s="5">
        <f>IF(I80="","",I80-J80)</f>
        <v/>
      </c>
      <c r="M80">
        <f>IF(K80="","",K80-B80)</f>
        <v/>
      </c>
    </row>
    <row r="81">
      <c r="A81" t="inlineStr">
        <is>
          <t>S-00049</t>
        </is>
      </c>
      <c r="B81" s="4" t="n">
        <v>45984</v>
      </c>
      <c r="C81" t="inlineStr">
        <is>
          <t>Arrah Garment Plaza</t>
        </is>
      </c>
      <c r="D81" t="inlineStr">
        <is>
          <t>SALES</t>
        </is>
      </c>
      <c r="E81" t="inlineStr">
        <is>
          <t>Garments</t>
        </is>
      </c>
      <c r="F81" s="5" t="n">
        <v>81454.28999999999</v>
      </c>
      <c r="G81" t="n">
        <v>12</v>
      </c>
      <c r="H81" s="5" t="n">
        <v>9774.51</v>
      </c>
      <c r="I81" s="5" t="n">
        <v>91228.8</v>
      </c>
      <c r="J81" s="5" t="n">
        <v>91228.8</v>
      </c>
      <c r="K81" s="4" t="n">
        <v>46018</v>
      </c>
      <c r="L81" s="5">
        <f>IF(I81="","",I81-J81)</f>
        <v/>
      </c>
      <c r="M81">
        <f>IF(K81="","",K81-B81)</f>
        <v/>
      </c>
    </row>
    <row r="82">
      <c r="A82" t="inlineStr">
        <is>
          <t>S-00050</t>
        </is>
      </c>
      <c r="B82" s="4" t="n">
        <v>45989</v>
      </c>
      <c r="C82" t="inlineStr">
        <is>
          <t>Patna Fashion House</t>
        </is>
      </c>
      <c r="D82" t="inlineStr">
        <is>
          <t>SALES</t>
        </is>
      </c>
      <c r="E82" t="inlineStr">
        <is>
          <t>Fabrics</t>
        </is>
      </c>
      <c r="F82" s="5" t="n">
        <v>88838.11</v>
      </c>
      <c r="G82" t="n">
        <v>5</v>
      </c>
      <c r="H82" s="5" t="n">
        <v>4441.91</v>
      </c>
      <c r="I82" s="5" t="n">
        <v>93280.02</v>
      </c>
      <c r="J82" s="5" t="n">
        <v>93280.02</v>
      </c>
      <c r="K82" s="4" t="n">
        <v>46043</v>
      </c>
      <c r="L82" s="5">
        <f>IF(I82="","",I82-J82)</f>
        <v/>
      </c>
      <c r="M82">
        <f>IF(K82="","",K82-B82)</f>
        <v/>
      </c>
    </row>
    <row r="83">
      <c r="A83" t="inlineStr">
        <is>
          <t>S-00051</t>
        </is>
      </c>
      <c r="B83" s="4" t="n">
        <v>45963</v>
      </c>
      <c r="C83" t="inlineStr">
        <is>
          <t>Bazaar Collection</t>
        </is>
      </c>
      <c r="D83" t="inlineStr">
        <is>
          <t>SALES</t>
        </is>
      </c>
      <c r="E83" t="inlineStr">
        <is>
          <t>Garments</t>
        </is>
      </c>
      <c r="F83" s="5" t="n">
        <v>61735.78</v>
      </c>
      <c r="G83" t="n">
        <v>12</v>
      </c>
      <c r="H83" s="5" t="n">
        <v>7408.29</v>
      </c>
      <c r="I83" s="5" t="n">
        <v>69144.07000000001</v>
      </c>
      <c r="J83" s="5" t="n">
        <v>69144.07000000001</v>
      </c>
      <c r="K83" s="4" t="n">
        <v>45991</v>
      </c>
      <c r="L83" s="5">
        <f>IF(I83="","",I83-J83)</f>
        <v/>
      </c>
      <c r="M83">
        <f>IF(K83="","",K83-B83)</f>
        <v/>
      </c>
    </row>
    <row r="84">
      <c r="A84" t="inlineStr">
        <is>
          <t>S-00052</t>
        </is>
      </c>
      <c r="B84" s="4" t="n">
        <v>45985</v>
      </c>
      <c r="C84" t="inlineStr">
        <is>
          <t>Sharma Retail Store</t>
        </is>
      </c>
      <c r="D84" t="inlineStr">
        <is>
          <t>SALES</t>
        </is>
      </c>
      <c r="E84" t="inlineStr">
        <is>
          <t>Fabrics</t>
        </is>
      </c>
      <c r="F84" s="5" t="n">
        <v>45533.36</v>
      </c>
      <c r="G84" t="n">
        <v>5</v>
      </c>
      <c r="H84" s="5" t="n">
        <v>2276.67</v>
      </c>
      <c r="I84" s="5" t="n">
        <v>47810.03</v>
      </c>
      <c r="J84" s="5" t="n">
        <v>0</v>
      </c>
      <c r="K84" s="4" t="inlineStr"/>
      <c r="L84" s="5">
        <f>IF(I84="","",I84-J84)</f>
        <v/>
      </c>
      <c r="M84">
        <f>IF(K84="","",K84-B84)</f>
        <v/>
      </c>
    </row>
    <row r="85">
      <c r="A85" t="inlineStr">
        <is>
          <t>S-00053</t>
        </is>
      </c>
      <c r="B85" s="4" t="n">
        <v>45984</v>
      </c>
      <c r="C85" t="inlineStr">
        <is>
          <t>Sharma Retail Store</t>
        </is>
      </c>
      <c r="D85" t="inlineStr">
        <is>
          <t>SALES</t>
        </is>
      </c>
      <c r="E85" t="inlineStr">
        <is>
          <t>Accessories</t>
        </is>
      </c>
      <c r="F85" s="5" t="n">
        <v>79570.72</v>
      </c>
      <c r="G85" t="n">
        <v>12</v>
      </c>
      <c r="H85" s="5" t="n">
        <v>9548.49</v>
      </c>
      <c r="I85" s="5" t="n">
        <v>89119.21000000001</v>
      </c>
      <c r="J85" s="5" t="n">
        <v>0</v>
      </c>
      <c r="K85" s="4" t="inlineStr"/>
      <c r="L85" s="5">
        <f>IF(I85="","",I85-J85)</f>
        <v/>
      </c>
      <c r="M85">
        <f>IF(K85="","",K85-B85)</f>
        <v/>
      </c>
    </row>
    <row r="86">
      <c r="A86" t="inlineStr">
        <is>
          <t>S-00054</t>
        </is>
      </c>
      <c r="B86" s="4" t="n">
        <v>45981</v>
      </c>
      <c r="C86" t="inlineStr">
        <is>
          <t>Vishal Mega Mart (franchise)</t>
        </is>
      </c>
      <c r="D86" t="inlineStr">
        <is>
          <t>SALES</t>
        </is>
      </c>
      <c r="E86" t="inlineStr">
        <is>
          <t>Garments</t>
        </is>
      </c>
      <c r="F86" s="5" t="n">
        <v>26654.98</v>
      </c>
      <c r="G86" t="n">
        <v>12</v>
      </c>
      <c r="H86" s="5" t="n">
        <v>3198.6</v>
      </c>
      <c r="I86" s="5" t="n">
        <v>29853.58</v>
      </c>
      <c r="J86" s="5" t="n">
        <v>29853.58</v>
      </c>
      <c r="K86" s="4" t="n">
        <v>46001</v>
      </c>
      <c r="L86" s="5">
        <f>IF(I86="","",I86-J86)</f>
        <v/>
      </c>
      <c r="M86">
        <f>IF(K86="","",K86-B86)</f>
        <v/>
      </c>
    </row>
    <row r="87">
      <c r="A87" t="inlineStr">
        <is>
          <t>S-00055</t>
        </is>
      </c>
      <c r="B87" s="4" t="n">
        <v>45966</v>
      </c>
      <c r="C87" t="inlineStr">
        <is>
          <t>Trendy Threads</t>
        </is>
      </c>
      <c r="D87" t="inlineStr">
        <is>
          <t>SALES</t>
        </is>
      </c>
      <c r="E87" t="inlineStr">
        <is>
          <t>Garments</t>
        </is>
      </c>
      <c r="F87" s="5" t="n">
        <v>31174.07</v>
      </c>
      <c r="G87" t="n">
        <v>12</v>
      </c>
      <c r="H87" s="5" t="n">
        <v>3740.89</v>
      </c>
      <c r="I87" s="5" t="n">
        <v>34914.96</v>
      </c>
      <c r="J87" s="5" t="n">
        <v>0</v>
      </c>
      <c r="K87" s="4" t="inlineStr"/>
      <c r="L87" s="5">
        <f>IF(I87="","",I87-J87)</f>
        <v/>
      </c>
      <c r="M87">
        <f>IF(K87="","",K87-B87)</f>
        <v/>
      </c>
    </row>
    <row r="88">
      <c r="A88" t="inlineStr">
        <is>
          <t>S-00056</t>
        </is>
      </c>
      <c r="B88" s="4" t="n">
        <v>45970</v>
      </c>
      <c r="C88" t="inlineStr">
        <is>
          <t>Kumkum Saree Sadan</t>
        </is>
      </c>
      <c r="D88" t="inlineStr">
        <is>
          <t>SALES</t>
        </is>
      </c>
      <c r="E88" t="inlineStr">
        <is>
          <t>Garments</t>
        </is>
      </c>
      <c r="F88" s="5" t="n">
        <v>40743.93</v>
      </c>
      <c r="G88" t="n">
        <v>12</v>
      </c>
      <c r="H88" s="5" t="n">
        <v>4889.27</v>
      </c>
      <c r="I88" s="5" t="n">
        <v>45633.2</v>
      </c>
      <c r="J88" s="5" t="n">
        <v>45633.2</v>
      </c>
      <c r="K88" s="4" t="n">
        <v>45982</v>
      </c>
      <c r="L88" s="5">
        <f>IF(I88="","",I88-J88)</f>
        <v/>
      </c>
      <c r="M88">
        <f>IF(K88="","",K88-B88)</f>
        <v/>
      </c>
    </row>
    <row r="89">
      <c r="A89" t="inlineStr">
        <is>
          <t>S-00057</t>
        </is>
      </c>
      <c r="B89" s="4" t="n">
        <v>45991</v>
      </c>
      <c r="C89" t="inlineStr">
        <is>
          <t>Muzaffarpur Cloth House</t>
        </is>
      </c>
      <c r="D89" t="inlineStr">
        <is>
          <t>SALES</t>
        </is>
      </c>
      <c r="E89" t="inlineStr">
        <is>
          <t>Garments</t>
        </is>
      </c>
      <c r="F89" s="5" t="n">
        <v>52026.17</v>
      </c>
      <c r="G89" t="n">
        <v>12</v>
      </c>
      <c r="H89" s="5" t="n">
        <v>6243.14</v>
      </c>
      <c r="I89" s="5" t="n">
        <v>58269.31</v>
      </c>
      <c r="J89" s="5" t="n">
        <v>58269.31</v>
      </c>
      <c r="K89" s="4" t="n">
        <v>46024</v>
      </c>
      <c r="L89" s="5">
        <f>IF(I89="","",I89-J89)</f>
        <v/>
      </c>
      <c r="M89">
        <f>IF(K89="","",K89-B89)</f>
        <v/>
      </c>
    </row>
    <row r="90">
      <c r="A90" t="inlineStr">
        <is>
          <t>S-00058</t>
        </is>
      </c>
      <c r="B90" s="4" t="n">
        <v>45964</v>
      </c>
      <c r="C90" t="inlineStr">
        <is>
          <t>Vishal Mega Mart (franchise)</t>
        </is>
      </c>
      <c r="D90" t="inlineStr">
        <is>
          <t>SALES</t>
        </is>
      </c>
      <c r="E90" t="inlineStr">
        <is>
          <t>Accessories</t>
        </is>
      </c>
      <c r="F90" s="5" t="n">
        <v>19267.23</v>
      </c>
      <c r="G90" t="n">
        <v>12</v>
      </c>
      <c r="H90" s="5" t="n">
        <v>2312.07</v>
      </c>
      <c r="I90" s="5" t="n">
        <v>21579.3</v>
      </c>
      <c r="J90" s="5" t="n">
        <v>21579.3</v>
      </c>
      <c r="K90" s="4" t="n">
        <v>46025</v>
      </c>
      <c r="L90" s="5">
        <f>IF(I90="","",I90-J90)</f>
        <v/>
      </c>
      <c r="M90">
        <f>IF(K90="","",K90-B90)</f>
        <v/>
      </c>
    </row>
    <row r="91">
      <c r="A91" t="inlineStr">
        <is>
          <t>S-00059</t>
        </is>
      </c>
      <c r="B91" s="4" t="n">
        <v>45970</v>
      </c>
      <c r="C91" t="inlineStr">
        <is>
          <t>Kumkum Saree Sadan</t>
        </is>
      </c>
      <c r="D91" t="inlineStr">
        <is>
          <t>SALES</t>
        </is>
      </c>
      <c r="E91" t="inlineStr">
        <is>
          <t>Garments</t>
        </is>
      </c>
      <c r="F91" s="5" t="n">
        <v>41626.74</v>
      </c>
      <c r="G91" t="n">
        <v>12</v>
      </c>
      <c r="H91" s="5" t="n">
        <v>4995.21</v>
      </c>
      <c r="I91" s="5" t="n">
        <v>46621.95</v>
      </c>
      <c r="J91" s="5" t="n">
        <v>46621.95</v>
      </c>
      <c r="K91" s="4" t="n">
        <v>46004</v>
      </c>
      <c r="L91" s="5">
        <f>IF(I91="","",I91-J91)</f>
        <v/>
      </c>
      <c r="M91">
        <f>IF(K91="","",K91-B91)</f>
        <v/>
      </c>
    </row>
    <row r="92">
      <c r="A92" t="inlineStr">
        <is>
          <t>S-00060</t>
        </is>
      </c>
      <c r="B92" s="4" t="n">
        <v>45987</v>
      </c>
      <c r="C92" t="inlineStr">
        <is>
          <t>Purnia Fashion Hub</t>
        </is>
      </c>
      <c r="D92" t="inlineStr">
        <is>
          <t>SALES</t>
        </is>
      </c>
      <c r="E92" t="inlineStr">
        <is>
          <t>Garments</t>
        </is>
      </c>
      <c r="F92" s="5" t="n">
        <v>92276.78999999999</v>
      </c>
      <c r="G92" t="n">
        <v>12</v>
      </c>
      <c r="H92" s="5" t="n">
        <v>11073.21</v>
      </c>
      <c r="I92" s="5" t="n">
        <v>103350</v>
      </c>
      <c r="J92" s="5" t="n">
        <v>0</v>
      </c>
      <c r="K92" s="4" t="inlineStr"/>
      <c r="L92" s="5">
        <f>IF(I92="","",I92-J92)</f>
        <v/>
      </c>
      <c r="M92">
        <f>IF(K92="","",K92-B92)</f>
        <v/>
      </c>
    </row>
    <row r="93">
      <c r="A93" t="inlineStr">
        <is>
          <t>S-00061</t>
        </is>
      </c>
      <c r="B93" s="4" t="n">
        <v>45982</v>
      </c>
      <c r="C93" t="inlineStr">
        <is>
          <t>Patna Fashion House</t>
        </is>
      </c>
      <c r="D93" t="inlineStr">
        <is>
          <t>SALES</t>
        </is>
      </c>
      <c r="E93" t="inlineStr">
        <is>
          <t>Fabrics</t>
        </is>
      </c>
      <c r="F93" s="5" t="n">
        <v>77202.17999999999</v>
      </c>
      <c r="G93" t="n">
        <v>5</v>
      </c>
      <c r="H93" s="5" t="n">
        <v>3860.11</v>
      </c>
      <c r="I93" s="5" t="n">
        <v>81062.28999999999</v>
      </c>
      <c r="J93" s="5" t="n">
        <v>81062.28999999999</v>
      </c>
      <c r="K93" s="4" t="n">
        <v>46047</v>
      </c>
      <c r="L93" s="5">
        <f>IF(I93="","",I93-J93)</f>
        <v/>
      </c>
      <c r="M93">
        <f>IF(K93="","",K93-B93)</f>
        <v/>
      </c>
    </row>
    <row r="94">
      <c r="A94" t="inlineStr">
        <is>
          <t>S-00062</t>
        </is>
      </c>
      <c r="B94" s="4" t="n">
        <v>45991</v>
      </c>
      <c r="C94" t="inlineStr">
        <is>
          <t>Patna Fashion House</t>
        </is>
      </c>
      <c r="D94" t="inlineStr">
        <is>
          <t>SALES</t>
        </is>
      </c>
      <c r="E94" t="inlineStr">
        <is>
          <t>Accessories</t>
        </is>
      </c>
      <c r="F94" s="5" t="n">
        <v>14094.78</v>
      </c>
      <c r="G94" t="n">
        <v>12</v>
      </c>
      <c r="H94" s="5" t="n">
        <v>1691.37</v>
      </c>
      <c r="I94" s="5" t="n">
        <v>15786.15</v>
      </c>
      <c r="J94" s="5" t="n">
        <v>15786.15</v>
      </c>
      <c r="K94" s="4" t="n">
        <v>46021</v>
      </c>
      <c r="L94" s="5">
        <f>IF(I94="","",I94-J94)</f>
        <v/>
      </c>
      <c r="M94">
        <f>IF(K94="","",K94-B94)</f>
        <v/>
      </c>
    </row>
    <row r="95">
      <c r="A95" t="inlineStr">
        <is>
          <t>S-00063</t>
        </is>
      </c>
      <c r="B95" s="4" t="n">
        <v>45975</v>
      </c>
      <c r="C95" t="inlineStr">
        <is>
          <t>Vishal Mega Mart (franchise)</t>
        </is>
      </c>
      <c r="D95" t="inlineStr">
        <is>
          <t>SALES</t>
        </is>
      </c>
      <c r="E95" t="inlineStr">
        <is>
          <t>Fabrics</t>
        </is>
      </c>
      <c r="F95" s="5" t="n">
        <v>46135.29</v>
      </c>
      <c r="G95" t="n">
        <v>5</v>
      </c>
      <c r="H95" s="5" t="n">
        <v>2306.76</v>
      </c>
      <c r="I95" s="5" t="n">
        <v>48442.05</v>
      </c>
      <c r="J95" s="5" t="n">
        <v>48442.05</v>
      </c>
      <c r="K95" s="4" t="n">
        <v>46034</v>
      </c>
      <c r="L95" s="5">
        <f>IF(I95="","",I95-J95)</f>
        <v/>
      </c>
      <c r="M95">
        <f>IF(K95="","",K95-B95)</f>
        <v/>
      </c>
    </row>
    <row r="96">
      <c r="A96" t="inlineStr">
        <is>
          <t>S-00064</t>
        </is>
      </c>
      <c r="B96" s="4" t="n">
        <v>45964</v>
      </c>
      <c r="C96" t="inlineStr">
        <is>
          <t>Arrah Garment Plaza</t>
        </is>
      </c>
      <c r="D96" t="inlineStr">
        <is>
          <t>SALES</t>
        </is>
      </c>
      <c r="E96" t="inlineStr">
        <is>
          <t>Fabrics</t>
        </is>
      </c>
      <c r="F96" s="5" t="n">
        <v>57020.18</v>
      </c>
      <c r="G96" t="n">
        <v>5</v>
      </c>
      <c r="H96" s="5" t="n">
        <v>2851.01</v>
      </c>
      <c r="I96" s="5" t="n">
        <v>59871.19</v>
      </c>
      <c r="J96" s="5" t="n">
        <v>59871.19</v>
      </c>
      <c r="K96" s="4" t="n">
        <v>46015</v>
      </c>
      <c r="L96" s="5">
        <f>IF(I96="","",I96-J96)</f>
        <v/>
      </c>
      <c r="M96">
        <f>IF(K96="","",K96-B96)</f>
        <v/>
      </c>
    </row>
    <row r="97">
      <c r="A97" t="inlineStr">
        <is>
          <t>S-00065</t>
        </is>
      </c>
      <c r="B97" s="4" t="n">
        <v>45989</v>
      </c>
      <c r="C97" t="inlineStr">
        <is>
          <t>New Look Garments</t>
        </is>
      </c>
      <c r="D97" t="inlineStr">
        <is>
          <t>SALES</t>
        </is>
      </c>
      <c r="E97" t="inlineStr">
        <is>
          <t>Garments</t>
        </is>
      </c>
      <c r="F97" s="5" t="n">
        <v>67149.28</v>
      </c>
      <c r="G97" t="n">
        <v>12</v>
      </c>
      <c r="H97" s="5" t="n">
        <v>8057.91</v>
      </c>
      <c r="I97" s="5" t="n">
        <v>75207.19</v>
      </c>
      <c r="J97" s="5" t="n">
        <v>75207.19</v>
      </c>
      <c r="K97" s="4" t="n">
        <v>46032</v>
      </c>
      <c r="L97" s="5">
        <f>IF(I97="","",I97-J97)</f>
        <v/>
      </c>
      <c r="M97">
        <f>IF(K97="","",K97-B97)</f>
        <v/>
      </c>
    </row>
    <row r="98">
      <c r="A98" t="inlineStr">
        <is>
          <t>S-00066</t>
        </is>
      </c>
      <c r="B98" s="4" t="n">
        <v>45974</v>
      </c>
      <c r="C98" t="inlineStr">
        <is>
          <t>City Centre Apparel</t>
        </is>
      </c>
      <c r="D98" t="inlineStr">
        <is>
          <t>SALES</t>
        </is>
      </c>
      <c r="E98" t="inlineStr">
        <is>
          <t>Fabrics</t>
        </is>
      </c>
      <c r="F98" s="5" t="n">
        <v>18626.77</v>
      </c>
      <c r="G98" t="n">
        <v>5</v>
      </c>
      <c r="H98" s="5" t="n">
        <v>931.34</v>
      </c>
      <c r="I98" s="5" t="n">
        <v>19558.11</v>
      </c>
      <c r="J98" s="5" t="n">
        <v>19558.11</v>
      </c>
      <c r="K98" s="4" t="n">
        <v>46030</v>
      </c>
      <c r="L98" s="5">
        <f>IF(I98="","",I98-J98)</f>
        <v/>
      </c>
      <c r="M98">
        <f>IF(K98="","",K98-B98)</f>
        <v/>
      </c>
    </row>
    <row r="99">
      <c r="A99" t="inlineStr">
        <is>
          <t>S-00067</t>
        </is>
      </c>
      <c r="B99" s="4" t="n">
        <v>45986</v>
      </c>
      <c r="C99" t="inlineStr">
        <is>
          <t>Trendy Threads</t>
        </is>
      </c>
      <c r="D99" t="inlineStr">
        <is>
          <t>SALES</t>
        </is>
      </c>
      <c r="E99" t="inlineStr">
        <is>
          <t>Fabrics</t>
        </is>
      </c>
      <c r="F99" s="5" t="n">
        <v>36970.73</v>
      </c>
      <c r="G99" t="n">
        <v>5</v>
      </c>
      <c r="H99" s="5" t="n">
        <v>1848.54</v>
      </c>
      <c r="I99" s="5" t="n">
        <v>38819.27</v>
      </c>
      <c r="J99" s="5" t="n">
        <v>16404.24</v>
      </c>
      <c r="K99" s="4" t="n">
        <v>46011</v>
      </c>
      <c r="L99" s="5">
        <f>IF(I99="","",I99-J99)</f>
        <v/>
      </c>
      <c r="M99">
        <f>IF(K99="","",K99-B99)</f>
        <v/>
      </c>
    </row>
    <row r="100">
      <c r="A100" t="inlineStr">
        <is>
          <t>S-00068</t>
        </is>
      </c>
      <c r="B100" s="4" t="n">
        <v>45976</v>
      </c>
      <c r="C100" t="inlineStr">
        <is>
          <t>Vishal Mega Mart (franchise)</t>
        </is>
      </c>
      <c r="D100" t="inlineStr">
        <is>
          <t>SALES</t>
        </is>
      </c>
      <c r="E100" t="inlineStr">
        <is>
          <t>Accessories</t>
        </is>
      </c>
      <c r="F100" s="5" t="n">
        <v>72562.88</v>
      </c>
      <c r="G100" t="n">
        <v>12</v>
      </c>
      <c r="H100" s="5" t="n">
        <v>8707.549999999999</v>
      </c>
      <c r="I100" s="5" t="n">
        <v>81270.42999999999</v>
      </c>
      <c r="J100" s="5" t="n">
        <v>81270.42999999999</v>
      </c>
      <c r="K100" s="4" t="n">
        <v>46017</v>
      </c>
      <c r="L100" s="5">
        <f>IF(I100="","",I100-J100)</f>
        <v/>
      </c>
      <c r="M100">
        <f>IF(K100="","",K100-B100)</f>
        <v/>
      </c>
    </row>
    <row r="101">
      <c r="A101" t="inlineStr">
        <is>
          <t>S-00069</t>
        </is>
      </c>
      <c r="B101" s="4" t="n">
        <v>45966</v>
      </c>
      <c r="C101" t="inlineStr">
        <is>
          <t>Muzaffarpur Cloth House</t>
        </is>
      </c>
      <c r="D101" t="inlineStr">
        <is>
          <t>SALES</t>
        </is>
      </c>
      <c r="E101" t="inlineStr">
        <is>
          <t>Accessories</t>
        </is>
      </c>
      <c r="F101" s="5" t="n">
        <v>63956.65</v>
      </c>
      <c r="G101" t="n">
        <v>12</v>
      </c>
      <c r="H101" s="5" t="n">
        <v>7674.8</v>
      </c>
      <c r="I101" s="5" t="n">
        <v>71631.45</v>
      </c>
      <c r="J101" s="5" t="n">
        <v>71631.45</v>
      </c>
      <c r="K101" s="4" t="n">
        <v>45992</v>
      </c>
      <c r="L101" s="5">
        <f>IF(I101="","",I101-J101)</f>
        <v/>
      </c>
      <c r="M101">
        <f>IF(K101="","",K101-B101)</f>
        <v/>
      </c>
    </row>
    <row r="102">
      <c r="A102" t="inlineStr">
        <is>
          <t>S-00070</t>
        </is>
      </c>
      <c r="B102" s="4" t="n">
        <v>45963</v>
      </c>
      <c r="C102" t="inlineStr">
        <is>
          <t>Bhagalpur Silk Centre</t>
        </is>
      </c>
      <c r="D102" t="inlineStr">
        <is>
          <t>SALES</t>
        </is>
      </c>
      <c r="E102" t="inlineStr">
        <is>
          <t>Fabrics</t>
        </is>
      </c>
      <c r="F102" s="5" t="n">
        <v>14934.72</v>
      </c>
      <c r="G102" t="n">
        <v>5</v>
      </c>
      <c r="H102" s="5" t="n">
        <v>746.74</v>
      </c>
      <c r="I102" s="5" t="n">
        <v>15681.46</v>
      </c>
      <c r="J102" s="5" t="n">
        <v>15681.46</v>
      </c>
      <c r="K102" s="4" t="n">
        <v>46014</v>
      </c>
      <c r="L102" s="5">
        <f>IF(I102="","",I102-J102)</f>
        <v/>
      </c>
      <c r="M102">
        <f>IF(K102="","",K102-B102)</f>
        <v/>
      </c>
    </row>
    <row r="103">
      <c r="A103" t="inlineStr">
        <is>
          <t>S-00071</t>
        </is>
      </c>
      <c r="B103" s="4" t="n">
        <v>45975</v>
      </c>
      <c r="C103" t="inlineStr">
        <is>
          <t>Muzaffarpur Cloth House</t>
        </is>
      </c>
      <c r="D103" t="inlineStr">
        <is>
          <t>SALES</t>
        </is>
      </c>
      <c r="E103" t="inlineStr">
        <is>
          <t>Accessories</t>
        </is>
      </c>
      <c r="F103" s="5" t="n">
        <v>46504.74</v>
      </c>
      <c r="G103" t="n">
        <v>12</v>
      </c>
      <c r="H103" s="5" t="n">
        <v>5580.57</v>
      </c>
      <c r="I103" s="5" t="n">
        <v>52085.31</v>
      </c>
      <c r="J103" s="5" t="n">
        <v>52085.31</v>
      </c>
      <c r="K103" s="4" t="n">
        <v>46010</v>
      </c>
      <c r="L103" s="5">
        <f>IF(I103="","",I103-J103)</f>
        <v/>
      </c>
      <c r="M103">
        <f>IF(K103="","",K103-B103)</f>
        <v/>
      </c>
    </row>
    <row r="104">
      <c r="A104" t="inlineStr">
        <is>
          <t>S-00072</t>
        </is>
      </c>
      <c r="B104" s="4" t="n">
        <v>45989</v>
      </c>
      <c r="C104" t="inlineStr">
        <is>
          <t>City Centre Apparel</t>
        </is>
      </c>
      <c r="D104" t="inlineStr">
        <is>
          <t>SALES</t>
        </is>
      </c>
      <c r="E104" t="inlineStr">
        <is>
          <t>Fabrics</t>
        </is>
      </c>
      <c r="F104" s="5" t="n">
        <v>80775.57000000001</v>
      </c>
      <c r="G104" t="n">
        <v>5</v>
      </c>
      <c r="H104" s="5" t="n">
        <v>4038.78</v>
      </c>
      <c r="I104" s="5" t="n">
        <v>84814.35000000001</v>
      </c>
      <c r="J104" s="5" t="n">
        <v>84814.35000000001</v>
      </c>
      <c r="K104" s="4" t="n">
        <v>46040</v>
      </c>
      <c r="L104" s="5">
        <f>IF(I104="","",I104-J104)</f>
        <v/>
      </c>
      <c r="M104">
        <f>IF(K104="","",K104-B104)</f>
        <v/>
      </c>
    </row>
    <row r="105">
      <c r="A105" t="inlineStr">
        <is>
          <t>S-00073</t>
        </is>
      </c>
      <c r="B105" s="4" t="n">
        <v>45974</v>
      </c>
      <c r="C105" t="inlineStr">
        <is>
          <t>Sharma Retail Store</t>
        </is>
      </c>
      <c r="D105" t="inlineStr">
        <is>
          <t>SALES</t>
        </is>
      </c>
      <c r="E105" t="inlineStr">
        <is>
          <t>Garments</t>
        </is>
      </c>
      <c r="F105" s="5" t="n">
        <v>14623.85</v>
      </c>
      <c r="G105" t="n">
        <v>12</v>
      </c>
      <c r="H105" s="5" t="n">
        <v>1754.86</v>
      </c>
      <c r="I105" s="5" t="n">
        <v>16378.71</v>
      </c>
      <c r="J105" s="5" t="n">
        <v>16378.71</v>
      </c>
      <c r="K105" s="4" t="n">
        <v>45990</v>
      </c>
      <c r="L105" s="5">
        <f>IF(I105="","",I105-J105)</f>
        <v/>
      </c>
      <c r="M105">
        <f>IF(K105="","",K105-B105)</f>
        <v/>
      </c>
    </row>
    <row r="106">
      <c r="A106" t="inlineStr">
        <is>
          <t>S-00074</t>
        </is>
      </c>
      <c r="B106" s="4" t="n">
        <v>45962</v>
      </c>
      <c r="C106" t="inlineStr">
        <is>
          <t>Lakshmi Cloth Store</t>
        </is>
      </c>
      <c r="D106" t="inlineStr">
        <is>
          <t>SALES</t>
        </is>
      </c>
      <c r="E106" t="inlineStr">
        <is>
          <t>Fabrics</t>
        </is>
      </c>
      <c r="F106" s="5" t="n">
        <v>30503.96</v>
      </c>
      <c r="G106" t="n">
        <v>5</v>
      </c>
      <c r="H106" s="5" t="n">
        <v>1525.2</v>
      </c>
      <c r="I106" s="5" t="n">
        <v>32029.16</v>
      </c>
      <c r="J106" s="5" t="n">
        <v>32029.16</v>
      </c>
      <c r="K106" s="4" t="n">
        <v>45980</v>
      </c>
      <c r="L106" s="5">
        <f>IF(I106="","",I106-J106)</f>
        <v/>
      </c>
      <c r="M106">
        <f>IF(K106="","",K106-B106)</f>
        <v/>
      </c>
    </row>
    <row r="107">
      <c r="A107" t="inlineStr">
        <is>
          <t>S-00075</t>
        </is>
      </c>
      <c r="B107" s="4" t="n">
        <v>45980</v>
      </c>
      <c r="C107" t="inlineStr">
        <is>
          <t>Bhagalpur Silk Centre</t>
        </is>
      </c>
      <c r="D107" t="inlineStr">
        <is>
          <t>SALES</t>
        </is>
      </c>
      <c r="E107" t="inlineStr">
        <is>
          <t>Fabrics</t>
        </is>
      </c>
      <c r="F107" s="5" t="n">
        <v>22193.1</v>
      </c>
      <c r="G107" t="n">
        <v>5</v>
      </c>
      <c r="H107" s="5" t="n">
        <v>1109.65</v>
      </c>
      <c r="I107" s="5" t="n">
        <v>23302.75</v>
      </c>
      <c r="J107" s="5" t="n">
        <v>23302.75</v>
      </c>
      <c r="K107" s="4" t="n">
        <v>46027</v>
      </c>
      <c r="L107" s="5">
        <f>IF(I107="","",I107-J107)</f>
        <v/>
      </c>
      <c r="M107">
        <f>IF(K107="","",K107-B107)</f>
        <v/>
      </c>
    </row>
    <row r="108">
      <c r="A108" t="inlineStr">
        <is>
          <t>S-00076</t>
        </is>
      </c>
      <c r="B108" s="4" t="n">
        <v>45962</v>
      </c>
      <c r="C108" t="inlineStr">
        <is>
          <t>Darbhanga Dress Point</t>
        </is>
      </c>
      <c r="D108" t="inlineStr">
        <is>
          <t>SALES</t>
        </is>
      </c>
      <c r="E108" t="inlineStr">
        <is>
          <t>Fabrics</t>
        </is>
      </c>
      <c r="F108" s="5" t="n">
        <v>59884.66</v>
      </c>
      <c r="G108" t="n">
        <v>5</v>
      </c>
      <c r="H108" s="5" t="n">
        <v>2994.23</v>
      </c>
      <c r="I108" s="5" t="n">
        <v>62878.89</v>
      </c>
      <c r="J108" s="5" t="n">
        <v>62878.89</v>
      </c>
      <c r="K108" s="4" t="n">
        <v>46018</v>
      </c>
      <c r="L108" s="5">
        <f>IF(I108="","",I108-J108)</f>
        <v/>
      </c>
      <c r="M108">
        <f>IF(K108="","",K108-B108)</f>
        <v/>
      </c>
    </row>
    <row r="109">
      <c r="A109" t="inlineStr">
        <is>
          <t>S-00077</t>
        </is>
      </c>
      <c r="B109" s="4" t="n">
        <v>45991</v>
      </c>
      <c r="C109" t="inlineStr">
        <is>
          <t>Sharma Retail Store</t>
        </is>
      </c>
      <c r="D109" t="inlineStr">
        <is>
          <t>SALES</t>
        </is>
      </c>
      <c r="E109" t="inlineStr">
        <is>
          <t>Fabrics</t>
        </is>
      </c>
      <c r="F109" s="5" t="n">
        <v>28748.46</v>
      </c>
      <c r="G109" t="n">
        <v>5</v>
      </c>
      <c r="H109" s="5" t="n">
        <v>1437.42</v>
      </c>
      <c r="I109" s="5" t="n">
        <v>30185.88</v>
      </c>
      <c r="J109" s="5" t="n">
        <v>30185.88</v>
      </c>
      <c r="K109" s="4" t="n">
        <v>46006</v>
      </c>
      <c r="L109" s="5">
        <f>IF(I109="","",I109-J109)</f>
        <v/>
      </c>
      <c r="M109">
        <f>IF(K109="","",K109-B109)</f>
        <v/>
      </c>
    </row>
    <row r="110">
      <c r="A110" t="inlineStr">
        <is>
          <t>S-00078</t>
        </is>
      </c>
      <c r="B110" s="4" t="n">
        <v>45986</v>
      </c>
      <c r="C110" t="inlineStr">
        <is>
          <t>Bazaar Collection</t>
        </is>
      </c>
      <c r="D110" t="inlineStr">
        <is>
          <t>SALES</t>
        </is>
      </c>
      <c r="E110" t="inlineStr">
        <is>
          <t>Fabrics</t>
        </is>
      </c>
      <c r="F110" s="5" t="n">
        <v>8189.77</v>
      </c>
      <c r="G110" t="n">
        <v>5</v>
      </c>
      <c r="H110" s="5" t="n">
        <v>409.49</v>
      </c>
      <c r="I110" s="5" t="n">
        <v>8599.26</v>
      </c>
      <c r="J110" s="5" t="n">
        <v>8599.26</v>
      </c>
      <c r="K110" s="4" t="n">
        <v>46012</v>
      </c>
      <c r="L110" s="5">
        <f>IF(I110="","",I110-J110)</f>
        <v/>
      </c>
      <c r="M110">
        <f>IF(K110="","",K110-B110)</f>
        <v/>
      </c>
    </row>
    <row r="111">
      <c r="A111" t="inlineStr">
        <is>
          <t>P-00017</t>
        </is>
      </c>
      <c r="B111" s="4" t="n">
        <v>45964</v>
      </c>
      <c r="C111" t="inlineStr">
        <is>
          <t>Surat Textile Mills</t>
        </is>
      </c>
      <c r="D111" t="inlineStr">
        <is>
          <t>PURCHASE</t>
        </is>
      </c>
      <c r="E111" t="inlineStr">
        <is>
          <t>Inventory purchases</t>
        </is>
      </c>
      <c r="F111" s="5" t="n">
        <v>27823.46</v>
      </c>
      <c r="G111" t="n">
        <v>5</v>
      </c>
      <c r="H111" s="5" t="n">
        <v>1391.17</v>
      </c>
      <c r="I111" s="5" t="n">
        <v>29214.63</v>
      </c>
      <c r="J111" s="5" t="n">
        <v>29214.63</v>
      </c>
      <c r="K111" s="4" t="n">
        <v>45977</v>
      </c>
      <c r="L111" s="5">
        <f>IF(I111="","",I111-J111)</f>
        <v/>
      </c>
      <c r="M111">
        <f>IF(K111="","",K111-B111)</f>
        <v/>
      </c>
    </row>
    <row r="112">
      <c r="A112" t="inlineStr">
        <is>
          <t>P-00018</t>
        </is>
      </c>
      <c r="B112" s="4" t="n">
        <v>45984</v>
      </c>
      <c r="C112" t="inlineStr">
        <is>
          <t>Tiruppur Garment Works</t>
        </is>
      </c>
      <c r="D112" t="inlineStr">
        <is>
          <t>PURCHASE</t>
        </is>
      </c>
      <c r="E112" t="inlineStr">
        <is>
          <t>Inventory purchases</t>
        </is>
      </c>
      <c r="F112" s="5" t="n">
        <v>35895.77</v>
      </c>
      <c r="G112" t="n">
        <v>5</v>
      </c>
      <c r="H112" s="5" t="n">
        <v>1794.79</v>
      </c>
      <c r="I112" s="5" t="n">
        <v>37690.56</v>
      </c>
      <c r="J112" s="5" t="n">
        <v>37690.56</v>
      </c>
      <c r="K112" s="4" t="n">
        <v>46011</v>
      </c>
      <c r="L112" s="5">
        <f>IF(I112="","",I112-J112)</f>
        <v/>
      </c>
      <c r="M112">
        <f>IF(K112="","",K112-B112)</f>
        <v/>
      </c>
    </row>
    <row r="113">
      <c r="A113" t="inlineStr">
        <is>
          <t>P-00019</t>
        </is>
      </c>
      <c r="B113" s="4" t="n">
        <v>45977</v>
      </c>
      <c r="C113" t="inlineStr">
        <is>
          <t>Jaipur Print Works</t>
        </is>
      </c>
      <c r="D113" t="inlineStr">
        <is>
          <t>PURCHASE</t>
        </is>
      </c>
      <c r="E113" t="inlineStr">
        <is>
          <t>Inventory purchases</t>
        </is>
      </c>
      <c r="F113" s="5" t="n">
        <v>74100.62</v>
      </c>
      <c r="G113" t="n">
        <v>5</v>
      </c>
      <c r="H113" s="5" t="n">
        <v>3705.03</v>
      </c>
      <c r="I113" s="5" t="n">
        <v>77805.64999999999</v>
      </c>
      <c r="J113" s="5" t="n">
        <v>77805.64999999999</v>
      </c>
      <c r="K113" s="4" t="n">
        <v>45988</v>
      </c>
      <c r="L113" s="5">
        <f>IF(I113="","",I113-J113)</f>
        <v/>
      </c>
      <c r="M113">
        <f>IF(K113="","",K113-B113)</f>
        <v/>
      </c>
    </row>
    <row r="114">
      <c r="A114" t="inlineStr">
        <is>
          <t>P-00020</t>
        </is>
      </c>
      <c r="B114" s="4" t="n">
        <v>45984</v>
      </c>
      <c r="C114" t="inlineStr">
        <is>
          <t>Tiruppur Garment Works</t>
        </is>
      </c>
      <c r="D114" t="inlineStr">
        <is>
          <t>PURCHASE</t>
        </is>
      </c>
      <c r="E114" t="inlineStr">
        <is>
          <t>Inventory purchases</t>
        </is>
      </c>
      <c r="F114" s="5" t="n">
        <v>83618.16</v>
      </c>
      <c r="G114" t="n">
        <v>5</v>
      </c>
      <c r="H114" s="5" t="n">
        <v>4180.91</v>
      </c>
      <c r="I114" s="5" t="n">
        <v>87799.07000000001</v>
      </c>
      <c r="J114" s="5" t="n">
        <v>87799.07000000001</v>
      </c>
      <c r="K114" s="4" t="n">
        <v>46000</v>
      </c>
      <c r="L114" s="5">
        <f>IF(I114="","",I114-J114)</f>
        <v/>
      </c>
      <c r="M114">
        <f>IF(K114="","",K114-B114)</f>
        <v/>
      </c>
    </row>
    <row r="115">
      <c r="A115" t="inlineStr">
        <is>
          <t>P-00021</t>
        </is>
      </c>
      <c r="B115" s="4" t="n">
        <v>45966</v>
      </c>
      <c r="C115" t="inlineStr">
        <is>
          <t>Delhi Fabric Suppliers</t>
        </is>
      </c>
      <c r="D115" t="inlineStr">
        <is>
          <t>PURCHASE</t>
        </is>
      </c>
      <c r="E115" t="inlineStr">
        <is>
          <t>Inventory purchases</t>
        </is>
      </c>
      <c r="F115" s="5" t="n">
        <v>88069</v>
      </c>
      <c r="G115" t="n">
        <v>5</v>
      </c>
      <c r="H115" s="5" t="n">
        <v>4403.45</v>
      </c>
      <c r="I115" s="5" t="n">
        <v>92472.45</v>
      </c>
      <c r="J115" s="5" t="n">
        <v>92472.45</v>
      </c>
      <c r="K115" s="4" t="n">
        <v>45984</v>
      </c>
      <c r="L115" s="5">
        <f>IF(I115="","",I115-J115)</f>
        <v/>
      </c>
      <c r="M115">
        <f>IF(K115="","",K115-B115)</f>
        <v/>
      </c>
    </row>
    <row r="116">
      <c r="A116" t="inlineStr">
        <is>
          <t>P-00022</t>
        </is>
      </c>
      <c r="B116" s="4" t="n">
        <v>45981</v>
      </c>
      <c r="C116" t="inlineStr">
        <is>
          <t>Jaipur Print Works</t>
        </is>
      </c>
      <c r="D116" t="inlineStr">
        <is>
          <t>PURCHASE</t>
        </is>
      </c>
      <c r="E116" t="inlineStr">
        <is>
          <t>Inventory purchases</t>
        </is>
      </c>
      <c r="F116" s="5" t="n">
        <v>40057.46</v>
      </c>
      <c r="G116" t="n">
        <v>5</v>
      </c>
      <c r="H116" s="5" t="n">
        <v>2002.87</v>
      </c>
      <c r="I116" s="5" t="n">
        <v>42060.33</v>
      </c>
      <c r="J116" s="5" t="n">
        <v>42060.33</v>
      </c>
      <c r="K116" s="4" t="n">
        <v>45996</v>
      </c>
      <c r="L116" s="5">
        <f>IF(I116="","",I116-J116)</f>
        <v/>
      </c>
      <c r="M116">
        <f>IF(K116="","",K116-B116)</f>
        <v/>
      </c>
    </row>
    <row r="117">
      <c r="A117" t="inlineStr">
        <is>
          <t>P-00023</t>
        </is>
      </c>
      <c r="B117" s="4" t="n">
        <v>45977</v>
      </c>
      <c r="C117" t="inlineStr">
        <is>
          <t>Kolkata Hosiery House</t>
        </is>
      </c>
      <c r="D117" t="inlineStr">
        <is>
          <t>PURCHASE</t>
        </is>
      </c>
      <c r="E117" t="inlineStr">
        <is>
          <t>Inventory purchases</t>
        </is>
      </c>
      <c r="F117" s="5" t="n">
        <v>29421.32</v>
      </c>
      <c r="G117" t="n">
        <v>5</v>
      </c>
      <c r="H117" s="5" t="n">
        <v>1471.07</v>
      </c>
      <c r="I117" s="5" t="n">
        <v>30892.39</v>
      </c>
      <c r="J117" s="5" t="n">
        <v>30892.39</v>
      </c>
      <c r="K117" s="4" t="n">
        <v>45989</v>
      </c>
      <c r="L117" s="5">
        <f>IF(I117="","",I117-J117)</f>
        <v/>
      </c>
      <c r="M117">
        <f>IF(K117="","",K117-B117)</f>
        <v/>
      </c>
    </row>
    <row r="118">
      <c r="A118" t="inlineStr">
        <is>
          <t>P-00024</t>
        </is>
      </c>
      <c r="B118" s="4" t="n">
        <v>45965</v>
      </c>
      <c r="C118" t="inlineStr">
        <is>
          <t>Jaipur Print Works</t>
        </is>
      </c>
      <c r="D118" t="inlineStr">
        <is>
          <t>PURCHASE</t>
        </is>
      </c>
      <c r="E118" t="inlineStr">
        <is>
          <t>Inventory purchases</t>
        </is>
      </c>
      <c r="F118" s="5" t="n">
        <v>82960.50999999999</v>
      </c>
      <c r="G118" t="n">
        <v>5</v>
      </c>
      <c r="H118" s="5" t="n">
        <v>4148.03</v>
      </c>
      <c r="I118" s="5" t="n">
        <v>87108.53999999999</v>
      </c>
      <c r="J118" s="5" t="n">
        <v>87108.53999999999</v>
      </c>
      <c r="K118" s="4" t="n">
        <v>45980</v>
      </c>
      <c r="L118" s="5">
        <f>IF(I118="","",I118-J118)</f>
        <v/>
      </c>
      <c r="M118">
        <f>IF(K118="","",K118-B118)</f>
        <v/>
      </c>
    </row>
    <row r="119">
      <c r="A119" t="inlineStr">
        <is>
          <t>P-00025</t>
        </is>
      </c>
      <c r="B119" s="4" t="n">
        <v>45977</v>
      </c>
      <c r="C119" t="inlineStr">
        <is>
          <t>Kolkata Hosiery House</t>
        </is>
      </c>
      <c r="D119" t="inlineStr">
        <is>
          <t>PURCHASE</t>
        </is>
      </c>
      <c r="E119" t="inlineStr">
        <is>
          <t>Inventory purchases</t>
        </is>
      </c>
      <c r="F119" s="5" t="n">
        <v>42109.81</v>
      </c>
      <c r="G119" t="n">
        <v>5</v>
      </c>
      <c r="H119" s="5" t="n">
        <v>2105.49</v>
      </c>
      <c r="I119" s="5" t="n">
        <v>44215.3</v>
      </c>
      <c r="J119" s="5" t="n">
        <v>44215.3</v>
      </c>
      <c r="K119" s="4" t="n">
        <v>46008</v>
      </c>
      <c r="L119" s="5">
        <f>IF(I119="","",I119-J119)</f>
        <v/>
      </c>
      <c r="M119">
        <f>IF(K119="","",K119-B119)</f>
        <v/>
      </c>
    </row>
    <row r="120">
      <c r="A120" t="inlineStr">
        <is>
          <t>P-00026</t>
        </is>
      </c>
      <c r="B120" s="4" t="n">
        <v>45964</v>
      </c>
      <c r="C120" t="inlineStr">
        <is>
          <t>Tiruppur Garment Works</t>
        </is>
      </c>
      <c r="D120" t="inlineStr">
        <is>
          <t>PURCHASE</t>
        </is>
      </c>
      <c r="E120" t="inlineStr">
        <is>
          <t>Inventory purchases</t>
        </is>
      </c>
      <c r="F120" s="5" t="n">
        <v>14816.37</v>
      </c>
      <c r="G120" t="n">
        <v>5</v>
      </c>
      <c r="H120" s="5" t="n">
        <v>740.8200000000001</v>
      </c>
      <c r="I120" s="5" t="n">
        <v>15557.19</v>
      </c>
      <c r="J120" s="5" t="n">
        <v>0</v>
      </c>
      <c r="K120" s="4" t="inlineStr"/>
      <c r="L120" s="5">
        <f>IF(I120="","",I120-J120)</f>
        <v/>
      </c>
      <c r="M120">
        <f>IF(K120="","",K120-B120)</f>
        <v/>
      </c>
    </row>
    <row r="121">
      <c r="A121" t="inlineStr">
        <is>
          <t>P-00027</t>
        </is>
      </c>
      <c r="B121" s="4" t="n">
        <v>45981</v>
      </c>
      <c r="C121" t="inlineStr">
        <is>
          <t>Surat Textile Mills</t>
        </is>
      </c>
      <c r="D121" t="inlineStr">
        <is>
          <t>PURCHASE</t>
        </is>
      </c>
      <c r="E121" t="inlineStr">
        <is>
          <t>Inventory purchases</t>
        </is>
      </c>
      <c r="F121" s="5" t="n">
        <v>92626.11</v>
      </c>
      <c r="G121" t="n">
        <v>5</v>
      </c>
      <c r="H121" s="5" t="n">
        <v>4631.31</v>
      </c>
      <c r="I121" s="5" t="n">
        <v>97257.42</v>
      </c>
      <c r="J121" s="5" t="n">
        <v>97257.42</v>
      </c>
      <c r="K121" s="4" t="n">
        <v>46003</v>
      </c>
      <c r="L121" s="5">
        <f>IF(I121="","",I121-J121)</f>
        <v/>
      </c>
      <c r="M121">
        <f>IF(K121="","",K121-B121)</f>
        <v/>
      </c>
    </row>
    <row r="122">
      <c r="A122" t="inlineStr">
        <is>
          <t>P-00028</t>
        </is>
      </c>
      <c r="B122" s="4" t="n">
        <v>45983</v>
      </c>
      <c r="C122" t="inlineStr">
        <is>
          <t>Tiruppur Garment Works</t>
        </is>
      </c>
      <c r="D122" t="inlineStr">
        <is>
          <t>PURCHASE</t>
        </is>
      </c>
      <c r="E122" t="inlineStr">
        <is>
          <t>Inventory purchases</t>
        </is>
      </c>
      <c r="F122" s="5" t="n">
        <v>35030.68</v>
      </c>
      <c r="G122" t="n">
        <v>5</v>
      </c>
      <c r="H122" s="5" t="n">
        <v>1751.53</v>
      </c>
      <c r="I122" s="5" t="n">
        <v>36782.21</v>
      </c>
      <c r="J122" s="5" t="n">
        <v>36782.21</v>
      </c>
      <c r="K122" s="4" t="n">
        <v>46000</v>
      </c>
      <c r="L122" s="5">
        <f>IF(I122="","",I122-J122)</f>
        <v/>
      </c>
      <c r="M122">
        <f>IF(K122="","",K122-B122)</f>
        <v/>
      </c>
    </row>
    <row r="123">
      <c r="A123" t="inlineStr">
        <is>
          <t>P-00029</t>
        </is>
      </c>
      <c r="B123" s="4" t="n">
        <v>45972</v>
      </c>
      <c r="C123" t="inlineStr">
        <is>
          <t>Jaipur Print Works</t>
        </is>
      </c>
      <c r="D123" t="inlineStr">
        <is>
          <t>PURCHASE</t>
        </is>
      </c>
      <c r="E123" t="inlineStr">
        <is>
          <t>Inventory purchases</t>
        </is>
      </c>
      <c r="F123" s="5" t="n">
        <v>76577.53999999999</v>
      </c>
      <c r="G123" t="n">
        <v>5</v>
      </c>
      <c r="H123" s="5" t="n">
        <v>3828.88</v>
      </c>
      <c r="I123" s="5" t="n">
        <v>80406.42</v>
      </c>
      <c r="J123" s="5" t="n">
        <v>80406.42</v>
      </c>
      <c r="K123" s="4" t="n">
        <v>45987</v>
      </c>
      <c r="L123" s="5">
        <f>IF(I123="","",I123-J123)</f>
        <v/>
      </c>
      <c r="M123">
        <f>IF(K123="","",K123-B123)</f>
        <v/>
      </c>
    </row>
    <row r="124">
      <c r="A124" t="inlineStr">
        <is>
          <t>P-00030</t>
        </is>
      </c>
      <c r="B124" s="4" t="n">
        <v>45979</v>
      </c>
      <c r="C124" t="inlineStr">
        <is>
          <t>Jaipur Print Works</t>
        </is>
      </c>
      <c r="D124" t="inlineStr">
        <is>
          <t>PURCHASE</t>
        </is>
      </c>
      <c r="E124" t="inlineStr">
        <is>
          <t>Inventory purchases</t>
        </is>
      </c>
      <c r="F124" s="5" t="n">
        <v>17634.23</v>
      </c>
      <c r="G124" t="n">
        <v>5</v>
      </c>
      <c r="H124" s="5" t="n">
        <v>881.71</v>
      </c>
      <c r="I124" s="5" t="n">
        <v>18515.94</v>
      </c>
      <c r="J124" s="5" t="n">
        <v>18515.94</v>
      </c>
      <c r="K124" s="4" t="n">
        <v>46001</v>
      </c>
      <c r="L124" s="5">
        <f>IF(I124="","",I124-J124)</f>
        <v/>
      </c>
      <c r="M124">
        <f>IF(K124="","",K124-B124)</f>
        <v/>
      </c>
    </row>
    <row r="125">
      <c r="A125" t="inlineStr">
        <is>
          <t>P-00031</t>
        </is>
      </c>
      <c r="B125" s="4" t="n">
        <v>45990</v>
      </c>
      <c r="C125" t="inlineStr">
        <is>
          <t>Kolkata Hosiery House</t>
        </is>
      </c>
      <c r="D125" t="inlineStr">
        <is>
          <t>PURCHASE</t>
        </is>
      </c>
      <c r="E125" t="inlineStr">
        <is>
          <t>Inventory purchases</t>
        </is>
      </c>
      <c r="F125" s="5" t="n">
        <v>90098.99000000001</v>
      </c>
      <c r="G125" t="n">
        <v>5</v>
      </c>
      <c r="H125" s="5" t="n">
        <v>4504.95</v>
      </c>
      <c r="I125" s="5" t="n">
        <v>94603.94</v>
      </c>
      <c r="J125" s="5" t="n">
        <v>94603.94</v>
      </c>
      <c r="K125" s="4" t="n">
        <v>46001</v>
      </c>
      <c r="L125" s="5">
        <f>IF(I125="","",I125-J125)</f>
        <v/>
      </c>
      <c r="M125">
        <f>IF(K125="","",K125-B125)</f>
        <v/>
      </c>
    </row>
    <row r="126">
      <c r="A126" t="inlineStr">
        <is>
          <t>P-00032</t>
        </is>
      </c>
      <c r="B126" s="4" t="n">
        <v>45968</v>
      </c>
      <c r="C126" t="inlineStr">
        <is>
          <t>Kolkata Hosiery House</t>
        </is>
      </c>
      <c r="D126" t="inlineStr">
        <is>
          <t>PURCHASE</t>
        </is>
      </c>
      <c r="E126" t="inlineStr">
        <is>
          <t>Inventory purchases</t>
        </is>
      </c>
      <c r="F126" s="5" t="n">
        <v>113783.91</v>
      </c>
      <c r="G126" t="n">
        <v>5</v>
      </c>
      <c r="H126" s="5" t="n">
        <v>5689.2</v>
      </c>
      <c r="I126" s="5" t="n">
        <v>119473.11</v>
      </c>
      <c r="J126" s="5" t="n">
        <v>119473.11</v>
      </c>
      <c r="K126" s="4" t="n">
        <v>45981</v>
      </c>
      <c r="L126" s="5">
        <f>IF(I126="","",I126-J126)</f>
        <v/>
      </c>
      <c r="M126">
        <f>IF(K126="","",K126-B126)</f>
        <v/>
      </c>
    </row>
    <row r="127">
      <c r="A127" t="inlineStr">
        <is>
          <t>P-00033</t>
        </is>
      </c>
      <c r="B127" s="4" t="n">
        <v>45982</v>
      </c>
      <c r="C127" t="inlineStr">
        <is>
          <t>Ludhiana Knitwear Co</t>
        </is>
      </c>
      <c r="D127" t="inlineStr">
        <is>
          <t>PURCHASE</t>
        </is>
      </c>
      <c r="E127" t="inlineStr">
        <is>
          <t>Inventory purchases</t>
        </is>
      </c>
      <c r="F127" s="5" t="n">
        <v>59640.75</v>
      </c>
      <c r="G127" t="n">
        <v>5</v>
      </c>
      <c r="H127" s="5" t="n">
        <v>2982.04</v>
      </c>
      <c r="I127" s="5" t="n">
        <v>62622.79</v>
      </c>
      <c r="J127" s="5" t="n">
        <v>62622.79</v>
      </c>
      <c r="K127" s="4" t="n">
        <v>45990</v>
      </c>
      <c r="L127" s="5">
        <f>IF(I127="","",I127-J127)</f>
        <v/>
      </c>
      <c r="M127">
        <f>IF(K127="","",K127-B127)</f>
        <v/>
      </c>
    </row>
    <row r="128">
      <c r="A128" t="inlineStr">
        <is>
          <t>E-00016</t>
        </is>
      </c>
      <c r="B128" s="4" t="n">
        <v>45963</v>
      </c>
      <c r="C128" t="inlineStr">
        <is>
          <t>Various</t>
        </is>
      </c>
      <c r="D128" t="inlineStr">
        <is>
          <t>EXPENSE</t>
        </is>
      </c>
      <c r="E128" t="inlineStr">
        <is>
          <t>Rent</t>
        </is>
      </c>
      <c r="F128" s="5" t="n">
        <v>24705.67</v>
      </c>
      <c r="G128" t="n">
        <v>18</v>
      </c>
      <c r="H128" s="5" t="n">
        <v>4447.02</v>
      </c>
      <c r="I128" s="5" t="n">
        <v>29152.69</v>
      </c>
      <c r="J128" s="5" t="n">
        <v>29152.69</v>
      </c>
      <c r="K128" s="4" t="n">
        <v>45963</v>
      </c>
      <c r="L128" s="5">
        <f>IF(I128="","",I128-J128)</f>
        <v/>
      </c>
      <c r="M128">
        <f>IF(K128="","",K128-B128)</f>
        <v/>
      </c>
    </row>
    <row r="129">
      <c r="A129" t="inlineStr">
        <is>
          <t>E-00017</t>
        </is>
      </c>
      <c r="B129" s="4" t="n">
        <v>45967</v>
      </c>
      <c r="C129" t="inlineStr">
        <is>
          <t>Various</t>
        </is>
      </c>
      <c r="D129" t="inlineStr">
        <is>
          <t>EXPENSE</t>
        </is>
      </c>
      <c r="E129" t="inlineStr">
        <is>
          <t>Salaries</t>
        </is>
      </c>
      <c r="F129" s="5" t="n">
        <v>85406.31</v>
      </c>
      <c r="G129" t="n">
        <v>0</v>
      </c>
      <c r="H129" s="5" t="n">
        <v>0</v>
      </c>
      <c r="I129" s="5" t="n">
        <v>85406.31</v>
      </c>
      <c r="J129" s="5" t="n">
        <v>85406.31</v>
      </c>
      <c r="K129" s="4" t="n">
        <v>45973</v>
      </c>
      <c r="L129" s="5">
        <f>IF(I129="","",I129-J129)</f>
        <v/>
      </c>
      <c r="M129">
        <f>IF(K129="","",K129-B129)</f>
        <v/>
      </c>
    </row>
    <row r="130">
      <c r="A130" t="inlineStr">
        <is>
          <t>E-00018</t>
        </is>
      </c>
      <c r="B130" s="4" t="n">
        <v>45983</v>
      </c>
      <c r="C130" t="inlineStr">
        <is>
          <t>Various</t>
        </is>
      </c>
      <c r="D130" t="inlineStr">
        <is>
          <t>EXPENSE</t>
        </is>
      </c>
      <c r="E130" t="inlineStr">
        <is>
          <t>Utilities</t>
        </is>
      </c>
      <c r="F130" s="5" t="n">
        <v>6616.83</v>
      </c>
      <c r="G130" t="n">
        <v>18</v>
      </c>
      <c r="H130" s="5" t="n">
        <v>1191.03</v>
      </c>
      <c r="I130" s="5" t="n">
        <v>7807.86</v>
      </c>
      <c r="J130" s="5" t="n">
        <v>7807.86</v>
      </c>
      <c r="K130" s="4" t="n">
        <v>45985</v>
      </c>
      <c r="L130" s="5">
        <f>IF(I130="","",I130-J130)</f>
        <v/>
      </c>
      <c r="M130">
        <f>IF(K130="","",K130-B130)</f>
        <v/>
      </c>
    </row>
    <row r="131">
      <c r="A131" t="inlineStr">
        <is>
          <t>E-00019</t>
        </is>
      </c>
      <c r="B131" s="4" t="n">
        <v>45974</v>
      </c>
      <c r="C131" t="inlineStr">
        <is>
          <t>Various</t>
        </is>
      </c>
      <c r="D131" t="inlineStr">
        <is>
          <t>EXPENSE</t>
        </is>
      </c>
      <c r="E131" t="inlineStr">
        <is>
          <t>Transport</t>
        </is>
      </c>
      <c r="F131" s="5" t="n">
        <v>4958.48</v>
      </c>
      <c r="G131" t="n">
        <v>5</v>
      </c>
      <c r="H131" s="5" t="n">
        <v>247.92</v>
      </c>
      <c r="I131" s="5" t="n">
        <v>5206.4</v>
      </c>
      <c r="J131" s="5" t="n">
        <v>5206.4</v>
      </c>
      <c r="K131" s="4" t="n">
        <v>45979</v>
      </c>
      <c r="L131" s="5">
        <f>IF(I131="","",I131-J131)</f>
        <v/>
      </c>
      <c r="M131">
        <f>IF(K131="","",K131-B131)</f>
        <v/>
      </c>
    </row>
    <row r="132">
      <c r="A132" t="inlineStr">
        <is>
          <t>E-00020</t>
        </is>
      </c>
      <c r="B132" s="4" t="n">
        <v>45985</v>
      </c>
      <c r="C132" t="inlineStr">
        <is>
          <t>Various</t>
        </is>
      </c>
      <c r="D132" t="inlineStr">
        <is>
          <t>EXPENSE</t>
        </is>
      </c>
      <c r="E132" t="inlineStr">
        <is>
          <t>Transport</t>
        </is>
      </c>
      <c r="F132" s="5" t="n">
        <v>5502.81</v>
      </c>
      <c r="G132" t="n">
        <v>5</v>
      </c>
      <c r="H132" s="5" t="n">
        <v>275.14</v>
      </c>
      <c r="I132" s="5" t="n">
        <v>5777.95</v>
      </c>
      <c r="J132" s="5" t="n">
        <v>5777.95</v>
      </c>
      <c r="K132" s="4" t="n">
        <v>45986</v>
      </c>
      <c r="L132" s="5">
        <f>IF(I132="","",I132-J132)</f>
        <v/>
      </c>
      <c r="M132">
        <f>IF(K132="","",K132-B132)</f>
        <v/>
      </c>
    </row>
    <row r="133">
      <c r="A133" t="inlineStr">
        <is>
          <t>E-00021</t>
        </is>
      </c>
      <c r="B133" s="4" t="n">
        <v>45972</v>
      </c>
      <c r="C133" t="inlineStr">
        <is>
          <t>Various</t>
        </is>
      </c>
      <c r="D133" t="inlineStr">
        <is>
          <t>EXPENSE</t>
        </is>
      </c>
      <c r="E133" t="inlineStr">
        <is>
          <t>Transport</t>
        </is>
      </c>
      <c r="F133" s="5" t="n">
        <v>3283.51</v>
      </c>
      <c r="G133" t="n">
        <v>5</v>
      </c>
      <c r="H133" s="5" t="n">
        <v>164.18</v>
      </c>
      <c r="I133" s="5" t="n">
        <v>3447.69</v>
      </c>
      <c r="J133" s="5" t="n">
        <v>3447.69</v>
      </c>
      <c r="K133" s="4" t="n">
        <v>45975</v>
      </c>
      <c r="L133" s="5">
        <f>IF(I133="","",I133-J133)</f>
        <v/>
      </c>
      <c r="M133">
        <f>IF(K133="","",K133-B133)</f>
        <v/>
      </c>
    </row>
    <row r="134">
      <c r="A134" t="inlineStr">
        <is>
          <t>E-00022</t>
        </is>
      </c>
      <c r="B134" s="4" t="n">
        <v>45962</v>
      </c>
      <c r="C134" t="inlineStr">
        <is>
          <t>Various</t>
        </is>
      </c>
      <c r="D134" t="inlineStr">
        <is>
          <t>EXPENSE</t>
        </is>
      </c>
      <c r="E134" t="inlineStr">
        <is>
          <t>Transport</t>
        </is>
      </c>
      <c r="F134" s="5" t="n">
        <v>5293.25</v>
      </c>
      <c r="G134" t="n">
        <v>5</v>
      </c>
      <c r="H134" s="5" t="n">
        <v>264.66</v>
      </c>
      <c r="I134" s="5" t="n">
        <v>5557.91</v>
      </c>
      <c r="J134" s="5" t="n">
        <v>5557.91</v>
      </c>
      <c r="K134" s="4" t="n">
        <v>45965</v>
      </c>
      <c r="L134" s="5">
        <f>IF(I134="","",I134-J134)</f>
        <v/>
      </c>
      <c r="M134">
        <f>IF(K134="","",K134-B134)</f>
        <v/>
      </c>
    </row>
    <row r="135">
      <c r="A135" t="inlineStr">
        <is>
          <t>E-00023</t>
        </is>
      </c>
      <c r="B135" s="4" t="n">
        <v>45974</v>
      </c>
      <c r="C135" t="inlineStr">
        <is>
          <t>Various</t>
        </is>
      </c>
      <c r="D135" t="inlineStr">
        <is>
          <t>EXPENSE</t>
        </is>
      </c>
      <c r="E135" t="inlineStr">
        <is>
          <t>Transport</t>
        </is>
      </c>
      <c r="F135" s="5" t="n">
        <v>1210</v>
      </c>
      <c r="G135" t="n">
        <v>5</v>
      </c>
      <c r="H135" s="5" t="n">
        <v>60.5</v>
      </c>
      <c r="I135" s="5" t="n">
        <v>1270.5</v>
      </c>
      <c r="J135" s="5" t="n">
        <v>1270.5</v>
      </c>
      <c r="K135" s="4" t="n">
        <v>45978</v>
      </c>
      <c r="L135" s="5">
        <f>IF(I135="","",I135-J135)</f>
        <v/>
      </c>
      <c r="M135">
        <f>IF(K135="","",K135-B135)</f>
        <v/>
      </c>
    </row>
    <row r="136">
      <c r="A136" t="inlineStr">
        <is>
          <t>E-00024</t>
        </is>
      </c>
      <c r="B136" s="4" t="n">
        <v>45989</v>
      </c>
      <c r="C136" t="inlineStr">
        <is>
          <t>Various</t>
        </is>
      </c>
      <c r="D136" t="inlineStr">
        <is>
          <t>EXPENSE</t>
        </is>
      </c>
      <c r="E136" t="inlineStr">
        <is>
          <t>Transport</t>
        </is>
      </c>
      <c r="F136" s="5" t="n">
        <v>8021.38</v>
      </c>
      <c r="G136" t="n">
        <v>5</v>
      </c>
      <c r="H136" s="5" t="n">
        <v>401.07</v>
      </c>
      <c r="I136" s="5" t="n">
        <v>8422.450000000001</v>
      </c>
      <c r="J136" s="5" t="n">
        <v>8422.450000000001</v>
      </c>
      <c r="K136" s="4" t="n">
        <v>45989</v>
      </c>
      <c r="L136" s="5">
        <f>IF(I136="","",I136-J136)</f>
        <v/>
      </c>
      <c r="M136">
        <f>IF(K136="","",K136-B136)</f>
        <v/>
      </c>
    </row>
    <row r="137">
      <c r="A137" t="inlineStr">
        <is>
          <t>E-00025</t>
        </is>
      </c>
      <c r="B137" s="4" t="n">
        <v>45967</v>
      </c>
      <c r="C137" t="inlineStr">
        <is>
          <t>Various</t>
        </is>
      </c>
      <c r="D137" t="inlineStr">
        <is>
          <t>EXPENSE</t>
        </is>
      </c>
      <c r="E137" t="inlineStr">
        <is>
          <t>Marketing</t>
        </is>
      </c>
      <c r="F137" s="5" t="n">
        <v>6733.75</v>
      </c>
      <c r="G137" t="n">
        <v>18</v>
      </c>
      <c r="H137" s="5" t="n">
        <v>1212.08</v>
      </c>
      <c r="I137" s="5" t="n">
        <v>7945.83</v>
      </c>
      <c r="J137" s="5" t="n">
        <v>7945.83</v>
      </c>
      <c r="K137" s="4" t="n">
        <v>45972</v>
      </c>
      <c r="L137" s="5">
        <f>IF(I137="","",I137-J137)</f>
        <v/>
      </c>
      <c r="M137">
        <f>IF(K137="","",K137-B137)</f>
        <v/>
      </c>
    </row>
    <row r="138">
      <c r="A138" t="inlineStr">
        <is>
          <t>E-00026</t>
        </is>
      </c>
      <c r="B138" s="4" t="n">
        <v>45980</v>
      </c>
      <c r="C138" t="inlineStr">
        <is>
          <t>Various</t>
        </is>
      </c>
      <c r="D138" t="inlineStr">
        <is>
          <t>EXPENSE</t>
        </is>
      </c>
      <c r="E138" t="inlineStr">
        <is>
          <t>Marketing</t>
        </is>
      </c>
      <c r="F138" s="5" t="n">
        <v>10112.04</v>
      </c>
      <c r="G138" t="n">
        <v>18</v>
      </c>
      <c r="H138" s="5" t="n">
        <v>1820.17</v>
      </c>
      <c r="I138" s="5" t="n">
        <v>11932.21</v>
      </c>
      <c r="J138" s="5" t="n">
        <v>11932.21</v>
      </c>
      <c r="K138" s="4" t="n">
        <v>45985</v>
      </c>
      <c r="L138" s="5">
        <f>IF(I138="","",I138-J138)</f>
        <v/>
      </c>
      <c r="M138">
        <f>IF(K138="","",K138-B138)</f>
        <v/>
      </c>
    </row>
    <row r="139">
      <c r="A139" t="inlineStr">
        <is>
          <t>E-00027</t>
        </is>
      </c>
      <c r="B139" s="4" t="n">
        <v>45962</v>
      </c>
      <c r="C139" t="inlineStr">
        <is>
          <t>Various</t>
        </is>
      </c>
      <c r="D139" t="inlineStr">
        <is>
          <t>EXPENSE</t>
        </is>
      </c>
      <c r="E139" t="inlineStr">
        <is>
          <t>Professional fees</t>
        </is>
      </c>
      <c r="F139" s="5" t="n">
        <v>12006.36</v>
      </c>
      <c r="G139" t="n">
        <v>18</v>
      </c>
      <c r="H139" s="5" t="n">
        <v>2161.14</v>
      </c>
      <c r="I139" s="5" t="n">
        <v>14167.5</v>
      </c>
      <c r="J139" s="5" t="n">
        <v>14167.5</v>
      </c>
      <c r="K139" s="4" t="n">
        <v>45967</v>
      </c>
      <c r="L139" s="5">
        <f>IF(I139="","",I139-J139)</f>
        <v/>
      </c>
      <c r="M139">
        <f>IF(K139="","",K139-B139)</f>
        <v/>
      </c>
    </row>
    <row r="140">
      <c r="A140" t="inlineStr">
        <is>
          <t>E-00028</t>
        </is>
      </c>
      <c r="B140" s="4" t="n">
        <v>45988</v>
      </c>
      <c r="C140" t="inlineStr">
        <is>
          <t>Various</t>
        </is>
      </c>
      <c r="D140" t="inlineStr">
        <is>
          <t>EXPENSE</t>
        </is>
      </c>
      <c r="E140" t="inlineStr">
        <is>
          <t>Misc</t>
        </is>
      </c>
      <c r="F140" s="5" t="n">
        <v>2632.05</v>
      </c>
      <c r="G140" t="n">
        <v>18</v>
      </c>
      <c r="H140" s="5" t="n">
        <v>473.77</v>
      </c>
      <c r="I140" s="5" t="n">
        <v>3105.82</v>
      </c>
      <c r="J140" s="5" t="n">
        <v>3105.82</v>
      </c>
      <c r="K140" s="4" t="n">
        <v>45991</v>
      </c>
      <c r="L140" s="5">
        <f>IF(I140="","",I140-J140)</f>
        <v/>
      </c>
      <c r="M140">
        <f>IF(K140="","",K140-B140)</f>
        <v/>
      </c>
    </row>
    <row r="141">
      <c r="A141" t="inlineStr">
        <is>
          <t>E-00029</t>
        </is>
      </c>
      <c r="B141" s="4" t="n">
        <v>45981</v>
      </c>
      <c r="C141" t="inlineStr">
        <is>
          <t>Various</t>
        </is>
      </c>
      <c r="D141" t="inlineStr">
        <is>
          <t>EXPENSE</t>
        </is>
      </c>
      <c r="E141" t="inlineStr">
        <is>
          <t>Misc</t>
        </is>
      </c>
      <c r="F141" s="5" t="n">
        <v>5801.29</v>
      </c>
      <c r="G141" t="n">
        <v>18</v>
      </c>
      <c r="H141" s="5" t="n">
        <v>1044.23</v>
      </c>
      <c r="I141" s="5" t="n">
        <v>6845.52</v>
      </c>
      <c r="J141" s="5" t="n">
        <v>6845.52</v>
      </c>
      <c r="K141" s="4" t="n">
        <v>45986</v>
      </c>
      <c r="L141" s="5">
        <f>IF(I141="","",I141-J141)</f>
        <v/>
      </c>
      <c r="M141">
        <f>IF(K141="","",K141-B141)</f>
        <v/>
      </c>
    </row>
    <row r="142">
      <c r="A142" t="inlineStr">
        <is>
          <t>E-00030</t>
        </is>
      </c>
      <c r="B142" s="4" t="n">
        <v>45985</v>
      </c>
      <c r="C142" t="inlineStr">
        <is>
          <t>Various</t>
        </is>
      </c>
      <c r="D142" t="inlineStr">
        <is>
          <t>EXPENSE</t>
        </is>
      </c>
      <c r="E142" t="inlineStr">
        <is>
          <t>Misc</t>
        </is>
      </c>
      <c r="F142" s="5" t="n">
        <v>4189.5</v>
      </c>
      <c r="G142" t="n">
        <v>18</v>
      </c>
      <c r="H142" s="5" t="n">
        <v>754.11</v>
      </c>
      <c r="I142" s="5" t="n">
        <v>4943.61</v>
      </c>
      <c r="J142" s="5" t="n">
        <v>4943.61</v>
      </c>
      <c r="K142" s="4" t="n">
        <v>45988</v>
      </c>
      <c r="L142" s="5">
        <f>IF(I142="","",I142-J142)</f>
        <v/>
      </c>
      <c r="M142">
        <f>IF(K142="","",K142-B142)</f>
        <v/>
      </c>
    </row>
    <row r="143">
      <c r="A143" t="inlineStr">
        <is>
          <t>S-00079</t>
        </is>
      </c>
      <c r="B143" s="4" t="n">
        <v>45997</v>
      </c>
      <c r="C143" t="inlineStr">
        <is>
          <t>Muzaffarpur Cloth House</t>
        </is>
      </c>
      <c r="D143" t="inlineStr">
        <is>
          <t>SALES</t>
        </is>
      </c>
      <c r="E143" t="inlineStr">
        <is>
          <t>Garments</t>
        </is>
      </c>
      <c r="F143" s="5" t="n">
        <v>22532.39</v>
      </c>
      <c r="G143" t="n">
        <v>12</v>
      </c>
      <c r="H143" s="5" t="n">
        <v>2703.89</v>
      </c>
      <c r="I143" s="5" t="n">
        <v>25236.28</v>
      </c>
      <c r="J143" s="5" t="n">
        <v>0</v>
      </c>
      <c r="K143" s="4" t="inlineStr"/>
      <c r="L143" s="5">
        <f>IF(I143="","",I143-J143)</f>
        <v/>
      </c>
      <c r="M143">
        <f>IF(K143="","",K143-B143)</f>
        <v/>
      </c>
    </row>
    <row r="144">
      <c r="A144" t="inlineStr">
        <is>
          <t>S-00080</t>
        </is>
      </c>
      <c r="B144" s="4" t="n">
        <v>46016</v>
      </c>
      <c r="C144" t="inlineStr">
        <is>
          <t>Arrah Garment Plaza</t>
        </is>
      </c>
      <c r="D144" t="inlineStr">
        <is>
          <t>SALES</t>
        </is>
      </c>
      <c r="E144" t="inlineStr">
        <is>
          <t>Garments</t>
        </is>
      </c>
      <c r="F144" s="5" t="n">
        <v>14669.72</v>
      </c>
      <c r="G144" t="n">
        <v>12</v>
      </c>
      <c r="H144" s="5" t="n">
        <v>1760.37</v>
      </c>
      <c r="I144" s="5" t="n">
        <v>16430.09</v>
      </c>
      <c r="J144" s="5" t="n">
        <v>16430.09</v>
      </c>
      <c r="K144" s="4" t="n">
        <v>46036</v>
      </c>
      <c r="L144" s="5">
        <f>IF(I144="","",I144-J144)</f>
        <v/>
      </c>
      <c r="M144">
        <f>IF(K144="","",K144-B144)</f>
        <v/>
      </c>
    </row>
    <row r="145">
      <c r="A145" t="inlineStr">
        <is>
          <t>S-00081</t>
        </is>
      </c>
      <c r="B145" s="4" t="n">
        <v>46016</v>
      </c>
      <c r="C145" t="inlineStr">
        <is>
          <t>Vishal Mega Mart (franchise)</t>
        </is>
      </c>
      <c r="D145" t="inlineStr">
        <is>
          <t>SALES</t>
        </is>
      </c>
      <c r="E145" t="inlineStr">
        <is>
          <t>Fabrics</t>
        </is>
      </c>
      <c r="F145" s="5" t="n">
        <v>94784.10000000001</v>
      </c>
      <c r="G145" t="n">
        <v>5</v>
      </c>
      <c r="H145" s="5" t="n">
        <v>4739.2</v>
      </c>
      <c r="I145" s="5" t="n">
        <v>99523.3</v>
      </c>
      <c r="J145" s="5" t="n">
        <v>60832.79</v>
      </c>
      <c r="K145" s="4" t="n">
        <v>46055</v>
      </c>
      <c r="L145" s="5">
        <f>IF(I145="","",I145-J145)</f>
        <v/>
      </c>
      <c r="M145">
        <f>IF(K145="","",K145-B145)</f>
        <v/>
      </c>
    </row>
    <row r="146">
      <c r="A146" t="inlineStr">
        <is>
          <t>S-00082</t>
        </is>
      </c>
      <c r="B146" s="4" t="n">
        <v>46000</v>
      </c>
      <c r="C146" t="inlineStr">
        <is>
          <t>Trendy Threads</t>
        </is>
      </c>
      <c r="D146" t="inlineStr">
        <is>
          <t>SALES</t>
        </is>
      </c>
      <c r="E146" t="inlineStr">
        <is>
          <t>Fabrics</t>
        </is>
      </c>
      <c r="F146" s="5" t="n">
        <v>30451.01</v>
      </c>
      <c r="G146" t="n">
        <v>5</v>
      </c>
      <c r="H146" s="5" t="n">
        <v>1522.55</v>
      </c>
      <c r="I146" s="5" t="n">
        <v>31973.56</v>
      </c>
      <c r="J146" s="5" t="n">
        <v>31973.56</v>
      </c>
      <c r="K146" s="4" t="n">
        <v>46026</v>
      </c>
      <c r="L146" s="5">
        <f>IF(I146="","",I146-J146)</f>
        <v/>
      </c>
      <c r="M146">
        <f>IF(K146="","",K146-B146)</f>
        <v/>
      </c>
    </row>
    <row r="147">
      <c r="A147" t="inlineStr">
        <is>
          <t>S-00083</t>
        </is>
      </c>
      <c r="B147" s="4" t="n">
        <v>46011</v>
      </c>
      <c r="C147" t="inlineStr">
        <is>
          <t>Muzaffarpur Cloth House</t>
        </is>
      </c>
      <c r="D147" t="inlineStr">
        <is>
          <t>SALES</t>
        </is>
      </c>
      <c r="E147" t="inlineStr">
        <is>
          <t>Garments</t>
        </is>
      </c>
      <c r="F147" s="5" t="n">
        <v>18173.94</v>
      </c>
      <c r="G147" t="n">
        <v>12</v>
      </c>
      <c r="H147" s="5" t="n">
        <v>2180.87</v>
      </c>
      <c r="I147" s="5" t="n">
        <v>20354.81</v>
      </c>
      <c r="J147" s="5" t="n">
        <v>20354.81</v>
      </c>
      <c r="K147" s="4" t="n">
        <v>46057</v>
      </c>
      <c r="L147" s="5">
        <f>IF(I147="","",I147-J147)</f>
        <v/>
      </c>
      <c r="M147">
        <f>IF(K147="","",K147-B147)</f>
        <v/>
      </c>
    </row>
    <row r="148">
      <c r="A148" t="inlineStr">
        <is>
          <t>S-00084</t>
        </is>
      </c>
      <c r="B148" s="4" t="n">
        <v>46014</v>
      </c>
      <c r="C148" t="inlineStr">
        <is>
          <t>Trendy Threads</t>
        </is>
      </c>
      <c r="D148" t="inlineStr">
        <is>
          <t>SALES</t>
        </is>
      </c>
      <c r="E148" t="inlineStr">
        <is>
          <t>Fabrics</t>
        </is>
      </c>
      <c r="F148" s="5" t="n">
        <v>66286.55</v>
      </c>
      <c r="G148" t="n">
        <v>5</v>
      </c>
      <c r="H148" s="5" t="n">
        <v>3314.33</v>
      </c>
      <c r="I148" s="5" t="n">
        <v>69600.88</v>
      </c>
      <c r="J148" s="5" t="n">
        <v>69600.88</v>
      </c>
      <c r="K148" s="4" t="n">
        <v>46045</v>
      </c>
      <c r="L148" s="5">
        <f>IF(I148="","",I148-J148)</f>
        <v/>
      </c>
      <c r="M148">
        <f>IF(K148="","",K148-B148)</f>
        <v/>
      </c>
    </row>
    <row r="149">
      <c r="A149" t="inlineStr">
        <is>
          <t>S-00085</t>
        </is>
      </c>
      <c r="B149" s="4" t="n">
        <v>45994</v>
      </c>
      <c r="C149" t="inlineStr">
        <is>
          <t>New Look Garments</t>
        </is>
      </c>
      <c r="D149" t="inlineStr">
        <is>
          <t>SALES</t>
        </is>
      </c>
      <c r="E149" t="inlineStr">
        <is>
          <t>Garments</t>
        </is>
      </c>
      <c r="F149" s="5" t="n">
        <v>59520.5</v>
      </c>
      <c r="G149" t="n">
        <v>12</v>
      </c>
      <c r="H149" s="5" t="n">
        <v>7142.46</v>
      </c>
      <c r="I149" s="5" t="n">
        <v>66662.96000000001</v>
      </c>
      <c r="J149" s="5" t="n">
        <v>0</v>
      </c>
      <c r="K149" s="4" t="inlineStr"/>
      <c r="L149" s="5">
        <f>IF(I149="","",I149-J149)</f>
        <v/>
      </c>
      <c r="M149">
        <f>IF(K149="","",K149-B149)</f>
        <v/>
      </c>
    </row>
    <row r="150">
      <c r="A150" t="inlineStr">
        <is>
          <t>S-00086</t>
        </is>
      </c>
      <c r="B150" s="4" t="n">
        <v>45995</v>
      </c>
      <c r="C150" t="inlineStr">
        <is>
          <t>Arrah Garment Plaza</t>
        </is>
      </c>
      <c r="D150" t="inlineStr">
        <is>
          <t>SALES</t>
        </is>
      </c>
      <c r="E150" t="inlineStr">
        <is>
          <t>Accessories</t>
        </is>
      </c>
      <c r="F150" s="5" t="n">
        <v>78514.59</v>
      </c>
      <c r="G150" t="n">
        <v>12</v>
      </c>
      <c r="H150" s="5" t="n">
        <v>9421.75</v>
      </c>
      <c r="I150" s="5" t="n">
        <v>87936.34</v>
      </c>
      <c r="J150" s="5" t="n">
        <v>87936.34</v>
      </c>
      <c r="K150" s="4" t="n">
        <v>46016</v>
      </c>
      <c r="L150" s="5">
        <f>IF(I150="","",I150-J150)</f>
        <v/>
      </c>
      <c r="M150">
        <f>IF(K150="","",K150-B150)</f>
        <v/>
      </c>
    </row>
    <row r="151">
      <c r="A151" t="inlineStr">
        <is>
          <t>S-00087</t>
        </is>
      </c>
      <c r="B151" s="4" t="n">
        <v>46005</v>
      </c>
      <c r="C151" t="inlineStr">
        <is>
          <t>Bazaar Collection</t>
        </is>
      </c>
      <c r="D151" t="inlineStr">
        <is>
          <t>SALES</t>
        </is>
      </c>
      <c r="E151" t="inlineStr">
        <is>
          <t>Fabrics</t>
        </is>
      </c>
      <c r="F151" s="5" t="n">
        <v>22054.02</v>
      </c>
      <c r="G151" t="n">
        <v>5</v>
      </c>
      <c r="H151" s="5" t="n">
        <v>1102.7</v>
      </c>
      <c r="I151" s="5" t="n">
        <v>23156.72</v>
      </c>
      <c r="J151" s="5" t="n">
        <v>23156.72</v>
      </c>
      <c r="K151" s="4" t="n">
        <v>46057</v>
      </c>
      <c r="L151" s="5">
        <f>IF(I151="","",I151-J151)</f>
        <v/>
      </c>
      <c r="M151">
        <f>IF(K151="","",K151-B151)</f>
        <v/>
      </c>
    </row>
    <row r="152">
      <c r="A152" t="inlineStr">
        <is>
          <t>S-00088</t>
        </is>
      </c>
      <c r="B152" s="4" t="n">
        <v>46018</v>
      </c>
      <c r="C152" t="inlineStr">
        <is>
          <t>Sharma Retail Store</t>
        </is>
      </c>
      <c r="D152" t="inlineStr">
        <is>
          <t>SALES</t>
        </is>
      </c>
      <c r="E152" t="inlineStr">
        <is>
          <t>Garments</t>
        </is>
      </c>
      <c r="F152" s="5" t="n">
        <v>76345.31</v>
      </c>
      <c r="G152" t="n">
        <v>12</v>
      </c>
      <c r="H152" s="5" t="n">
        <v>9161.440000000001</v>
      </c>
      <c r="I152" s="5" t="n">
        <v>85506.75</v>
      </c>
      <c r="J152" s="5" t="n">
        <v>85506.75</v>
      </c>
      <c r="K152" s="4" t="n">
        <v>46064</v>
      </c>
      <c r="L152" s="5">
        <f>IF(I152="","",I152-J152)</f>
        <v/>
      </c>
      <c r="M152">
        <f>IF(K152="","",K152-B152)</f>
        <v/>
      </c>
    </row>
    <row r="153">
      <c r="A153" t="inlineStr">
        <is>
          <t>S-00089</t>
        </is>
      </c>
      <c r="B153" s="4" t="n">
        <v>45993</v>
      </c>
      <c r="C153" t="inlineStr">
        <is>
          <t>Purnia Fashion Hub</t>
        </is>
      </c>
      <c r="D153" t="inlineStr">
        <is>
          <t>SALES</t>
        </is>
      </c>
      <c r="E153" t="inlineStr">
        <is>
          <t>Fabrics</t>
        </is>
      </c>
      <c r="F153" s="5" t="n">
        <v>91876.14</v>
      </c>
      <c r="G153" t="n">
        <v>5</v>
      </c>
      <c r="H153" s="5" t="n">
        <v>4593.81</v>
      </c>
      <c r="I153" s="5" t="n">
        <v>96469.95</v>
      </c>
      <c r="J153" s="5" t="n">
        <v>96469.95</v>
      </c>
      <c r="K153" s="4" t="n">
        <v>46063</v>
      </c>
      <c r="L153" s="5">
        <f>IF(I153="","",I153-J153)</f>
        <v/>
      </c>
      <c r="M153">
        <f>IF(K153="","",K153-B153)</f>
        <v/>
      </c>
    </row>
    <row r="154">
      <c r="A154" t="inlineStr">
        <is>
          <t>S-00090</t>
        </is>
      </c>
      <c r="B154" s="4" t="n">
        <v>46003</v>
      </c>
      <c r="C154" t="inlineStr">
        <is>
          <t>Muzaffarpur Cloth House</t>
        </is>
      </c>
      <c r="D154" t="inlineStr">
        <is>
          <t>SALES</t>
        </is>
      </c>
      <c r="E154" t="inlineStr">
        <is>
          <t>Accessories</t>
        </is>
      </c>
      <c r="F154" s="5" t="n">
        <v>37299.36</v>
      </c>
      <c r="G154" t="n">
        <v>12</v>
      </c>
      <c r="H154" s="5" t="n">
        <v>4475.92</v>
      </c>
      <c r="I154" s="5" t="n">
        <v>41775.28</v>
      </c>
      <c r="J154" s="5" t="n">
        <v>41775.28</v>
      </c>
      <c r="K154" s="4" t="n">
        <v>46035</v>
      </c>
      <c r="L154" s="5">
        <f>IF(I154="","",I154-J154)</f>
        <v/>
      </c>
      <c r="M154">
        <f>IF(K154="","",K154-B154)</f>
        <v/>
      </c>
    </row>
    <row r="155">
      <c r="A155" t="inlineStr">
        <is>
          <t>S-00091</t>
        </is>
      </c>
      <c r="B155" s="4" t="n">
        <v>46020</v>
      </c>
      <c r="C155" t="inlineStr">
        <is>
          <t>Kumkum Saree Sadan</t>
        </is>
      </c>
      <c r="D155" t="inlineStr">
        <is>
          <t>SALES</t>
        </is>
      </c>
      <c r="E155" t="inlineStr">
        <is>
          <t>Garments</t>
        </is>
      </c>
      <c r="F155" s="5" t="n">
        <v>10116.25</v>
      </c>
      <c r="G155" t="n">
        <v>12</v>
      </c>
      <c r="H155" s="5" t="n">
        <v>1213.95</v>
      </c>
      <c r="I155" s="5" t="n">
        <v>11330.2</v>
      </c>
      <c r="J155" s="5" t="n">
        <v>11330.2</v>
      </c>
      <c r="K155" s="4" t="n">
        <v>46054</v>
      </c>
      <c r="L155" s="5">
        <f>IF(I155="","",I155-J155)</f>
        <v/>
      </c>
      <c r="M155">
        <f>IF(K155="","",K155-B155)</f>
        <v/>
      </c>
    </row>
    <row r="156">
      <c r="A156" t="inlineStr">
        <is>
          <t>S-00092</t>
        </is>
      </c>
      <c r="B156" s="4" t="n">
        <v>46005</v>
      </c>
      <c r="C156" t="inlineStr">
        <is>
          <t>Vishal Mega Mart (franchise)</t>
        </is>
      </c>
      <c r="D156" t="inlineStr">
        <is>
          <t>SALES</t>
        </is>
      </c>
      <c r="E156" t="inlineStr">
        <is>
          <t>Garments</t>
        </is>
      </c>
      <c r="F156" s="5" t="n">
        <v>62460.54</v>
      </c>
      <c r="G156" t="n">
        <v>12</v>
      </c>
      <c r="H156" s="5" t="n">
        <v>7495.26</v>
      </c>
      <c r="I156" s="5" t="n">
        <v>69955.8</v>
      </c>
      <c r="J156" s="5" t="n">
        <v>69955.8</v>
      </c>
      <c r="K156" s="4" t="n">
        <v>46041</v>
      </c>
      <c r="L156" s="5">
        <f>IF(I156="","",I156-J156)</f>
        <v/>
      </c>
      <c r="M156">
        <f>IF(K156="","",K156-B156)</f>
        <v/>
      </c>
    </row>
    <row r="157">
      <c r="A157" t="inlineStr">
        <is>
          <t>S-00093</t>
        </is>
      </c>
      <c r="B157" s="4" t="n">
        <v>46019</v>
      </c>
      <c r="C157" t="inlineStr">
        <is>
          <t>Kumkum Saree Sadan</t>
        </is>
      </c>
      <c r="D157" t="inlineStr">
        <is>
          <t>SALES</t>
        </is>
      </c>
      <c r="E157" t="inlineStr">
        <is>
          <t>Garments</t>
        </is>
      </c>
      <c r="F157" s="5" t="n">
        <v>8148.23</v>
      </c>
      <c r="G157" t="n">
        <v>12</v>
      </c>
      <c r="H157" s="5" t="n">
        <v>977.79</v>
      </c>
      <c r="I157" s="5" t="n">
        <v>9126.02</v>
      </c>
      <c r="J157" s="5" t="n">
        <v>9126.02</v>
      </c>
      <c r="K157" s="4" t="n">
        <v>46035</v>
      </c>
      <c r="L157" s="5">
        <f>IF(I157="","",I157-J157)</f>
        <v/>
      </c>
      <c r="M157">
        <f>IF(K157="","",K157-B157)</f>
        <v/>
      </c>
    </row>
    <row r="158">
      <c r="A158" t="inlineStr">
        <is>
          <t>S-00094</t>
        </is>
      </c>
      <c r="B158" s="4" t="n">
        <v>46020</v>
      </c>
      <c r="C158" t="inlineStr">
        <is>
          <t>Gaya Textile Traders</t>
        </is>
      </c>
      <c r="D158" t="inlineStr">
        <is>
          <t>SALES</t>
        </is>
      </c>
      <c r="E158" t="inlineStr">
        <is>
          <t>Fabrics</t>
        </is>
      </c>
      <c r="F158" s="5" t="n">
        <v>23734.67</v>
      </c>
      <c r="G158" t="n">
        <v>5</v>
      </c>
      <c r="H158" s="5" t="n">
        <v>1186.73</v>
      </c>
      <c r="I158" s="5" t="n">
        <v>24921.4</v>
      </c>
      <c r="J158" s="5" t="n">
        <v>24921.4</v>
      </c>
      <c r="K158" s="4" t="n">
        <v>46028</v>
      </c>
      <c r="L158" s="5">
        <f>IF(I158="","",I158-J158)</f>
        <v/>
      </c>
      <c r="M158">
        <f>IF(K158="","",K158-B158)</f>
        <v/>
      </c>
    </row>
    <row r="159">
      <c r="A159" t="inlineStr">
        <is>
          <t>S-00095</t>
        </is>
      </c>
      <c r="B159" s="4" t="n">
        <v>46004</v>
      </c>
      <c r="C159" t="inlineStr">
        <is>
          <t>Bazaar Collection</t>
        </is>
      </c>
      <c r="D159" t="inlineStr">
        <is>
          <t>SALES</t>
        </is>
      </c>
      <c r="E159" t="inlineStr">
        <is>
          <t>Accessories</t>
        </is>
      </c>
      <c r="F159" s="5" t="n">
        <v>30707.39</v>
      </c>
      <c r="G159" t="n">
        <v>12</v>
      </c>
      <c r="H159" s="5" t="n">
        <v>3684.89</v>
      </c>
      <c r="I159" s="5" t="n">
        <v>34392.28</v>
      </c>
      <c r="J159" s="5" t="n">
        <v>34392.28</v>
      </c>
      <c r="K159" s="4" t="n">
        <v>46017</v>
      </c>
      <c r="L159" s="5">
        <f>IF(I159="","",I159-J159)</f>
        <v/>
      </c>
      <c r="M159">
        <f>IF(K159="","",K159-B159)</f>
        <v/>
      </c>
    </row>
    <row r="160">
      <c r="A160" t="inlineStr">
        <is>
          <t>S-00096</t>
        </is>
      </c>
      <c r="B160" s="4" t="n">
        <v>45995</v>
      </c>
      <c r="C160" t="inlineStr">
        <is>
          <t>Gaya Textile Traders</t>
        </is>
      </c>
      <c r="D160" t="inlineStr">
        <is>
          <t>SALES</t>
        </is>
      </c>
      <c r="E160" t="inlineStr">
        <is>
          <t>Fabrics</t>
        </is>
      </c>
      <c r="F160" s="5" t="n">
        <v>84893.03</v>
      </c>
      <c r="G160" t="n">
        <v>5</v>
      </c>
      <c r="H160" s="5" t="n">
        <v>4244.65</v>
      </c>
      <c r="I160" s="5" t="n">
        <v>89137.67999999999</v>
      </c>
      <c r="J160" s="5" t="n">
        <v>89137.67999999999</v>
      </c>
      <c r="K160" s="4" t="n">
        <v>46035</v>
      </c>
      <c r="L160" s="5">
        <f>IF(I160="","",I160-J160)</f>
        <v/>
      </c>
      <c r="M160">
        <f>IF(K160="","",K160-B160)</f>
        <v/>
      </c>
    </row>
    <row r="161">
      <c r="A161" t="inlineStr">
        <is>
          <t>S-00097</t>
        </is>
      </c>
      <c r="B161" s="4" t="n">
        <v>46013</v>
      </c>
      <c r="C161" t="inlineStr">
        <is>
          <t>Bazaar Collection</t>
        </is>
      </c>
      <c r="D161" t="inlineStr">
        <is>
          <t>SALES</t>
        </is>
      </c>
      <c r="E161" t="inlineStr">
        <is>
          <t>Accessories</t>
        </is>
      </c>
      <c r="F161" s="5" t="n">
        <v>64543.96</v>
      </c>
      <c r="G161" t="n">
        <v>12</v>
      </c>
      <c r="H161" s="5" t="n">
        <v>7745.28</v>
      </c>
      <c r="I161" s="5" t="n">
        <v>72289.24000000001</v>
      </c>
      <c r="J161" s="5" t="n">
        <v>72289.24000000001</v>
      </c>
      <c r="K161" s="4" t="n">
        <v>46041</v>
      </c>
      <c r="L161" s="5">
        <f>IF(I161="","",I161-J161)</f>
        <v/>
      </c>
      <c r="M161">
        <f>IF(K161="","",K161-B161)</f>
        <v/>
      </c>
    </row>
    <row r="162">
      <c r="A162" t="inlineStr">
        <is>
          <t>S-00098</t>
        </is>
      </c>
      <c r="B162" s="4" t="n">
        <v>45995</v>
      </c>
      <c r="C162" t="inlineStr">
        <is>
          <t>Trendy Threads</t>
        </is>
      </c>
      <c r="D162" t="inlineStr">
        <is>
          <t>SALES</t>
        </is>
      </c>
      <c r="E162" t="inlineStr">
        <is>
          <t>Garments</t>
        </is>
      </c>
      <c r="F162" s="5" t="n">
        <v>39184.1</v>
      </c>
      <c r="G162" t="n">
        <v>12</v>
      </c>
      <c r="H162" s="5" t="n">
        <v>4702.09</v>
      </c>
      <c r="I162" s="5" t="n">
        <v>43886.19</v>
      </c>
      <c r="J162" s="5" t="n">
        <v>43886.19</v>
      </c>
      <c r="K162" s="4" t="n">
        <v>46039</v>
      </c>
      <c r="L162" s="5">
        <f>IF(I162="","",I162-J162)</f>
        <v/>
      </c>
      <c r="M162">
        <f>IF(K162="","",K162-B162)</f>
        <v/>
      </c>
    </row>
    <row r="163">
      <c r="A163" t="inlineStr">
        <is>
          <t>S-00099</t>
        </is>
      </c>
      <c r="B163" s="4" t="n">
        <v>46018</v>
      </c>
      <c r="C163" t="inlineStr">
        <is>
          <t>Patna Fashion House</t>
        </is>
      </c>
      <c r="D163" t="inlineStr">
        <is>
          <t>SALES</t>
        </is>
      </c>
      <c r="E163" t="inlineStr">
        <is>
          <t>Garments</t>
        </is>
      </c>
      <c r="F163" s="5" t="n">
        <v>39421.57</v>
      </c>
      <c r="G163" t="n">
        <v>12</v>
      </c>
      <c r="H163" s="5" t="n">
        <v>4730.59</v>
      </c>
      <c r="I163" s="5" t="n">
        <v>44152.16</v>
      </c>
      <c r="J163" s="5" t="n">
        <v>44152.16</v>
      </c>
      <c r="K163" s="4" t="n">
        <v>46030</v>
      </c>
      <c r="L163" s="5">
        <f>IF(I163="","",I163-J163)</f>
        <v/>
      </c>
      <c r="M163">
        <f>IF(K163="","",K163-B163)</f>
        <v/>
      </c>
    </row>
    <row r="164">
      <c r="A164" t="inlineStr">
        <is>
          <t>S-00100</t>
        </is>
      </c>
      <c r="B164" s="4" t="n">
        <v>46009</v>
      </c>
      <c r="C164" t="inlineStr">
        <is>
          <t>Bazaar Collection</t>
        </is>
      </c>
      <c r="D164" t="inlineStr">
        <is>
          <t>SALES</t>
        </is>
      </c>
      <c r="E164" t="inlineStr">
        <is>
          <t>Garments</t>
        </is>
      </c>
      <c r="F164" s="5" t="n">
        <v>78521.22</v>
      </c>
      <c r="G164" t="n">
        <v>12</v>
      </c>
      <c r="H164" s="5" t="n">
        <v>9422.549999999999</v>
      </c>
      <c r="I164" s="5" t="n">
        <v>87943.77</v>
      </c>
      <c r="J164" s="5" t="n">
        <v>0</v>
      </c>
      <c r="K164" s="4" t="inlineStr"/>
      <c r="L164" s="5">
        <f>IF(I164="","",I164-J164)</f>
        <v/>
      </c>
      <c r="M164">
        <f>IF(K164="","",K164-B164)</f>
        <v/>
      </c>
    </row>
    <row r="165">
      <c r="A165" t="inlineStr">
        <is>
          <t>S-00101</t>
        </is>
      </c>
      <c r="B165" s="4" t="n">
        <v>45994</v>
      </c>
      <c r="C165" t="inlineStr">
        <is>
          <t>Purnia Fashion Hub</t>
        </is>
      </c>
      <c r="D165" t="inlineStr">
        <is>
          <t>SALES</t>
        </is>
      </c>
      <c r="E165" t="inlineStr">
        <is>
          <t>Garments</t>
        </is>
      </c>
      <c r="F165" s="5" t="n">
        <v>32023.5</v>
      </c>
      <c r="G165" t="n">
        <v>12</v>
      </c>
      <c r="H165" s="5" t="n">
        <v>3842.82</v>
      </c>
      <c r="I165" s="5" t="n">
        <v>35866.32</v>
      </c>
      <c r="J165" s="5" t="n">
        <v>35866.32</v>
      </c>
      <c r="K165" s="4" t="n">
        <v>46059</v>
      </c>
      <c r="L165" s="5">
        <f>IF(I165="","",I165-J165)</f>
        <v/>
      </c>
      <c r="M165">
        <f>IF(K165="","",K165-B165)</f>
        <v/>
      </c>
    </row>
    <row r="166">
      <c r="A166" t="inlineStr">
        <is>
          <t>S-00102</t>
        </is>
      </c>
      <c r="B166" s="4" t="n">
        <v>46017</v>
      </c>
      <c r="C166" t="inlineStr">
        <is>
          <t>Trendy Threads</t>
        </is>
      </c>
      <c r="D166" t="inlineStr">
        <is>
          <t>SALES</t>
        </is>
      </c>
      <c r="E166" t="inlineStr">
        <is>
          <t>Garments</t>
        </is>
      </c>
      <c r="F166" s="5" t="n">
        <v>63867.23</v>
      </c>
      <c r="G166" t="n">
        <v>12</v>
      </c>
      <c r="H166" s="5" t="n">
        <v>7664.07</v>
      </c>
      <c r="I166" s="5" t="n">
        <v>71531.3</v>
      </c>
      <c r="J166" s="5" t="n">
        <v>71531.3</v>
      </c>
      <c r="K166" s="4" t="n">
        <v>46036</v>
      </c>
      <c r="L166" s="5">
        <f>IF(I166="","",I166-J166)</f>
        <v/>
      </c>
      <c r="M166">
        <f>IF(K166="","",K166-B166)</f>
        <v/>
      </c>
    </row>
    <row r="167">
      <c r="A167" t="inlineStr">
        <is>
          <t>S-00103</t>
        </is>
      </c>
      <c r="B167" s="4" t="n">
        <v>46014</v>
      </c>
      <c r="C167" t="inlineStr">
        <is>
          <t>Muzaffarpur Cloth House</t>
        </is>
      </c>
      <c r="D167" t="inlineStr">
        <is>
          <t>SALES</t>
        </is>
      </c>
      <c r="E167" t="inlineStr">
        <is>
          <t>Fabrics</t>
        </is>
      </c>
      <c r="F167" s="5" t="n">
        <v>88726.24000000001</v>
      </c>
      <c r="G167" t="n">
        <v>5</v>
      </c>
      <c r="H167" s="5" t="n">
        <v>4436.31</v>
      </c>
      <c r="I167" s="5" t="n">
        <v>93162.55</v>
      </c>
      <c r="J167" s="5" t="n">
        <v>93162.55</v>
      </c>
      <c r="K167" s="4" t="n">
        <v>46036</v>
      </c>
      <c r="L167" s="5">
        <f>IF(I167="","",I167-J167)</f>
        <v/>
      </c>
      <c r="M167">
        <f>IF(K167="","",K167-B167)</f>
        <v/>
      </c>
    </row>
    <row r="168">
      <c r="A168" t="inlineStr">
        <is>
          <t>S-00104</t>
        </is>
      </c>
      <c r="B168" s="4" t="n">
        <v>46010</v>
      </c>
      <c r="C168" t="inlineStr">
        <is>
          <t>Lakshmi Cloth Store</t>
        </is>
      </c>
      <c r="D168" t="inlineStr">
        <is>
          <t>SALES</t>
        </is>
      </c>
      <c r="E168" t="inlineStr">
        <is>
          <t>Fabrics</t>
        </is>
      </c>
      <c r="F168" s="5" t="n">
        <v>90148.63</v>
      </c>
      <c r="G168" t="n">
        <v>5</v>
      </c>
      <c r="H168" s="5" t="n">
        <v>4507.43</v>
      </c>
      <c r="I168" s="5" t="n">
        <v>94656.06</v>
      </c>
      <c r="J168" s="5" t="n">
        <v>94656.06</v>
      </c>
      <c r="K168" s="4" t="n">
        <v>46046</v>
      </c>
      <c r="L168" s="5">
        <f>IF(I168="","",I168-J168)</f>
        <v/>
      </c>
      <c r="M168">
        <f>IF(K168="","",K168-B168)</f>
        <v/>
      </c>
    </row>
    <row r="169">
      <c r="A169" t="inlineStr">
        <is>
          <t>S-00105</t>
        </is>
      </c>
      <c r="B169" s="4" t="n">
        <v>46008</v>
      </c>
      <c r="C169" t="inlineStr">
        <is>
          <t>Patna Fashion House</t>
        </is>
      </c>
      <c r="D169" t="inlineStr">
        <is>
          <t>SALES</t>
        </is>
      </c>
      <c r="E169" t="inlineStr">
        <is>
          <t>Fabrics</t>
        </is>
      </c>
      <c r="F169" s="5" t="n">
        <v>51228.79</v>
      </c>
      <c r="G169" t="n">
        <v>5</v>
      </c>
      <c r="H169" s="5" t="n">
        <v>2561.44</v>
      </c>
      <c r="I169" s="5" t="n">
        <v>53790.23</v>
      </c>
      <c r="J169" s="5" t="n">
        <v>0</v>
      </c>
      <c r="K169" s="4" t="inlineStr"/>
      <c r="L169" s="5">
        <f>IF(I169="","",I169-J169)</f>
        <v/>
      </c>
      <c r="M169">
        <f>IF(K169="","",K169-B169)</f>
        <v/>
      </c>
    </row>
    <row r="170">
      <c r="A170" t="inlineStr">
        <is>
          <t>S-00106</t>
        </is>
      </c>
      <c r="B170" s="4" t="n">
        <v>46005</v>
      </c>
      <c r="C170" t="inlineStr">
        <is>
          <t>Patna Fashion House</t>
        </is>
      </c>
      <c r="D170" t="inlineStr">
        <is>
          <t>SALES</t>
        </is>
      </c>
      <c r="E170" t="inlineStr">
        <is>
          <t>Garments</t>
        </is>
      </c>
      <c r="F170" s="5" t="n">
        <v>64547.51</v>
      </c>
      <c r="G170" t="n">
        <v>12</v>
      </c>
      <c r="H170" s="5" t="n">
        <v>7745.7</v>
      </c>
      <c r="I170" s="5" t="n">
        <v>72293.21000000001</v>
      </c>
      <c r="J170" s="5" t="n">
        <v>72293.21000000001</v>
      </c>
      <c r="K170" s="4" t="n">
        <v>46062</v>
      </c>
      <c r="L170" s="5">
        <f>IF(I170="","",I170-J170)</f>
        <v/>
      </c>
      <c r="M170">
        <f>IF(K170="","",K170-B170)</f>
        <v/>
      </c>
    </row>
    <row r="171">
      <c r="A171" t="inlineStr">
        <is>
          <t>S-00107</t>
        </is>
      </c>
      <c r="B171" s="4" t="n">
        <v>46017</v>
      </c>
      <c r="C171" t="inlineStr">
        <is>
          <t>Trendy Threads</t>
        </is>
      </c>
      <c r="D171" t="inlineStr">
        <is>
          <t>SALES</t>
        </is>
      </c>
      <c r="E171" t="inlineStr">
        <is>
          <t>Accessories</t>
        </is>
      </c>
      <c r="F171" s="5" t="n">
        <v>90815.19</v>
      </c>
      <c r="G171" t="n">
        <v>12</v>
      </c>
      <c r="H171" s="5" t="n">
        <v>10897.82</v>
      </c>
      <c r="I171" s="5" t="n">
        <v>101713.01</v>
      </c>
      <c r="J171" s="5" t="n">
        <v>101713.01</v>
      </c>
      <c r="K171" s="4" t="n">
        <v>46048</v>
      </c>
      <c r="L171" s="5">
        <f>IF(I171="","",I171-J171)</f>
        <v/>
      </c>
      <c r="M171">
        <f>IF(K171="","",K171-B171)</f>
        <v/>
      </c>
    </row>
    <row r="172">
      <c r="A172" t="inlineStr">
        <is>
          <t>S-00108</t>
        </is>
      </c>
      <c r="B172" s="4" t="n">
        <v>45996</v>
      </c>
      <c r="C172" t="inlineStr">
        <is>
          <t>New Look Garments</t>
        </is>
      </c>
      <c r="D172" t="inlineStr">
        <is>
          <t>SALES</t>
        </is>
      </c>
      <c r="E172" t="inlineStr">
        <is>
          <t>Fabrics</t>
        </is>
      </c>
      <c r="F172" s="5" t="n">
        <v>88707.57000000001</v>
      </c>
      <c r="G172" t="n">
        <v>5</v>
      </c>
      <c r="H172" s="5" t="n">
        <v>4435.38</v>
      </c>
      <c r="I172" s="5" t="n">
        <v>93142.95</v>
      </c>
      <c r="J172" s="5" t="n">
        <v>0</v>
      </c>
      <c r="K172" s="4" t="inlineStr"/>
      <c r="L172" s="5">
        <f>IF(I172="","",I172-J172)</f>
        <v/>
      </c>
      <c r="M172">
        <f>IF(K172="","",K172-B172)</f>
        <v/>
      </c>
    </row>
    <row r="173">
      <c r="A173" t="inlineStr">
        <is>
          <t>S-00109</t>
        </is>
      </c>
      <c r="B173" s="4" t="n">
        <v>46021</v>
      </c>
      <c r="C173" t="inlineStr">
        <is>
          <t>City Centre Apparel</t>
        </is>
      </c>
      <c r="D173" t="inlineStr">
        <is>
          <t>SALES</t>
        </is>
      </c>
      <c r="E173" t="inlineStr">
        <is>
          <t>Fabrics</t>
        </is>
      </c>
      <c r="F173" s="5" t="n">
        <v>92961.17999999999</v>
      </c>
      <c r="G173" t="n">
        <v>5</v>
      </c>
      <c r="H173" s="5" t="n">
        <v>4648.06</v>
      </c>
      <c r="I173" s="5" t="n">
        <v>97609.24000000001</v>
      </c>
      <c r="J173" s="5" t="n">
        <v>97609.24000000001</v>
      </c>
      <c r="K173" s="4" t="n">
        <v>46064</v>
      </c>
      <c r="L173" s="5">
        <f>IF(I173="","",I173-J173)</f>
        <v/>
      </c>
      <c r="M173">
        <f>IF(K173="","",K173-B173)</f>
        <v/>
      </c>
    </row>
    <row r="174">
      <c r="A174" t="inlineStr">
        <is>
          <t>S-00110</t>
        </is>
      </c>
      <c r="B174" s="4" t="n">
        <v>46013</v>
      </c>
      <c r="C174" t="inlineStr">
        <is>
          <t>Muzaffarpur Cloth House</t>
        </is>
      </c>
      <c r="D174" t="inlineStr">
        <is>
          <t>SALES</t>
        </is>
      </c>
      <c r="E174" t="inlineStr">
        <is>
          <t>Accessories</t>
        </is>
      </c>
      <c r="F174" s="5" t="n">
        <v>47988.62</v>
      </c>
      <c r="G174" t="n">
        <v>12</v>
      </c>
      <c r="H174" s="5" t="n">
        <v>5758.63</v>
      </c>
      <c r="I174" s="5" t="n">
        <v>53747.25</v>
      </c>
      <c r="J174" s="5" t="n">
        <v>53747.25</v>
      </c>
      <c r="K174" s="4" t="n">
        <v>46034</v>
      </c>
      <c r="L174" s="5">
        <f>IF(I174="","",I174-J174)</f>
        <v/>
      </c>
      <c r="M174">
        <f>IF(K174="","",K174-B174)</f>
        <v/>
      </c>
    </row>
    <row r="175">
      <c r="A175" t="inlineStr">
        <is>
          <t>S-00111</t>
        </is>
      </c>
      <c r="B175" s="4" t="n">
        <v>45995</v>
      </c>
      <c r="C175" t="inlineStr">
        <is>
          <t>Lakshmi Cloth Store</t>
        </is>
      </c>
      <c r="D175" t="inlineStr">
        <is>
          <t>SALES</t>
        </is>
      </c>
      <c r="E175" t="inlineStr">
        <is>
          <t>Garments</t>
        </is>
      </c>
      <c r="F175" s="5" t="n">
        <v>67680.96000000001</v>
      </c>
      <c r="G175" t="n">
        <v>12</v>
      </c>
      <c r="H175" s="5" t="n">
        <v>8121.72</v>
      </c>
      <c r="I175" s="5" t="n">
        <v>75802.67999999999</v>
      </c>
      <c r="J175" s="5" t="n">
        <v>75802.67999999999</v>
      </c>
      <c r="K175" s="4" t="n">
        <v>46035</v>
      </c>
      <c r="L175" s="5">
        <f>IF(I175="","",I175-J175)</f>
        <v/>
      </c>
      <c r="M175">
        <f>IF(K175="","",K175-B175)</f>
        <v/>
      </c>
    </row>
    <row r="176">
      <c r="A176" t="inlineStr">
        <is>
          <t>S-00112</t>
        </is>
      </c>
      <c r="B176" s="4" t="n">
        <v>45998</v>
      </c>
      <c r="C176" t="inlineStr">
        <is>
          <t>Purnia Fashion Hub</t>
        </is>
      </c>
      <c r="D176" t="inlineStr">
        <is>
          <t>SALES</t>
        </is>
      </c>
      <c r="E176" t="inlineStr">
        <is>
          <t>Accessories</t>
        </is>
      </c>
      <c r="F176" s="5" t="n">
        <v>55682.9</v>
      </c>
      <c r="G176" t="n">
        <v>12</v>
      </c>
      <c r="H176" s="5" t="n">
        <v>6681.95</v>
      </c>
      <c r="I176" s="5" t="n">
        <v>62364.85</v>
      </c>
      <c r="J176" s="5" t="n">
        <v>0</v>
      </c>
      <c r="K176" s="4" t="inlineStr"/>
      <c r="L176" s="5">
        <f>IF(I176="","",I176-J176)</f>
        <v/>
      </c>
      <c r="M176">
        <f>IF(K176="","",K176-B176)</f>
        <v/>
      </c>
    </row>
    <row r="177">
      <c r="A177" t="inlineStr">
        <is>
          <t>S-00113</t>
        </is>
      </c>
      <c r="B177" s="4" t="n">
        <v>45995</v>
      </c>
      <c r="C177" t="inlineStr">
        <is>
          <t>Darbhanga Dress Point</t>
        </is>
      </c>
      <c r="D177" t="inlineStr">
        <is>
          <t>SALES</t>
        </is>
      </c>
      <c r="E177" t="inlineStr">
        <is>
          <t>Garments</t>
        </is>
      </c>
      <c r="F177" s="5" t="n">
        <v>55931.76</v>
      </c>
      <c r="G177" t="n">
        <v>12</v>
      </c>
      <c r="H177" s="5" t="n">
        <v>6711.81</v>
      </c>
      <c r="I177" s="5" t="n">
        <v>62643.57</v>
      </c>
      <c r="J177" s="5" t="n">
        <v>62643.57</v>
      </c>
      <c r="K177" s="4" t="n">
        <v>46012</v>
      </c>
      <c r="L177" s="5">
        <f>IF(I177="","",I177-J177)</f>
        <v/>
      </c>
      <c r="M177">
        <f>IF(K177="","",K177-B177)</f>
        <v/>
      </c>
    </row>
    <row r="178">
      <c r="A178" t="inlineStr">
        <is>
          <t>P-00034</t>
        </is>
      </c>
      <c r="B178" s="4" t="n">
        <v>45995</v>
      </c>
      <c r="C178" t="inlineStr">
        <is>
          <t>Ludhiana Knitwear Co</t>
        </is>
      </c>
      <c r="D178" t="inlineStr">
        <is>
          <t>PURCHASE</t>
        </is>
      </c>
      <c r="E178" t="inlineStr">
        <is>
          <t>Inventory purchases</t>
        </is>
      </c>
      <c r="F178" s="5" t="n">
        <v>39776.58</v>
      </c>
      <c r="G178" t="n">
        <v>5</v>
      </c>
      <c r="H178" s="5" t="n">
        <v>1988.83</v>
      </c>
      <c r="I178" s="5" t="n">
        <v>41765.41</v>
      </c>
      <c r="J178" s="5" t="n">
        <v>41765.41</v>
      </c>
      <c r="K178" s="4" t="n">
        <v>46014</v>
      </c>
      <c r="L178" s="5">
        <f>IF(I178="","",I178-J178)</f>
        <v/>
      </c>
      <c r="M178">
        <f>IF(K178="","",K178-B178)</f>
        <v/>
      </c>
    </row>
    <row r="179">
      <c r="A179" t="inlineStr">
        <is>
          <t>P-00035</t>
        </is>
      </c>
      <c r="B179" s="4" t="n">
        <v>46016</v>
      </c>
      <c r="C179" t="inlineStr">
        <is>
          <t>Jaipur Print Works</t>
        </is>
      </c>
      <c r="D179" t="inlineStr">
        <is>
          <t>PURCHASE</t>
        </is>
      </c>
      <c r="E179" t="inlineStr">
        <is>
          <t>Inventory purchases</t>
        </is>
      </c>
      <c r="F179" s="5" t="n">
        <v>92566.13</v>
      </c>
      <c r="G179" t="n">
        <v>5</v>
      </c>
      <c r="H179" s="5" t="n">
        <v>4628.31</v>
      </c>
      <c r="I179" s="5" t="n">
        <v>97194.44</v>
      </c>
      <c r="J179" s="5" t="n">
        <v>0</v>
      </c>
      <c r="K179" s="4" t="inlineStr"/>
      <c r="L179" s="5">
        <f>IF(I179="","",I179-J179)</f>
        <v/>
      </c>
      <c r="M179">
        <f>IF(K179="","",K179-B179)</f>
        <v/>
      </c>
    </row>
    <row r="180">
      <c r="A180" t="inlineStr">
        <is>
          <t>P-00036</t>
        </is>
      </c>
      <c r="B180" s="4" t="n">
        <v>46009</v>
      </c>
      <c r="C180" t="inlineStr">
        <is>
          <t>Delhi Fabric Suppliers</t>
        </is>
      </c>
      <c r="D180" t="inlineStr">
        <is>
          <t>PURCHASE</t>
        </is>
      </c>
      <c r="E180" t="inlineStr">
        <is>
          <t>Inventory purchases</t>
        </is>
      </c>
      <c r="F180" s="5" t="n">
        <v>46295.95</v>
      </c>
      <c r="G180" t="n">
        <v>5</v>
      </c>
      <c r="H180" s="5" t="n">
        <v>2314.8</v>
      </c>
      <c r="I180" s="5" t="n">
        <v>48610.75</v>
      </c>
      <c r="J180" s="5" t="n">
        <v>48610.75</v>
      </c>
      <c r="K180" s="4" t="n">
        <v>46024</v>
      </c>
      <c r="L180" s="5">
        <f>IF(I180="","",I180-J180)</f>
        <v/>
      </c>
      <c r="M180">
        <f>IF(K180="","",K180-B180)</f>
        <v/>
      </c>
    </row>
    <row r="181">
      <c r="A181" t="inlineStr">
        <is>
          <t>P-00037</t>
        </is>
      </c>
      <c r="B181" s="4" t="n">
        <v>46010</v>
      </c>
      <c r="C181" t="inlineStr">
        <is>
          <t>Kolkata Hosiery House</t>
        </is>
      </c>
      <c r="D181" t="inlineStr">
        <is>
          <t>PURCHASE</t>
        </is>
      </c>
      <c r="E181" t="inlineStr">
        <is>
          <t>Inventory purchases</t>
        </is>
      </c>
      <c r="F181" s="5" t="n">
        <v>62825.13</v>
      </c>
      <c r="G181" t="n">
        <v>5</v>
      </c>
      <c r="H181" s="5" t="n">
        <v>3141.26</v>
      </c>
      <c r="I181" s="5" t="n">
        <v>65966.39</v>
      </c>
      <c r="J181" s="5" t="n">
        <v>65966.39</v>
      </c>
      <c r="K181" s="4" t="n">
        <v>46022</v>
      </c>
      <c r="L181" s="5">
        <f>IF(I181="","",I181-J181)</f>
        <v/>
      </c>
      <c r="M181">
        <f>IF(K181="","",K181-B181)</f>
        <v/>
      </c>
    </row>
    <row r="182">
      <c r="A182" t="inlineStr">
        <is>
          <t>P-00038</t>
        </is>
      </c>
      <c r="B182" s="4" t="n">
        <v>45995</v>
      </c>
      <c r="C182" t="inlineStr">
        <is>
          <t>Delhi Fabric Suppliers</t>
        </is>
      </c>
      <c r="D182" t="inlineStr">
        <is>
          <t>PURCHASE</t>
        </is>
      </c>
      <c r="E182" t="inlineStr">
        <is>
          <t>Inventory purchases</t>
        </is>
      </c>
      <c r="F182" s="5" t="n">
        <v>63301.76</v>
      </c>
      <c r="G182" t="n">
        <v>5</v>
      </c>
      <c r="H182" s="5" t="n">
        <v>3165.09</v>
      </c>
      <c r="I182" s="5" t="n">
        <v>66466.85000000001</v>
      </c>
      <c r="J182" s="5" t="n">
        <v>66466.85000000001</v>
      </c>
      <c r="K182" s="4" t="n">
        <v>46017</v>
      </c>
      <c r="L182" s="5">
        <f>IF(I182="","",I182-J182)</f>
        <v/>
      </c>
      <c r="M182">
        <f>IF(K182="","",K182-B182)</f>
        <v/>
      </c>
    </row>
    <row r="183">
      <c r="A183" t="inlineStr">
        <is>
          <t>P-00039</t>
        </is>
      </c>
      <c r="B183" s="4" t="n">
        <v>46015</v>
      </c>
      <c r="C183" t="inlineStr">
        <is>
          <t>Delhi Fabric Suppliers</t>
        </is>
      </c>
      <c r="D183" t="inlineStr">
        <is>
          <t>PURCHASE</t>
        </is>
      </c>
      <c r="E183" t="inlineStr">
        <is>
          <t>Inventory purchases</t>
        </is>
      </c>
      <c r="F183" s="5" t="n">
        <v>15461.6</v>
      </c>
      <c r="G183" t="n">
        <v>5</v>
      </c>
      <c r="H183" s="5" t="n">
        <v>773.08</v>
      </c>
      <c r="I183" s="5" t="n">
        <v>16234.68</v>
      </c>
      <c r="J183" s="5" t="n">
        <v>16234.68</v>
      </c>
      <c r="K183" s="4" t="n">
        <v>46028</v>
      </c>
      <c r="L183" s="5">
        <f>IF(I183="","",I183-J183)</f>
        <v/>
      </c>
      <c r="M183">
        <f>IF(K183="","",K183-B183)</f>
        <v/>
      </c>
    </row>
    <row r="184">
      <c r="A184" t="inlineStr">
        <is>
          <t>P-00040</t>
        </is>
      </c>
      <c r="B184" s="4" t="n">
        <v>46018</v>
      </c>
      <c r="C184" t="inlineStr">
        <is>
          <t>Delhi Fabric Suppliers</t>
        </is>
      </c>
      <c r="D184" t="inlineStr">
        <is>
          <t>PURCHASE</t>
        </is>
      </c>
      <c r="E184" t="inlineStr">
        <is>
          <t>Inventory purchases</t>
        </is>
      </c>
      <c r="F184" s="5" t="n">
        <v>15984.41</v>
      </c>
      <c r="G184" t="n">
        <v>5</v>
      </c>
      <c r="H184" s="5" t="n">
        <v>799.22</v>
      </c>
      <c r="I184" s="5" t="n">
        <v>16783.63</v>
      </c>
      <c r="J184" s="5" t="n">
        <v>16783.63</v>
      </c>
      <c r="K184" s="4" t="n">
        <v>46039</v>
      </c>
      <c r="L184" s="5">
        <f>IF(I184="","",I184-J184)</f>
        <v/>
      </c>
      <c r="M184">
        <f>IF(K184="","",K184-B184)</f>
        <v/>
      </c>
    </row>
    <row r="185">
      <c r="A185" t="inlineStr">
        <is>
          <t>P-00041</t>
        </is>
      </c>
      <c r="B185" s="4" t="n">
        <v>46010</v>
      </c>
      <c r="C185" t="inlineStr">
        <is>
          <t>Kolkata Hosiery House</t>
        </is>
      </c>
      <c r="D185" t="inlineStr">
        <is>
          <t>PURCHASE</t>
        </is>
      </c>
      <c r="E185" t="inlineStr">
        <is>
          <t>Inventory purchases</t>
        </is>
      </c>
      <c r="F185" s="5" t="n">
        <v>49120.49</v>
      </c>
      <c r="G185" t="n">
        <v>5</v>
      </c>
      <c r="H185" s="5" t="n">
        <v>2456.02</v>
      </c>
      <c r="I185" s="5" t="n">
        <v>51576.51</v>
      </c>
      <c r="J185" s="5" t="n">
        <v>51576.51</v>
      </c>
      <c r="K185" s="4" t="n">
        <v>46039</v>
      </c>
      <c r="L185" s="5">
        <f>IF(I185="","",I185-J185)</f>
        <v/>
      </c>
      <c r="M185">
        <f>IF(K185="","",K185-B185)</f>
        <v/>
      </c>
    </row>
    <row r="186">
      <c r="A186" t="inlineStr">
        <is>
          <t>P-00042</t>
        </is>
      </c>
      <c r="B186" s="4" t="n">
        <v>45998</v>
      </c>
      <c r="C186" t="inlineStr">
        <is>
          <t>Surat Textile Mills</t>
        </is>
      </c>
      <c r="D186" t="inlineStr">
        <is>
          <t>PURCHASE</t>
        </is>
      </c>
      <c r="E186" t="inlineStr">
        <is>
          <t>Inventory purchases</t>
        </is>
      </c>
      <c r="F186" s="5" t="n">
        <v>77601.53999999999</v>
      </c>
      <c r="G186" t="n">
        <v>5</v>
      </c>
      <c r="H186" s="5" t="n">
        <v>3880.08</v>
      </c>
      <c r="I186" s="5" t="n">
        <v>81481.62</v>
      </c>
      <c r="J186" s="5" t="n">
        <v>0</v>
      </c>
      <c r="K186" s="4" t="inlineStr"/>
      <c r="L186" s="5">
        <f>IF(I186="","",I186-J186)</f>
        <v/>
      </c>
      <c r="M186">
        <f>IF(K186="","",K186-B186)</f>
        <v/>
      </c>
    </row>
    <row r="187">
      <c r="A187" t="inlineStr">
        <is>
          <t>P-00043</t>
        </is>
      </c>
      <c r="B187" s="4" t="n">
        <v>46003</v>
      </c>
      <c r="C187" t="inlineStr">
        <is>
          <t>Tiruppur Garment Works</t>
        </is>
      </c>
      <c r="D187" t="inlineStr">
        <is>
          <t>PURCHASE</t>
        </is>
      </c>
      <c r="E187" t="inlineStr">
        <is>
          <t>Inventory purchases</t>
        </is>
      </c>
      <c r="F187" s="5" t="n">
        <v>112279.19</v>
      </c>
      <c r="G187" t="n">
        <v>5</v>
      </c>
      <c r="H187" s="5" t="n">
        <v>5613.96</v>
      </c>
      <c r="I187" s="5" t="n">
        <v>117893.15</v>
      </c>
      <c r="J187" s="5" t="n">
        <v>117893.15</v>
      </c>
      <c r="K187" s="4" t="n">
        <v>46024</v>
      </c>
      <c r="L187" s="5">
        <f>IF(I187="","",I187-J187)</f>
        <v/>
      </c>
      <c r="M187">
        <f>IF(K187="","",K187-B187)</f>
        <v/>
      </c>
    </row>
    <row r="188">
      <c r="A188" t="inlineStr">
        <is>
          <t>P-00044</t>
        </is>
      </c>
      <c r="B188" s="4" t="n">
        <v>46021</v>
      </c>
      <c r="C188" t="inlineStr">
        <is>
          <t>Delhi Fabric Suppliers</t>
        </is>
      </c>
      <c r="D188" t="inlineStr">
        <is>
          <t>PURCHASE</t>
        </is>
      </c>
      <c r="E188" t="inlineStr">
        <is>
          <t>Inventory purchases</t>
        </is>
      </c>
      <c r="F188" s="5" t="n">
        <v>112663.22</v>
      </c>
      <c r="G188" t="n">
        <v>5</v>
      </c>
      <c r="H188" s="5" t="n">
        <v>5633.16</v>
      </c>
      <c r="I188" s="5" t="n">
        <v>118296.38</v>
      </c>
      <c r="J188" s="5" t="n">
        <v>118296.38</v>
      </c>
      <c r="K188" s="4" t="n">
        <v>46039</v>
      </c>
      <c r="L188" s="5">
        <f>IF(I188="","",I188-J188)</f>
        <v/>
      </c>
      <c r="M188">
        <f>IF(K188="","",K188-B188)</f>
        <v/>
      </c>
    </row>
    <row r="189">
      <c r="A189" t="inlineStr">
        <is>
          <t>P-00045</t>
        </is>
      </c>
      <c r="B189" s="4" t="n">
        <v>46000</v>
      </c>
      <c r="C189" t="inlineStr">
        <is>
          <t>Tiruppur Garment Works</t>
        </is>
      </c>
      <c r="D189" t="inlineStr">
        <is>
          <t>PURCHASE</t>
        </is>
      </c>
      <c r="E189" t="inlineStr">
        <is>
          <t>Inventory purchases</t>
        </is>
      </c>
      <c r="F189" s="5" t="n">
        <v>12620.09</v>
      </c>
      <c r="G189" t="n">
        <v>5</v>
      </c>
      <c r="H189" s="5" t="n">
        <v>631</v>
      </c>
      <c r="I189" s="5" t="n">
        <v>13251.09</v>
      </c>
      <c r="J189" s="5" t="n">
        <v>13251.09</v>
      </c>
      <c r="K189" s="4" t="n">
        <v>46012</v>
      </c>
      <c r="L189" s="5">
        <f>IF(I189="","",I189-J189)</f>
        <v/>
      </c>
      <c r="M189">
        <f>IF(K189="","",K189-B189)</f>
        <v/>
      </c>
    </row>
    <row r="190">
      <c r="A190" t="inlineStr">
        <is>
          <t>P-00046</t>
        </is>
      </c>
      <c r="B190" s="4" t="n">
        <v>46006</v>
      </c>
      <c r="C190" t="inlineStr">
        <is>
          <t>Surat Textile Mills</t>
        </is>
      </c>
      <c r="D190" t="inlineStr">
        <is>
          <t>PURCHASE</t>
        </is>
      </c>
      <c r="E190" t="inlineStr">
        <is>
          <t>Inventory purchases</t>
        </is>
      </c>
      <c r="F190" s="5" t="n">
        <v>62058.3</v>
      </c>
      <c r="G190" t="n">
        <v>5</v>
      </c>
      <c r="H190" s="5" t="n">
        <v>3102.91</v>
      </c>
      <c r="I190" s="5" t="n">
        <v>65161.21</v>
      </c>
      <c r="J190" s="5" t="n">
        <v>65161.21</v>
      </c>
      <c r="K190" s="4" t="n">
        <v>46018</v>
      </c>
      <c r="L190" s="5">
        <f>IF(I190="","",I190-J190)</f>
        <v/>
      </c>
      <c r="M190">
        <f>IF(K190="","",K190-B190)</f>
        <v/>
      </c>
    </row>
    <row r="191">
      <c r="A191" t="inlineStr">
        <is>
          <t>P-00047</t>
        </is>
      </c>
      <c r="B191" s="4" t="n">
        <v>45992</v>
      </c>
      <c r="C191" t="inlineStr">
        <is>
          <t>Kolkata Hosiery House</t>
        </is>
      </c>
      <c r="D191" t="inlineStr">
        <is>
          <t>PURCHASE</t>
        </is>
      </c>
      <c r="E191" t="inlineStr">
        <is>
          <t>Inventory purchases</t>
        </is>
      </c>
      <c r="F191" s="5" t="n">
        <v>59317.55</v>
      </c>
      <c r="G191" t="n">
        <v>5</v>
      </c>
      <c r="H191" s="5" t="n">
        <v>2965.88</v>
      </c>
      <c r="I191" s="5" t="n">
        <v>62283.43</v>
      </c>
      <c r="J191" s="5" t="n">
        <v>62283.43</v>
      </c>
      <c r="K191" s="4" t="n">
        <v>46012</v>
      </c>
      <c r="L191" s="5">
        <f>IF(I191="","",I191-J191)</f>
        <v/>
      </c>
      <c r="M191">
        <f>IF(K191="","",K191-B191)</f>
        <v/>
      </c>
    </row>
    <row r="192">
      <c r="A192" t="inlineStr">
        <is>
          <t>P-00048</t>
        </is>
      </c>
      <c r="B192" s="4" t="n">
        <v>46022</v>
      </c>
      <c r="C192" t="inlineStr">
        <is>
          <t>Surat Textile Mills</t>
        </is>
      </c>
      <c r="D192" t="inlineStr">
        <is>
          <t>PURCHASE</t>
        </is>
      </c>
      <c r="E192" t="inlineStr">
        <is>
          <t>Inventory purchases</t>
        </is>
      </c>
      <c r="F192" s="5" t="n">
        <v>119369.4</v>
      </c>
      <c r="G192" t="n">
        <v>5</v>
      </c>
      <c r="H192" s="5" t="n">
        <v>5968.47</v>
      </c>
      <c r="I192" s="5" t="n">
        <v>125337.87</v>
      </c>
      <c r="J192" s="5" t="n">
        <v>125337.87</v>
      </c>
      <c r="K192" s="4" t="n">
        <v>46043</v>
      </c>
      <c r="L192" s="5">
        <f>IF(I192="","",I192-J192)</f>
        <v/>
      </c>
      <c r="M192">
        <f>IF(K192="","",K192-B192)</f>
        <v/>
      </c>
    </row>
    <row r="193">
      <c r="A193" t="inlineStr">
        <is>
          <t>P-00049</t>
        </is>
      </c>
      <c r="B193" s="4" t="n">
        <v>46008</v>
      </c>
      <c r="C193" t="inlineStr">
        <is>
          <t>Ludhiana Knitwear Co</t>
        </is>
      </c>
      <c r="D193" t="inlineStr">
        <is>
          <t>PURCHASE</t>
        </is>
      </c>
      <c r="E193" t="inlineStr">
        <is>
          <t>Inventory purchases</t>
        </is>
      </c>
      <c r="F193" s="5" t="n">
        <v>30022.72</v>
      </c>
      <c r="G193" t="n">
        <v>5</v>
      </c>
      <c r="H193" s="5" t="n">
        <v>1501.14</v>
      </c>
      <c r="I193" s="5" t="n">
        <v>31523.86</v>
      </c>
      <c r="J193" s="5" t="n">
        <v>31523.86</v>
      </c>
      <c r="K193" s="4" t="n">
        <v>46032</v>
      </c>
      <c r="L193" s="5">
        <f>IF(I193="","",I193-J193)</f>
        <v/>
      </c>
      <c r="M193">
        <f>IF(K193="","",K193-B193)</f>
        <v/>
      </c>
    </row>
    <row r="194">
      <c r="A194" t="inlineStr">
        <is>
          <t>P-00050</t>
        </is>
      </c>
      <c r="B194" s="4" t="n">
        <v>46012</v>
      </c>
      <c r="C194" t="inlineStr">
        <is>
          <t>Kolkata Hosiery House</t>
        </is>
      </c>
      <c r="D194" t="inlineStr">
        <is>
          <t>PURCHASE</t>
        </is>
      </c>
      <c r="E194" t="inlineStr">
        <is>
          <t>Inventory purchases</t>
        </is>
      </c>
      <c r="F194" s="5" t="n">
        <v>89298.25999999999</v>
      </c>
      <c r="G194" t="n">
        <v>5</v>
      </c>
      <c r="H194" s="5" t="n">
        <v>4464.91</v>
      </c>
      <c r="I194" s="5" t="n">
        <v>93763.17</v>
      </c>
      <c r="J194" s="5" t="n">
        <v>0</v>
      </c>
      <c r="K194" s="4" t="inlineStr"/>
      <c r="L194" s="5">
        <f>IF(I194="","",I194-J194)</f>
        <v/>
      </c>
      <c r="M194">
        <f>IF(K194="","",K194-B194)</f>
        <v/>
      </c>
    </row>
    <row r="195">
      <c r="A195" t="inlineStr">
        <is>
          <t>E-00031</t>
        </is>
      </c>
      <c r="B195" s="4" t="n">
        <v>46020</v>
      </c>
      <c r="C195" t="inlineStr">
        <is>
          <t>Various</t>
        </is>
      </c>
      <c r="D195" t="inlineStr">
        <is>
          <t>EXPENSE</t>
        </is>
      </c>
      <c r="E195" t="inlineStr">
        <is>
          <t>Rent</t>
        </is>
      </c>
      <c r="F195" s="5" t="n">
        <v>25322.92</v>
      </c>
      <c r="G195" t="n">
        <v>18</v>
      </c>
      <c r="H195" s="5" t="n">
        <v>4558.13</v>
      </c>
      <c r="I195" s="5" t="n">
        <v>29881.05</v>
      </c>
      <c r="J195" s="5" t="n">
        <v>29881.05</v>
      </c>
      <c r="K195" s="4" t="n">
        <v>46021</v>
      </c>
      <c r="L195" s="5">
        <f>IF(I195="","",I195-J195)</f>
        <v/>
      </c>
      <c r="M195">
        <f>IF(K195="","",K195-B195)</f>
        <v/>
      </c>
    </row>
    <row r="196">
      <c r="A196" t="inlineStr">
        <is>
          <t>E-00032</t>
        </is>
      </c>
      <c r="B196" s="4" t="n">
        <v>46016</v>
      </c>
      <c r="C196" t="inlineStr">
        <is>
          <t>Various</t>
        </is>
      </c>
      <c r="D196" t="inlineStr">
        <is>
          <t>EXPENSE</t>
        </is>
      </c>
      <c r="E196" t="inlineStr">
        <is>
          <t>Salaries</t>
        </is>
      </c>
      <c r="F196" s="5" t="n">
        <v>83427.7</v>
      </c>
      <c r="G196" t="n">
        <v>0</v>
      </c>
      <c r="H196" s="5" t="n">
        <v>0</v>
      </c>
      <c r="I196" s="5" t="n">
        <v>83427.7</v>
      </c>
      <c r="J196" s="5" t="n">
        <v>83427.7</v>
      </c>
      <c r="K196" s="4" t="n">
        <v>46019</v>
      </c>
      <c r="L196" s="5">
        <f>IF(I196="","",I196-J196)</f>
        <v/>
      </c>
      <c r="M196">
        <f>IF(K196="","",K196-B196)</f>
        <v/>
      </c>
    </row>
    <row r="197">
      <c r="A197" t="inlineStr">
        <is>
          <t>E-00033</t>
        </is>
      </c>
      <c r="B197" s="4" t="n">
        <v>46008</v>
      </c>
      <c r="C197" t="inlineStr">
        <is>
          <t>Various</t>
        </is>
      </c>
      <c r="D197" t="inlineStr">
        <is>
          <t>EXPENSE</t>
        </is>
      </c>
      <c r="E197" t="inlineStr">
        <is>
          <t>Utilities</t>
        </is>
      </c>
      <c r="F197" s="5" t="n">
        <v>6600.85</v>
      </c>
      <c r="G197" t="n">
        <v>18</v>
      </c>
      <c r="H197" s="5" t="n">
        <v>1188.15</v>
      </c>
      <c r="I197" s="5" t="n">
        <v>7789</v>
      </c>
      <c r="J197" s="5" t="n">
        <v>7789</v>
      </c>
      <c r="K197" s="4" t="n">
        <v>46011</v>
      </c>
      <c r="L197" s="5">
        <f>IF(I197="","",I197-J197)</f>
        <v/>
      </c>
      <c r="M197">
        <f>IF(K197="","",K197-B197)</f>
        <v/>
      </c>
    </row>
    <row r="198">
      <c r="A198" t="inlineStr">
        <is>
          <t>E-00034</t>
        </is>
      </c>
      <c r="B198" s="4" t="n">
        <v>45997</v>
      </c>
      <c r="C198" t="inlineStr">
        <is>
          <t>Various</t>
        </is>
      </c>
      <c r="D198" t="inlineStr">
        <is>
          <t>EXPENSE</t>
        </is>
      </c>
      <c r="E198" t="inlineStr">
        <is>
          <t>Transport</t>
        </is>
      </c>
      <c r="F198" s="5" t="n">
        <v>4507.99</v>
      </c>
      <c r="G198" t="n">
        <v>5</v>
      </c>
      <c r="H198" s="5" t="n">
        <v>225.4</v>
      </c>
      <c r="I198" s="5" t="n">
        <v>4733.39</v>
      </c>
      <c r="J198" s="5" t="n">
        <v>4733.39</v>
      </c>
      <c r="K198" s="4" t="n">
        <v>46002</v>
      </c>
      <c r="L198" s="5">
        <f>IF(I198="","",I198-J198)</f>
        <v/>
      </c>
      <c r="M198">
        <f>IF(K198="","",K198-B198)</f>
        <v/>
      </c>
    </row>
    <row r="199">
      <c r="A199" t="inlineStr">
        <is>
          <t>E-00035</t>
        </is>
      </c>
      <c r="B199" s="4" t="n">
        <v>46018</v>
      </c>
      <c r="C199" t="inlineStr">
        <is>
          <t>Various</t>
        </is>
      </c>
      <c r="D199" t="inlineStr">
        <is>
          <t>EXPENSE</t>
        </is>
      </c>
      <c r="E199" t="inlineStr">
        <is>
          <t>Transport</t>
        </is>
      </c>
      <c r="F199" s="5" t="n">
        <v>5307.95</v>
      </c>
      <c r="G199" t="n">
        <v>5</v>
      </c>
      <c r="H199" s="5" t="n">
        <v>265.4</v>
      </c>
      <c r="I199" s="5" t="n">
        <v>5573.35</v>
      </c>
      <c r="J199" s="5" t="n">
        <v>5573.35</v>
      </c>
      <c r="K199" s="4" t="n">
        <v>46023</v>
      </c>
      <c r="L199" s="5">
        <f>IF(I199="","",I199-J199)</f>
        <v/>
      </c>
      <c r="M199">
        <f>IF(K199="","",K199-B199)</f>
        <v/>
      </c>
    </row>
    <row r="200">
      <c r="A200" t="inlineStr">
        <is>
          <t>E-00036</t>
        </is>
      </c>
      <c r="B200" s="4" t="n">
        <v>46007</v>
      </c>
      <c r="C200" t="inlineStr">
        <is>
          <t>Various</t>
        </is>
      </c>
      <c r="D200" t="inlineStr">
        <is>
          <t>EXPENSE</t>
        </is>
      </c>
      <c r="E200" t="inlineStr">
        <is>
          <t>Transport</t>
        </is>
      </c>
      <c r="F200" s="5" t="n">
        <v>6912.06</v>
      </c>
      <c r="G200" t="n">
        <v>5</v>
      </c>
      <c r="H200" s="5" t="n">
        <v>345.6</v>
      </c>
      <c r="I200" s="5" t="n">
        <v>7257.66</v>
      </c>
      <c r="J200" s="5" t="n">
        <v>7257.66</v>
      </c>
      <c r="K200" s="4" t="n">
        <v>46009</v>
      </c>
      <c r="L200" s="5">
        <f>IF(I200="","",I200-J200)</f>
        <v/>
      </c>
      <c r="M200">
        <f>IF(K200="","",K200-B200)</f>
        <v/>
      </c>
    </row>
    <row r="201">
      <c r="A201" t="inlineStr">
        <is>
          <t>E-00037</t>
        </is>
      </c>
      <c r="B201" s="4" t="n">
        <v>46017</v>
      </c>
      <c r="C201" t="inlineStr">
        <is>
          <t>Various</t>
        </is>
      </c>
      <c r="D201" t="inlineStr">
        <is>
          <t>EXPENSE</t>
        </is>
      </c>
      <c r="E201" t="inlineStr">
        <is>
          <t>Transport</t>
        </is>
      </c>
      <c r="F201" s="5" t="n">
        <v>5543.32</v>
      </c>
      <c r="G201" t="n">
        <v>5</v>
      </c>
      <c r="H201" s="5" t="n">
        <v>277.17</v>
      </c>
      <c r="I201" s="5" t="n">
        <v>5820.49</v>
      </c>
      <c r="J201" s="5" t="n">
        <v>5820.49</v>
      </c>
      <c r="K201" s="4" t="n">
        <v>46020</v>
      </c>
      <c r="L201" s="5">
        <f>IF(I201="","",I201-J201)</f>
        <v/>
      </c>
      <c r="M201">
        <f>IF(K201="","",K201-B201)</f>
        <v/>
      </c>
    </row>
    <row r="202">
      <c r="A202" t="inlineStr">
        <is>
          <t>E-00038</t>
        </is>
      </c>
      <c r="B202" s="4" t="n">
        <v>46003</v>
      </c>
      <c r="C202" t="inlineStr">
        <is>
          <t>Various</t>
        </is>
      </c>
      <c r="D202" t="inlineStr">
        <is>
          <t>EXPENSE</t>
        </is>
      </c>
      <c r="E202" t="inlineStr">
        <is>
          <t>Transport</t>
        </is>
      </c>
      <c r="F202" s="5" t="n">
        <v>4397.07</v>
      </c>
      <c r="G202" t="n">
        <v>5</v>
      </c>
      <c r="H202" s="5" t="n">
        <v>219.85</v>
      </c>
      <c r="I202" s="5" t="n">
        <v>4616.92</v>
      </c>
      <c r="J202" s="5" t="n">
        <v>4616.92</v>
      </c>
      <c r="K202" s="4" t="n">
        <v>46008</v>
      </c>
      <c r="L202" s="5">
        <f>IF(I202="","",I202-J202)</f>
        <v/>
      </c>
      <c r="M202">
        <f>IF(K202="","",K202-B202)</f>
        <v/>
      </c>
    </row>
    <row r="203">
      <c r="A203" t="inlineStr">
        <is>
          <t>E-00039</t>
        </is>
      </c>
      <c r="B203" s="4" t="n">
        <v>46002</v>
      </c>
      <c r="C203" t="inlineStr">
        <is>
          <t>Various</t>
        </is>
      </c>
      <c r="D203" t="inlineStr">
        <is>
          <t>EXPENSE</t>
        </is>
      </c>
      <c r="E203" t="inlineStr">
        <is>
          <t>Transport</t>
        </is>
      </c>
      <c r="F203" s="5" t="n">
        <v>5149.72</v>
      </c>
      <c r="G203" t="n">
        <v>5</v>
      </c>
      <c r="H203" s="5" t="n">
        <v>257.49</v>
      </c>
      <c r="I203" s="5" t="n">
        <v>5407.21</v>
      </c>
      <c r="J203" s="5" t="n">
        <v>5407.21</v>
      </c>
      <c r="K203" s="4" t="n">
        <v>46006</v>
      </c>
      <c r="L203" s="5">
        <f>IF(I203="","",I203-J203)</f>
        <v/>
      </c>
      <c r="M203">
        <f>IF(K203="","",K203-B203)</f>
        <v/>
      </c>
    </row>
    <row r="204">
      <c r="A204" t="inlineStr">
        <is>
          <t>E-00040</t>
        </is>
      </c>
      <c r="B204" s="4" t="n">
        <v>46015</v>
      </c>
      <c r="C204" t="inlineStr">
        <is>
          <t>Various</t>
        </is>
      </c>
      <c r="D204" t="inlineStr">
        <is>
          <t>EXPENSE</t>
        </is>
      </c>
      <c r="E204" t="inlineStr">
        <is>
          <t>Marketing</t>
        </is>
      </c>
      <c r="F204" s="5" t="n">
        <v>6372.57</v>
      </c>
      <c r="G204" t="n">
        <v>18</v>
      </c>
      <c r="H204" s="5" t="n">
        <v>1147.06</v>
      </c>
      <c r="I204" s="5" t="n">
        <v>7519.63</v>
      </c>
      <c r="J204" s="5" t="n">
        <v>7519.63</v>
      </c>
      <c r="K204" s="4" t="n">
        <v>46020</v>
      </c>
      <c r="L204" s="5">
        <f>IF(I204="","",I204-J204)</f>
        <v/>
      </c>
      <c r="M204">
        <f>IF(K204="","",K204-B204)</f>
        <v/>
      </c>
    </row>
    <row r="205">
      <c r="A205" t="inlineStr">
        <is>
          <t>E-00041</t>
        </is>
      </c>
      <c r="B205" s="4" t="n">
        <v>45996</v>
      </c>
      <c r="C205" t="inlineStr">
        <is>
          <t>Various</t>
        </is>
      </c>
      <c r="D205" t="inlineStr">
        <is>
          <t>EXPENSE</t>
        </is>
      </c>
      <c r="E205" t="inlineStr">
        <is>
          <t>Marketing</t>
        </is>
      </c>
      <c r="F205" s="5" t="n">
        <v>10035.74</v>
      </c>
      <c r="G205" t="n">
        <v>18</v>
      </c>
      <c r="H205" s="5" t="n">
        <v>1806.43</v>
      </c>
      <c r="I205" s="5" t="n">
        <v>11842.17</v>
      </c>
      <c r="J205" s="5" t="n">
        <v>11842.17</v>
      </c>
      <c r="K205" s="4" t="n">
        <v>46000</v>
      </c>
      <c r="L205" s="5">
        <f>IF(I205="","",I205-J205)</f>
        <v/>
      </c>
      <c r="M205">
        <f>IF(K205="","",K205-B205)</f>
        <v/>
      </c>
    </row>
    <row r="206">
      <c r="A206" t="inlineStr">
        <is>
          <t>E-00042</t>
        </is>
      </c>
      <c r="B206" s="4" t="n">
        <v>46013</v>
      </c>
      <c r="C206" t="inlineStr">
        <is>
          <t>Various</t>
        </is>
      </c>
      <c r="D206" t="inlineStr">
        <is>
          <t>EXPENSE</t>
        </is>
      </c>
      <c r="E206" t="inlineStr">
        <is>
          <t>Professional fees</t>
        </is>
      </c>
      <c r="F206" s="5" t="n">
        <v>14189.25</v>
      </c>
      <c r="G206" t="n">
        <v>18</v>
      </c>
      <c r="H206" s="5" t="n">
        <v>2554.07</v>
      </c>
      <c r="I206" s="5" t="n">
        <v>16743.32</v>
      </c>
      <c r="J206" s="5" t="n">
        <v>16743.32</v>
      </c>
      <c r="K206" s="4" t="n">
        <v>46014</v>
      </c>
      <c r="L206" s="5">
        <f>IF(I206="","",I206-J206)</f>
        <v/>
      </c>
      <c r="M206">
        <f>IF(K206="","",K206-B206)</f>
        <v/>
      </c>
    </row>
    <row r="207">
      <c r="A207" t="inlineStr">
        <is>
          <t>E-00043</t>
        </is>
      </c>
      <c r="B207" s="4" t="n">
        <v>45993</v>
      </c>
      <c r="C207" t="inlineStr">
        <is>
          <t>Various</t>
        </is>
      </c>
      <c r="D207" t="inlineStr">
        <is>
          <t>EXPENSE</t>
        </is>
      </c>
      <c r="E207" t="inlineStr">
        <is>
          <t>Misc</t>
        </is>
      </c>
      <c r="F207" s="5" t="n">
        <v>5370.66</v>
      </c>
      <c r="G207" t="n">
        <v>18</v>
      </c>
      <c r="H207" s="5" t="n">
        <v>966.72</v>
      </c>
      <c r="I207" s="5" t="n">
        <v>6337.38</v>
      </c>
      <c r="J207" s="5" t="n">
        <v>0</v>
      </c>
      <c r="K207" s="4" t="inlineStr"/>
      <c r="L207" s="5">
        <f>IF(I207="","",I207-J207)</f>
        <v/>
      </c>
      <c r="M207">
        <f>IF(K207="","",K207-B207)</f>
        <v/>
      </c>
    </row>
    <row r="208">
      <c r="A208" t="inlineStr">
        <is>
          <t>E-00044</t>
        </is>
      </c>
      <c r="B208" s="4" t="n">
        <v>46021</v>
      </c>
      <c r="C208" t="inlineStr">
        <is>
          <t>Various</t>
        </is>
      </c>
      <c r="D208" t="inlineStr">
        <is>
          <t>EXPENSE</t>
        </is>
      </c>
      <c r="E208" t="inlineStr">
        <is>
          <t>Misc</t>
        </is>
      </c>
      <c r="F208" s="5" t="n">
        <v>4197.06</v>
      </c>
      <c r="G208" t="n">
        <v>18</v>
      </c>
      <c r="H208" s="5" t="n">
        <v>755.47</v>
      </c>
      <c r="I208" s="5" t="n">
        <v>4952.53</v>
      </c>
      <c r="J208" s="5" t="n">
        <v>4952.53</v>
      </c>
      <c r="K208" s="4" t="n">
        <v>46025</v>
      </c>
      <c r="L208" s="5">
        <f>IF(I208="","",I208-J208)</f>
        <v/>
      </c>
      <c r="M208">
        <f>IF(K208="","",K208-B208)</f>
        <v/>
      </c>
    </row>
    <row r="209">
      <c r="A209" t="inlineStr">
        <is>
          <t>E-00045</t>
        </is>
      </c>
      <c r="B209" s="4" t="n">
        <v>46002</v>
      </c>
      <c r="C209" t="inlineStr">
        <is>
          <t>Various</t>
        </is>
      </c>
      <c r="D209" t="inlineStr">
        <is>
          <t>EXPENSE</t>
        </is>
      </c>
      <c r="E209" t="inlineStr">
        <is>
          <t>Misc</t>
        </is>
      </c>
      <c r="F209" s="5" t="n">
        <v>1580.64</v>
      </c>
      <c r="G209" t="n">
        <v>18</v>
      </c>
      <c r="H209" s="5" t="n">
        <v>284.52</v>
      </c>
      <c r="I209" s="5" t="n">
        <v>1865.16</v>
      </c>
      <c r="J209" s="5" t="n">
        <v>1865.16</v>
      </c>
      <c r="K209" s="4" t="n">
        <v>46006</v>
      </c>
      <c r="L209" s="5">
        <f>IF(I209="","",I209-J209)</f>
        <v/>
      </c>
      <c r="M209">
        <f>IF(K209="","",K209-B209)</f>
        <v/>
      </c>
    </row>
    <row r="210">
      <c r="A210" t="inlineStr">
        <is>
          <t>S-00114</t>
        </is>
      </c>
      <c r="B210" s="4" t="n">
        <v>46049</v>
      </c>
      <c r="C210" t="inlineStr">
        <is>
          <t>Vishal Mega Mart (franchise)</t>
        </is>
      </c>
      <c r="D210" t="inlineStr">
        <is>
          <t>SALES</t>
        </is>
      </c>
      <c r="E210" t="inlineStr">
        <is>
          <t>Garments</t>
        </is>
      </c>
      <c r="F210" s="5" t="n">
        <v>32385.83</v>
      </c>
      <c r="G210" t="n">
        <v>12</v>
      </c>
      <c r="H210" s="5" t="n">
        <v>3886.3</v>
      </c>
      <c r="I210" s="5" t="n">
        <v>36272.13</v>
      </c>
      <c r="J210" s="5" t="n">
        <v>36272.13</v>
      </c>
      <c r="K210" s="4" t="n">
        <v>46067</v>
      </c>
      <c r="L210" s="5">
        <f>IF(I210="","",I210-J210)</f>
        <v/>
      </c>
      <c r="M210">
        <f>IF(K210="","",K210-B210)</f>
        <v/>
      </c>
    </row>
    <row r="211">
      <c r="A211" t="inlineStr">
        <is>
          <t>S-00115</t>
        </is>
      </c>
      <c r="B211" s="4" t="n">
        <v>46034</v>
      </c>
      <c r="C211" t="inlineStr">
        <is>
          <t>Trendy Threads</t>
        </is>
      </c>
      <c r="D211" t="inlineStr">
        <is>
          <t>SALES</t>
        </is>
      </c>
      <c r="E211" t="inlineStr">
        <is>
          <t>Garments</t>
        </is>
      </c>
      <c r="F211" s="5" t="n">
        <v>13250.65</v>
      </c>
      <c r="G211" t="n">
        <v>12</v>
      </c>
      <c r="H211" s="5" t="n">
        <v>1590.08</v>
      </c>
      <c r="I211" s="5" t="n">
        <v>14840.73</v>
      </c>
      <c r="J211" s="5" t="n">
        <v>8630.690000000001</v>
      </c>
      <c r="K211" s="4" t="n">
        <v>46068</v>
      </c>
      <c r="L211" s="5">
        <f>IF(I211="","",I211-J211)</f>
        <v/>
      </c>
      <c r="M211">
        <f>IF(K211="","",K211-B211)</f>
        <v/>
      </c>
    </row>
    <row r="212">
      <c r="A212" t="inlineStr">
        <is>
          <t>S-00116</t>
        </is>
      </c>
      <c r="B212" s="4" t="n">
        <v>46024</v>
      </c>
      <c r="C212" t="inlineStr">
        <is>
          <t>Muzaffarpur Cloth House</t>
        </is>
      </c>
      <c r="D212" t="inlineStr">
        <is>
          <t>SALES</t>
        </is>
      </c>
      <c r="E212" t="inlineStr">
        <is>
          <t>Accessories</t>
        </is>
      </c>
      <c r="F212" s="5" t="n">
        <v>75444.19</v>
      </c>
      <c r="G212" t="n">
        <v>12</v>
      </c>
      <c r="H212" s="5" t="n">
        <v>9053.299999999999</v>
      </c>
      <c r="I212" s="5" t="n">
        <v>84497.49000000001</v>
      </c>
      <c r="J212" s="5" t="n">
        <v>84497.49000000001</v>
      </c>
      <c r="K212" s="4" t="n">
        <v>46049</v>
      </c>
      <c r="L212" s="5">
        <f>IF(I212="","",I212-J212)</f>
        <v/>
      </c>
      <c r="M212">
        <f>IF(K212="","",K212-B212)</f>
        <v/>
      </c>
    </row>
    <row r="213">
      <c r="A213" t="inlineStr">
        <is>
          <t>S-00117</t>
        </is>
      </c>
      <c r="B213" s="4" t="n">
        <v>46032</v>
      </c>
      <c r="C213" t="inlineStr">
        <is>
          <t>Trendy Threads</t>
        </is>
      </c>
      <c r="D213" t="inlineStr">
        <is>
          <t>SALES</t>
        </is>
      </c>
      <c r="E213" t="inlineStr">
        <is>
          <t>Garments</t>
        </is>
      </c>
      <c r="F213" s="5" t="n">
        <v>47750.58</v>
      </c>
      <c r="G213" t="n">
        <v>12</v>
      </c>
      <c r="H213" s="5" t="n">
        <v>5730.07</v>
      </c>
      <c r="I213" s="5" t="n">
        <v>53480.65</v>
      </c>
      <c r="J213" s="5" t="n">
        <v>0</v>
      </c>
      <c r="K213" s="4" t="inlineStr"/>
      <c r="L213" s="5">
        <f>IF(I213="","",I213-J213)</f>
        <v/>
      </c>
      <c r="M213">
        <f>IF(K213="","",K213-B213)</f>
        <v/>
      </c>
    </row>
    <row r="214">
      <c r="A214" t="inlineStr">
        <is>
          <t>S-00118</t>
        </is>
      </c>
      <c r="B214" s="4" t="n">
        <v>46026</v>
      </c>
      <c r="C214" t="inlineStr">
        <is>
          <t>Muzaffarpur Cloth House</t>
        </is>
      </c>
      <c r="D214" t="inlineStr">
        <is>
          <t>SALES</t>
        </is>
      </c>
      <c r="E214" t="inlineStr">
        <is>
          <t>Fabrics</t>
        </is>
      </c>
      <c r="F214" s="5" t="n">
        <v>8709.76</v>
      </c>
      <c r="G214" t="n">
        <v>5</v>
      </c>
      <c r="H214" s="5" t="n">
        <v>435.49</v>
      </c>
      <c r="I214" s="5" t="n">
        <v>9145.25</v>
      </c>
      <c r="J214" s="5" t="n">
        <v>9145.25</v>
      </c>
      <c r="K214" s="4" t="n">
        <v>46053</v>
      </c>
      <c r="L214" s="5">
        <f>IF(I214="","",I214-J214)</f>
        <v/>
      </c>
      <c r="M214">
        <f>IF(K214="","",K214-B214)</f>
        <v/>
      </c>
    </row>
    <row r="215">
      <c r="A215" t="inlineStr">
        <is>
          <t>S-00119</t>
        </is>
      </c>
      <c r="B215" s="4" t="n">
        <v>46043</v>
      </c>
      <c r="C215" t="inlineStr">
        <is>
          <t>Purnia Fashion Hub</t>
        </is>
      </c>
      <c r="D215" t="inlineStr">
        <is>
          <t>SALES</t>
        </is>
      </c>
      <c r="E215" t="inlineStr">
        <is>
          <t>Fabrics</t>
        </is>
      </c>
      <c r="F215" s="5" t="n">
        <v>68135.06</v>
      </c>
      <c r="G215" t="n">
        <v>5</v>
      </c>
      <c r="H215" s="5" t="n">
        <v>3406.75</v>
      </c>
      <c r="I215" s="5" t="n">
        <v>71541.81</v>
      </c>
      <c r="J215" s="5" t="n">
        <v>71541.81</v>
      </c>
      <c r="K215" s="4" t="n">
        <v>46091</v>
      </c>
      <c r="L215" s="5">
        <f>IF(I215="","",I215-J215)</f>
        <v/>
      </c>
      <c r="M215">
        <f>IF(K215="","",K215-B215)</f>
        <v/>
      </c>
    </row>
    <row r="216">
      <c r="A216" t="inlineStr">
        <is>
          <t>S-00120</t>
        </is>
      </c>
      <c r="B216" s="4" t="n">
        <v>46039</v>
      </c>
      <c r="C216" t="inlineStr">
        <is>
          <t>Darbhanga Dress Point</t>
        </is>
      </c>
      <c r="D216" t="inlineStr">
        <is>
          <t>SALES</t>
        </is>
      </c>
      <c r="E216" t="inlineStr">
        <is>
          <t>Garments</t>
        </is>
      </c>
      <c r="F216" s="5" t="n">
        <v>33723.36</v>
      </c>
      <c r="G216" t="n">
        <v>12</v>
      </c>
      <c r="H216" s="5" t="n">
        <v>4046.8</v>
      </c>
      <c r="I216" s="5" t="n">
        <v>37770.16</v>
      </c>
      <c r="J216" s="5" t="n">
        <v>37770.16</v>
      </c>
      <c r="K216" s="4" t="n">
        <v>46068</v>
      </c>
      <c r="L216" s="5">
        <f>IF(I216="","",I216-J216)</f>
        <v/>
      </c>
      <c r="M216">
        <f>IF(K216="","",K216-B216)</f>
        <v/>
      </c>
    </row>
    <row r="217">
      <c r="A217" t="inlineStr">
        <is>
          <t>S-00121</t>
        </is>
      </c>
      <c r="B217" s="4" t="n">
        <v>46050</v>
      </c>
      <c r="C217" t="inlineStr">
        <is>
          <t>Arrah Garment Plaza</t>
        </is>
      </c>
      <c r="D217" t="inlineStr">
        <is>
          <t>SALES</t>
        </is>
      </c>
      <c r="E217" t="inlineStr">
        <is>
          <t>Fabrics</t>
        </is>
      </c>
      <c r="F217" s="5" t="n">
        <v>76405.17999999999</v>
      </c>
      <c r="G217" t="n">
        <v>5</v>
      </c>
      <c r="H217" s="5" t="n">
        <v>3820.26</v>
      </c>
      <c r="I217" s="5" t="n">
        <v>80225.44</v>
      </c>
      <c r="J217" s="5" t="n">
        <v>0</v>
      </c>
      <c r="K217" s="4" t="inlineStr"/>
      <c r="L217" s="5">
        <f>IF(I217="","",I217-J217)</f>
        <v/>
      </c>
      <c r="M217">
        <f>IF(K217="","",K217-B217)</f>
        <v/>
      </c>
    </row>
    <row r="218">
      <c r="A218" t="inlineStr">
        <is>
          <t>S-00122</t>
        </is>
      </c>
      <c r="B218" s="4" t="n">
        <v>46044</v>
      </c>
      <c r="C218" t="inlineStr">
        <is>
          <t>Bhagalpur Silk Centre</t>
        </is>
      </c>
      <c r="D218" t="inlineStr">
        <is>
          <t>SALES</t>
        </is>
      </c>
      <c r="E218" t="inlineStr">
        <is>
          <t>Garments</t>
        </is>
      </c>
      <c r="F218" s="5" t="n">
        <v>79740.47</v>
      </c>
      <c r="G218" t="n">
        <v>12</v>
      </c>
      <c r="H218" s="5" t="n">
        <v>9568.860000000001</v>
      </c>
      <c r="I218" s="5" t="n">
        <v>89309.33</v>
      </c>
      <c r="J218" s="5" t="n">
        <v>89309.33</v>
      </c>
      <c r="K218" s="4" t="n">
        <v>46087</v>
      </c>
      <c r="L218" s="5">
        <f>IF(I218="","",I218-J218)</f>
        <v/>
      </c>
      <c r="M218">
        <f>IF(K218="","",K218-B218)</f>
        <v/>
      </c>
    </row>
    <row r="219">
      <c r="A219" t="inlineStr">
        <is>
          <t>S-00123</t>
        </is>
      </c>
      <c r="B219" s="4" t="n">
        <v>46053</v>
      </c>
      <c r="C219" t="inlineStr">
        <is>
          <t>Vishal Mega Mart (franchise)</t>
        </is>
      </c>
      <c r="D219" t="inlineStr">
        <is>
          <t>SALES</t>
        </is>
      </c>
      <c r="E219" t="inlineStr">
        <is>
          <t>Accessories</t>
        </is>
      </c>
      <c r="F219" s="5" t="n">
        <v>64900.34</v>
      </c>
      <c r="G219" t="n">
        <v>12</v>
      </c>
      <c r="H219" s="5" t="n">
        <v>7788.04</v>
      </c>
      <c r="I219" s="5" t="n">
        <v>72688.38</v>
      </c>
      <c r="J219" s="5" t="n">
        <v>72688.38</v>
      </c>
      <c r="K219" s="4" t="n">
        <v>46087</v>
      </c>
      <c r="L219" s="5">
        <f>IF(I219="","",I219-J219)</f>
        <v/>
      </c>
      <c r="M219">
        <f>IF(K219="","",K219-B219)</f>
        <v/>
      </c>
    </row>
    <row r="220">
      <c r="A220" t="inlineStr">
        <is>
          <t>S-00124</t>
        </is>
      </c>
      <c r="B220" s="4" t="n">
        <v>46023</v>
      </c>
      <c r="C220" t="inlineStr">
        <is>
          <t>Lakshmi Cloth Store</t>
        </is>
      </c>
      <c r="D220" t="inlineStr">
        <is>
          <t>SALES</t>
        </is>
      </c>
      <c r="E220" t="inlineStr">
        <is>
          <t>Fabrics</t>
        </is>
      </c>
      <c r="F220" s="5" t="n">
        <v>44882.02</v>
      </c>
      <c r="G220" t="n">
        <v>5</v>
      </c>
      <c r="H220" s="5" t="n">
        <v>2244.1</v>
      </c>
      <c r="I220" s="5" t="n">
        <v>47126.12</v>
      </c>
      <c r="J220" s="5" t="n">
        <v>47126.12</v>
      </c>
      <c r="K220" s="4" t="n">
        <v>46064</v>
      </c>
      <c r="L220" s="5">
        <f>IF(I220="","",I220-J220)</f>
        <v/>
      </c>
      <c r="M220">
        <f>IF(K220="","",K220-B220)</f>
        <v/>
      </c>
    </row>
    <row r="221">
      <c r="A221" t="inlineStr">
        <is>
          <t>S-00125</t>
        </is>
      </c>
      <c r="B221" s="4" t="n">
        <v>46025</v>
      </c>
      <c r="C221" t="inlineStr">
        <is>
          <t>Kumkum Saree Sadan</t>
        </is>
      </c>
      <c r="D221" t="inlineStr">
        <is>
          <t>SALES</t>
        </is>
      </c>
      <c r="E221" t="inlineStr">
        <is>
          <t>Fabrics</t>
        </is>
      </c>
      <c r="F221" s="5" t="n">
        <v>71068.24000000001</v>
      </c>
      <c r="G221" t="n">
        <v>5</v>
      </c>
      <c r="H221" s="5" t="n">
        <v>3553.41</v>
      </c>
      <c r="I221" s="5" t="n">
        <v>74621.64999999999</v>
      </c>
      <c r="J221" s="5" t="n">
        <v>74621.64999999999</v>
      </c>
      <c r="K221" s="4" t="n">
        <v>46092</v>
      </c>
      <c r="L221" s="5">
        <f>IF(I221="","",I221-J221)</f>
        <v/>
      </c>
      <c r="M221">
        <f>IF(K221="","",K221-B221)</f>
        <v/>
      </c>
    </row>
    <row r="222">
      <c r="A222" t="inlineStr">
        <is>
          <t>S-00126</t>
        </is>
      </c>
      <c r="B222" s="4" t="n">
        <v>46048</v>
      </c>
      <c r="C222" t="inlineStr">
        <is>
          <t>Purnia Fashion Hub</t>
        </is>
      </c>
      <c r="D222" t="inlineStr">
        <is>
          <t>SALES</t>
        </is>
      </c>
      <c r="E222" t="inlineStr">
        <is>
          <t>Garments</t>
        </is>
      </c>
      <c r="F222" s="5" t="n">
        <v>76131.46000000001</v>
      </c>
      <c r="G222" t="n">
        <v>12</v>
      </c>
      <c r="H222" s="5" t="n">
        <v>9135.780000000001</v>
      </c>
      <c r="I222" s="5" t="n">
        <v>85267.24000000001</v>
      </c>
      <c r="J222" s="5" t="n">
        <v>85267.24000000001</v>
      </c>
      <c r="K222" s="4" t="n">
        <v>46075</v>
      </c>
      <c r="L222" s="5">
        <f>IF(I222="","",I222-J222)</f>
        <v/>
      </c>
      <c r="M222">
        <f>IF(K222="","",K222-B222)</f>
        <v/>
      </c>
    </row>
    <row r="223">
      <c r="A223" t="inlineStr">
        <is>
          <t>S-00127</t>
        </is>
      </c>
      <c r="B223" s="4" t="n">
        <v>46030</v>
      </c>
      <c r="C223" t="inlineStr">
        <is>
          <t>Darbhanga Dress Point</t>
        </is>
      </c>
      <c r="D223" t="inlineStr">
        <is>
          <t>SALES</t>
        </is>
      </c>
      <c r="E223" t="inlineStr">
        <is>
          <t>Garments</t>
        </is>
      </c>
      <c r="F223" s="5" t="n">
        <v>23947.59</v>
      </c>
      <c r="G223" t="n">
        <v>12</v>
      </c>
      <c r="H223" s="5" t="n">
        <v>2873.71</v>
      </c>
      <c r="I223" s="5" t="n">
        <v>26821.3</v>
      </c>
      <c r="J223" s="5" t="n">
        <v>26821.3</v>
      </c>
      <c r="K223" s="4" t="n">
        <v>46049</v>
      </c>
      <c r="L223" s="5">
        <f>IF(I223="","",I223-J223)</f>
        <v/>
      </c>
      <c r="M223">
        <f>IF(K223="","",K223-B223)</f>
        <v/>
      </c>
    </row>
    <row r="224">
      <c r="A224" t="inlineStr">
        <is>
          <t>S-00128</t>
        </is>
      </c>
      <c r="B224" s="4" t="n">
        <v>46040</v>
      </c>
      <c r="C224" t="inlineStr">
        <is>
          <t>New Look Garments</t>
        </is>
      </c>
      <c r="D224" t="inlineStr">
        <is>
          <t>SALES</t>
        </is>
      </c>
      <c r="E224" t="inlineStr">
        <is>
          <t>Garments</t>
        </is>
      </c>
      <c r="F224" s="5" t="n">
        <v>79912.13</v>
      </c>
      <c r="G224" t="n">
        <v>12</v>
      </c>
      <c r="H224" s="5" t="n">
        <v>9589.459999999999</v>
      </c>
      <c r="I224" s="5" t="n">
        <v>89501.59</v>
      </c>
      <c r="J224" s="5" t="n">
        <v>89501.59</v>
      </c>
      <c r="K224" s="4" t="n">
        <v>46075</v>
      </c>
      <c r="L224" s="5">
        <f>IF(I224="","",I224-J224)</f>
        <v/>
      </c>
      <c r="M224">
        <f>IF(K224="","",K224-B224)</f>
        <v/>
      </c>
    </row>
    <row r="225">
      <c r="A225" t="inlineStr">
        <is>
          <t>S-00129</t>
        </is>
      </c>
      <c r="B225" s="4" t="n">
        <v>46042</v>
      </c>
      <c r="C225" t="inlineStr">
        <is>
          <t>City Centre Apparel</t>
        </is>
      </c>
      <c r="D225" t="inlineStr">
        <is>
          <t>SALES</t>
        </is>
      </c>
      <c r="E225" t="inlineStr">
        <is>
          <t>Accessories</t>
        </is>
      </c>
      <c r="F225" s="5" t="n">
        <v>43884.35</v>
      </c>
      <c r="G225" t="n">
        <v>12</v>
      </c>
      <c r="H225" s="5" t="n">
        <v>5266.12</v>
      </c>
      <c r="I225" s="5" t="n">
        <v>49150.47</v>
      </c>
      <c r="J225" s="5" t="n">
        <v>49150.47</v>
      </c>
      <c r="K225" s="4" t="n">
        <v>46069</v>
      </c>
      <c r="L225" s="5">
        <f>IF(I225="","",I225-J225)</f>
        <v/>
      </c>
      <c r="M225">
        <f>IF(K225="","",K225-B225)</f>
        <v/>
      </c>
    </row>
    <row r="226">
      <c r="A226" t="inlineStr">
        <is>
          <t>S-00130</t>
        </is>
      </c>
      <c r="B226" s="4" t="n">
        <v>46047</v>
      </c>
      <c r="C226" t="inlineStr">
        <is>
          <t>Bhagalpur Silk Centre</t>
        </is>
      </c>
      <c r="D226" t="inlineStr">
        <is>
          <t>SALES</t>
        </is>
      </c>
      <c r="E226" t="inlineStr">
        <is>
          <t>Accessories</t>
        </is>
      </c>
      <c r="F226" s="5" t="n">
        <v>69757.94</v>
      </c>
      <c r="G226" t="n">
        <v>12</v>
      </c>
      <c r="H226" s="5" t="n">
        <v>8370.950000000001</v>
      </c>
      <c r="I226" s="5" t="n">
        <v>78128.89</v>
      </c>
      <c r="J226" s="5" t="n">
        <v>40995.6</v>
      </c>
      <c r="K226" s="4" t="n">
        <v>46079</v>
      </c>
      <c r="L226" s="5">
        <f>IF(I226="","",I226-J226)</f>
        <v/>
      </c>
      <c r="M226">
        <f>IF(K226="","",K226-B226)</f>
        <v/>
      </c>
    </row>
    <row r="227">
      <c r="A227" t="inlineStr">
        <is>
          <t>S-00131</t>
        </is>
      </c>
      <c r="B227" s="4" t="n">
        <v>46038</v>
      </c>
      <c r="C227" t="inlineStr">
        <is>
          <t>Vishal Mega Mart (franchise)</t>
        </is>
      </c>
      <c r="D227" t="inlineStr">
        <is>
          <t>SALES</t>
        </is>
      </c>
      <c r="E227" t="inlineStr">
        <is>
          <t>Fabrics</t>
        </is>
      </c>
      <c r="F227" s="5" t="n">
        <v>46268.78</v>
      </c>
      <c r="G227" t="n">
        <v>5</v>
      </c>
      <c r="H227" s="5" t="n">
        <v>2313.44</v>
      </c>
      <c r="I227" s="5" t="n">
        <v>48582.22</v>
      </c>
      <c r="J227" s="5" t="n">
        <v>48582.22</v>
      </c>
      <c r="K227" s="4" t="n">
        <v>46049</v>
      </c>
      <c r="L227" s="5">
        <f>IF(I227="","",I227-J227)</f>
        <v/>
      </c>
      <c r="M227">
        <f>IF(K227="","",K227-B227)</f>
        <v/>
      </c>
    </row>
    <row r="228">
      <c r="A228" t="inlineStr">
        <is>
          <t>S-00132</t>
        </is>
      </c>
      <c r="B228" s="4" t="n">
        <v>46028</v>
      </c>
      <c r="C228" t="inlineStr">
        <is>
          <t>Lakshmi Cloth Store</t>
        </is>
      </c>
      <c r="D228" t="inlineStr">
        <is>
          <t>SALES</t>
        </is>
      </c>
      <c r="E228" t="inlineStr">
        <is>
          <t>Fabrics</t>
        </is>
      </c>
      <c r="F228" s="5" t="n">
        <v>94192.67999999999</v>
      </c>
      <c r="G228" t="n">
        <v>5</v>
      </c>
      <c r="H228" s="5" t="n">
        <v>4709.63</v>
      </c>
      <c r="I228" s="5" t="n">
        <v>98902.31</v>
      </c>
      <c r="J228" s="5" t="n">
        <v>0</v>
      </c>
      <c r="K228" s="4" t="inlineStr"/>
      <c r="L228" s="5">
        <f>IF(I228="","",I228-J228)</f>
        <v/>
      </c>
      <c r="M228">
        <f>IF(K228="","",K228-B228)</f>
        <v/>
      </c>
    </row>
    <row r="229">
      <c r="A229" t="inlineStr">
        <is>
          <t>S-00133</t>
        </is>
      </c>
      <c r="B229" s="4" t="n">
        <v>46027</v>
      </c>
      <c r="C229" t="inlineStr">
        <is>
          <t>New Look Garments</t>
        </is>
      </c>
      <c r="D229" t="inlineStr">
        <is>
          <t>SALES</t>
        </is>
      </c>
      <c r="E229" t="inlineStr">
        <is>
          <t>Garments</t>
        </is>
      </c>
      <c r="F229" s="5" t="n">
        <v>68822.2</v>
      </c>
      <c r="G229" t="n">
        <v>12</v>
      </c>
      <c r="H229" s="5" t="n">
        <v>8258.66</v>
      </c>
      <c r="I229" s="5" t="n">
        <v>77080.86</v>
      </c>
      <c r="J229" s="5" t="n">
        <v>77080.86</v>
      </c>
      <c r="K229" s="4" t="n">
        <v>46061</v>
      </c>
      <c r="L229" s="5">
        <f>IF(I229="","",I229-J229)</f>
        <v/>
      </c>
      <c r="M229">
        <f>IF(K229="","",K229-B229)</f>
        <v/>
      </c>
    </row>
    <row r="230">
      <c r="A230" t="inlineStr">
        <is>
          <t>S-00134</t>
        </is>
      </c>
      <c r="B230" s="4" t="n">
        <v>46033</v>
      </c>
      <c r="C230" t="inlineStr">
        <is>
          <t>New Look Garments</t>
        </is>
      </c>
      <c r="D230" t="inlineStr">
        <is>
          <t>SALES</t>
        </is>
      </c>
      <c r="E230" t="inlineStr">
        <is>
          <t>Accessories</t>
        </is>
      </c>
      <c r="F230" s="5" t="n">
        <v>21216.28</v>
      </c>
      <c r="G230" t="n">
        <v>12</v>
      </c>
      <c r="H230" s="5" t="n">
        <v>2545.95</v>
      </c>
      <c r="I230" s="5" t="n">
        <v>23762.23</v>
      </c>
      <c r="J230" s="5" t="n">
        <v>23762.23</v>
      </c>
      <c r="K230" s="4" t="n">
        <v>46065</v>
      </c>
      <c r="L230" s="5">
        <f>IF(I230="","",I230-J230)</f>
        <v/>
      </c>
      <c r="M230">
        <f>IF(K230="","",K230-B230)</f>
        <v/>
      </c>
    </row>
    <row r="231">
      <c r="A231" t="inlineStr">
        <is>
          <t>S-00135</t>
        </is>
      </c>
      <c r="B231" s="4" t="n">
        <v>46037</v>
      </c>
      <c r="C231" t="inlineStr">
        <is>
          <t>Gaya Textile Traders</t>
        </is>
      </c>
      <c r="D231" t="inlineStr">
        <is>
          <t>SALES</t>
        </is>
      </c>
      <c r="E231" t="inlineStr">
        <is>
          <t>Fabrics</t>
        </is>
      </c>
      <c r="F231" s="5" t="n">
        <v>63116.57</v>
      </c>
      <c r="G231" t="n">
        <v>5</v>
      </c>
      <c r="H231" s="5" t="n">
        <v>3155.83</v>
      </c>
      <c r="I231" s="5" t="n">
        <v>66272.39999999999</v>
      </c>
      <c r="J231" s="5" t="n">
        <v>66272.39999999999</v>
      </c>
      <c r="K231" s="4" t="n">
        <v>46062</v>
      </c>
      <c r="L231" s="5">
        <f>IF(I231="","",I231-J231)</f>
        <v/>
      </c>
      <c r="M231">
        <f>IF(K231="","",K231-B231)</f>
        <v/>
      </c>
    </row>
    <row r="232">
      <c r="A232" t="inlineStr">
        <is>
          <t>S-00136</t>
        </is>
      </c>
      <c r="B232" s="4" t="n">
        <v>46027</v>
      </c>
      <c r="C232" t="inlineStr">
        <is>
          <t>Darbhanga Dress Point</t>
        </is>
      </c>
      <c r="D232" t="inlineStr">
        <is>
          <t>SALES</t>
        </is>
      </c>
      <c r="E232" t="inlineStr">
        <is>
          <t>Garments</t>
        </is>
      </c>
      <c r="F232" s="5" t="n">
        <v>45729.1</v>
      </c>
      <c r="G232" t="n">
        <v>12</v>
      </c>
      <c r="H232" s="5" t="n">
        <v>5487.49</v>
      </c>
      <c r="I232" s="5" t="n">
        <v>51216.59</v>
      </c>
      <c r="J232" s="5" t="n">
        <v>0</v>
      </c>
      <c r="K232" s="4" t="inlineStr"/>
      <c r="L232" s="5">
        <f>IF(I232="","",I232-J232)</f>
        <v/>
      </c>
      <c r="M232">
        <f>IF(K232="","",K232-B232)</f>
        <v/>
      </c>
    </row>
    <row r="233">
      <c r="A233" t="inlineStr">
        <is>
          <t>S-00137</t>
        </is>
      </c>
      <c r="B233" s="4" t="n">
        <v>46038</v>
      </c>
      <c r="C233" t="inlineStr">
        <is>
          <t>Vishal Mega Mart (franchise)</t>
        </is>
      </c>
      <c r="D233" t="inlineStr">
        <is>
          <t>SALES</t>
        </is>
      </c>
      <c r="E233" t="inlineStr">
        <is>
          <t>Garments</t>
        </is>
      </c>
      <c r="F233" s="5" t="n">
        <v>38751.41</v>
      </c>
      <c r="G233" t="n">
        <v>12</v>
      </c>
      <c r="H233" s="5" t="n">
        <v>4650.17</v>
      </c>
      <c r="I233" s="5" t="n">
        <v>43401.58</v>
      </c>
      <c r="J233" s="5" t="n">
        <v>34171.01</v>
      </c>
      <c r="K233" s="4" t="n">
        <v>46090</v>
      </c>
      <c r="L233" s="5">
        <f>IF(I233="","",I233-J233)</f>
        <v/>
      </c>
      <c r="M233">
        <f>IF(K233="","",K233-B233)</f>
        <v/>
      </c>
    </row>
    <row r="234">
      <c r="A234" t="inlineStr">
        <is>
          <t>S-00138</t>
        </is>
      </c>
      <c r="B234" s="4" t="n">
        <v>46037</v>
      </c>
      <c r="C234" t="inlineStr">
        <is>
          <t>City Centre Apparel</t>
        </is>
      </c>
      <c r="D234" t="inlineStr">
        <is>
          <t>SALES</t>
        </is>
      </c>
      <c r="E234" t="inlineStr">
        <is>
          <t>Garments</t>
        </is>
      </c>
      <c r="F234" s="5" t="n">
        <v>42399.07</v>
      </c>
      <c r="G234" t="n">
        <v>12</v>
      </c>
      <c r="H234" s="5" t="n">
        <v>5087.89</v>
      </c>
      <c r="I234" s="5" t="n">
        <v>47486.96</v>
      </c>
      <c r="J234" s="5" t="n">
        <v>47486.96</v>
      </c>
      <c r="K234" s="4" t="n">
        <v>46068</v>
      </c>
      <c r="L234" s="5">
        <f>IF(I234="","",I234-J234)</f>
        <v/>
      </c>
      <c r="M234">
        <f>IF(K234="","",K234-B234)</f>
        <v/>
      </c>
    </row>
    <row r="235">
      <c r="A235" t="inlineStr">
        <is>
          <t>S-00139</t>
        </is>
      </c>
      <c r="B235" s="4" t="n">
        <v>46027</v>
      </c>
      <c r="C235" t="inlineStr">
        <is>
          <t>Arrah Garment Plaza</t>
        </is>
      </c>
      <c r="D235" t="inlineStr">
        <is>
          <t>SALES</t>
        </is>
      </c>
      <c r="E235" t="inlineStr">
        <is>
          <t>Garments</t>
        </is>
      </c>
      <c r="F235" s="5" t="n">
        <v>53799.38</v>
      </c>
      <c r="G235" t="n">
        <v>12</v>
      </c>
      <c r="H235" s="5" t="n">
        <v>6455.93</v>
      </c>
      <c r="I235" s="5" t="n">
        <v>60255.31</v>
      </c>
      <c r="J235" s="5" t="n">
        <v>60255.31</v>
      </c>
      <c r="K235" s="4" t="n">
        <v>46045</v>
      </c>
      <c r="L235" s="5">
        <f>IF(I235="","",I235-J235)</f>
        <v/>
      </c>
      <c r="M235">
        <f>IF(K235="","",K235-B235)</f>
        <v/>
      </c>
    </row>
    <row r="236">
      <c r="A236" t="inlineStr">
        <is>
          <t>S-00140</t>
        </is>
      </c>
      <c r="B236" s="4" t="n">
        <v>46045</v>
      </c>
      <c r="C236" t="inlineStr">
        <is>
          <t>Trendy Threads</t>
        </is>
      </c>
      <c r="D236" t="inlineStr">
        <is>
          <t>SALES</t>
        </is>
      </c>
      <c r="E236" t="inlineStr">
        <is>
          <t>Fabrics</t>
        </is>
      </c>
      <c r="F236" s="5" t="n">
        <v>83387.73</v>
      </c>
      <c r="G236" t="n">
        <v>5</v>
      </c>
      <c r="H236" s="5" t="n">
        <v>4169.39</v>
      </c>
      <c r="I236" s="5" t="n">
        <v>87557.12</v>
      </c>
      <c r="J236" s="5" t="n">
        <v>87557.12</v>
      </c>
      <c r="K236" s="4" t="n">
        <v>46106</v>
      </c>
      <c r="L236" s="5">
        <f>IF(I236="","",I236-J236)</f>
        <v/>
      </c>
      <c r="M236">
        <f>IF(K236="","",K236-B236)</f>
        <v/>
      </c>
    </row>
    <row r="237">
      <c r="A237" t="inlineStr">
        <is>
          <t>S-00141</t>
        </is>
      </c>
      <c r="B237" s="4" t="n">
        <v>46042</v>
      </c>
      <c r="C237" t="inlineStr">
        <is>
          <t>Darbhanga Dress Point</t>
        </is>
      </c>
      <c r="D237" t="inlineStr">
        <is>
          <t>SALES</t>
        </is>
      </c>
      <c r="E237" t="inlineStr">
        <is>
          <t>Garments</t>
        </is>
      </c>
      <c r="F237" s="5" t="n">
        <v>50467.83</v>
      </c>
      <c r="G237" t="n">
        <v>12</v>
      </c>
      <c r="H237" s="5" t="n">
        <v>6056.14</v>
      </c>
      <c r="I237" s="5" t="n">
        <v>56523.97</v>
      </c>
      <c r="J237" s="5" t="n">
        <v>56523.97</v>
      </c>
      <c r="K237" s="4" t="n">
        <v>46063</v>
      </c>
      <c r="L237" s="5">
        <f>IF(I237="","",I237-J237)</f>
        <v/>
      </c>
      <c r="M237">
        <f>IF(K237="","",K237-B237)</f>
        <v/>
      </c>
    </row>
    <row r="238">
      <c r="A238" t="inlineStr">
        <is>
          <t>S-00142</t>
        </is>
      </c>
      <c r="B238" s="4" t="n">
        <v>46028</v>
      </c>
      <c r="C238" t="inlineStr">
        <is>
          <t>Vishal Mega Mart (franchise)</t>
        </is>
      </c>
      <c r="D238" t="inlineStr">
        <is>
          <t>SALES</t>
        </is>
      </c>
      <c r="E238" t="inlineStr">
        <is>
          <t>Garments</t>
        </is>
      </c>
      <c r="F238" s="5" t="n">
        <v>40327.56</v>
      </c>
      <c r="G238" t="n">
        <v>12</v>
      </c>
      <c r="H238" s="5" t="n">
        <v>4839.31</v>
      </c>
      <c r="I238" s="5" t="n">
        <v>45166.87</v>
      </c>
      <c r="J238" s="5" t="n">
        <v>33424.93</v>
      </c>
      <c r="K238" s="4" t="n">
        <v>46069</v>
      </c>
      <c r="L238" s="5">
        <f>IF(I238="","",I238-J238)</f>
        <v/>
      </c>
      <c r="M238">
        <f>IF(K238="","",K238-B238)</f>
        <v/>
      </c>
    </row>
    <row r="239">
      <c r="A239" t="inlineStr">
        <is>
          <t>S-00143</t>
        </is>
      </c>
      <c r="B239" s="4" t="n">
        <v>46028</v>
      </c>
      <c r="C239" t="inlineStr">
        <is>
          <t>Bazaar Collection</t>
        </is>
      </c>
      <c r="D239" t="inlineStr">
        <is>
          <t>SALES</t>
        </is>
      </c>
      <c r="E239" t="inlineStr">
        <is>
          <t>Fabrics</t>
        </is>
      </c>
      <c r="F239" s="5" t="n">
        <v>19446.98</v>
      </c>
      <c r="G239" t="n">
        <v>5</v>
      </c>
      <c r="H239" s="5" t="n">
        <v>972.35</v>
      </c>
      <c r="I239" s="5" t="n">
        <v>20419.33</v>
      </c>
      <c r="J239" s="5" t="n">
        <v>20419.33</v>
      </c>
      <c r="K239" s="4" t="n">
        <v>46077</v>
      </c>
      <c r="L239" s="5">
        <f>IF(I239="","",I239-J239)</f>
        <v/>
      </c>
      <c r="M239">
        <f>IF(K239="","",K239-B239)</f>
        <v/>
      </c>
    </row>
    <row r="240">
      <c r="A240" t="inlineStr">
        <is>
          <t>S-00144</t>
        </is>
      </c>
      <c r="B240" s="4" t="n">
        <v>46041</v>
      </c>
      <c r="C240" t="inlineStr">
        <is>
          <t>Muzaffarpur Cloth House</t>
        </is>
      </c>
      <c r="D240" t="inlineStr">
        <is>
          <t>SALES</t>
        </is>
      </c>
      <c r="E240" t="inlineStr">
        <is>
          <t>Garments</t>
        </is>
      </c>
      <c r="F240" s="5" t="n">
        <v>18738.94</v>
      </c>
      <c r="G240" t="n">
        <v>12</v>
      </c>
      <c r="H240" s="5" t="n">
        <v>2248.67</v>
      </c>
      <c r="I240" s="5" t="n">
        <v>20987.61</v>
      </c>
      <c r="J240" s="5" t="n">
        <v>20987.61</v>
      </c>
      <c r="K240" s="4" t="n">
        <v>46069</v>
      </c>
      <c r="L240" s="5">
        <f>IF(I240="","",I240-J240)</f>
        <v/>
      </c>
      <c r="M240">
        <f>IF(K240="","",K240-B240)</f>
        <v/>
      </c>
    </row>
    <row r="241">
      <c r="A241" t="inlineStr">
        <is>
          <t>S-00145</t>
        </is>
      </c>
      <c r="B241" s="4" t="n">
        <v>46032</v>
      </c>
      <c r="C241" t="inlineStr">
        <is>
          <t>Arrah Garment Plaza</t>
        </is>
      </c>
      <c r="D241" t="inlineStr">
        <is>
          <t>SALES</t>
        </is>
      </c>
      <c r="E241" t="inlineStr">
        <is>
          <t>Fabrics</t>
        </is>
      </c>
      <c r="F241" s="5" t="n">
        <v>54092.2</v>
      </c>
      <c r="G241" t="n">
        <v>5</v>
      </c>
      <c r="H241" s="5" t="n">
        <v>2704.61</v>
      </c>
      <c r="I241" s="5" t="n">
        <v>56796.81</v>
      </c>
      <c r="J241" s="5" t="n">
        <v>32122.61</v>
      </c>
      <c r="K241" s="4" t="n">
        <v>46053</v>
      </c>
      <c r="L241" s="5">
        <f>IF(I241="","",I241-J241)</f>
        <v/>
      </c>
      <c r="M241">
        <f>IF(K241="","",K241-B241)</f>
        <v/>
      </c>
    </row>
    <row r="242">
      <c r="A242" t="inlineStr">
        <is>
          <t>S-00146</t>
        </is>
      </c>
      <c r="B242" s="4" t="n">
        <v>46029</v>
      </c>
      <c r="C242" t="inlineStr">
        <is>
          <t>Trendy Threads</t>
        </is>
      </c>
      <c r="D242" t="inlineStr">
        <is>
          <t>SALES</t>
        </is>
      </c>
      <c r="E242" t="inlineStr">
        <is>
          <t>Accessories</t>
        </is>
      </c>
      <c r="F242" s="5" t="n">
        <v>56778.51</v>
      </c>
      <c r="G242" t="n">
        <v>12</v>
      </c>
      <c r="H242" s="5" t="n">
        <v>6813.42</v>
      </c>
      <c r="I242" s="5" t="n">
        <v>63591.93</v>
      </c>
      <c r="J242" s="5" t="n">
        <v>0</v>
      </c>
      <c r="K242" s="4" t="inlineStr"/>
      <c r="L242" s="5">
        <f>IF(I242="","",I242-J242)</f>
        <v/>
      </c>
      <c r="M242">
        <f>IF(K242="","",K242-B242)</f>
        <v/>
      </c>
    </row>
    <row r="243">
      <c r="A243" t="inlineStr">
        <is>
          <t>S-00147</t>
        </is>
      </c>
      <c r="B243" s="4" t="n">
        <v>46052</v>
      </c>
      <c r="C243" t="inlineStr">
        <is>
          <t>Muzaffarpur Cloth House</t>
        </is>
      </c>
      <c r="D243" t="inlineStr">
        <is>
          <t>SALES</t>
        </is>
      </c>
      <c r="E243" t="inlineStr">
        <is>
          <t>Fabrics</t>
        </is>
      </c>
      <c r="F243" s="5" t="n">
        <v>75968.98</v>
      </c>
      <c r="G243" t="n">
        <v>5</v>
      </c>
      <c r="H243" s="5" t="n">
        <v>3798.45</v>
      </c>
      <c r="I243" s="5" t="n">
        <v>79767.42999999999</v>
      </c>
      <c r="J243" s="5" t="n">
        <v>79767.42999999999</v>
      </c>
      <c r="K243" s="4" t="n">
        <v>46095</v>
      </c>
      <c r="L243" s="5">
        <f>IF(I243="","",I243-J243)</f>
        <v/>
      </c>
      <c r="M243">
        <f>IF(K243="","",K243-B243)</f>
        <v/>
      </c>
    </row>
    <row r="244">
      <c r="A244" t="inlineStr">
        <is>
          <t>S-00148</t>
        </is>
      </c>
      <c r="B244" s="4" t="n">
        <v>46042</v>
      </c>
      <c r="C244" t="inlineStr">
        <is>
          <t>Darbhanga Dress Point</t>
        </is>
      </c>
      <c r="D244" t="inlineStr">
        <is>
          <t>SALES</t>
        </is>
      </c>
      <c r="E244" t="inlineStr">
        <is>
          <t>Fabrics</t>
        </is>
      </c>
      <c r="F244" s="5" t="n">
        <v>88284.67999999999</v>
      </c>
      <c r="G244" t="n">
        <v>5</v>
      </c>
      <c r="H244" s="5" t="n">
        <v>4414.23</v>
      </c>
      <c r="I244" s="5" t="n">
        <v>92698.91</v>
      </c>
      <c r="J244" s="5" t="n">
        <v>92698.91</v>
      </c>
      <c r="K244" s="4" t="n">
        <v>46067</v>
      </c>
      <c r="L244" s="5">
        <f>IF(I244="","",I244-J244)</f>
        <v/>
      </c>
      <c r="M244">
        <f>IF(K244="","",K244-B244)</f>
        <v/>
      </c>
    </row>
    <row r="245">
      <c r="A245" t="inlineStr">
        <is>
          <t>S-00149</t>
        </is>
      </c>
      <c r="B245" s="4" t="n">
        <v>46041</v>
      </c>
      <c r="C245" t="inlineStr">
        <is>
          <t>Kumkum Saree Sadan</t>
        </is>
      </c>
      <c r="D245" t="inlineStr">
        <is>
          <t>SALES</t>
        </is>
      </c>
      <c r="E245" t="inlineStr">
        <is>
          <t>Garments</t>
        </is>
      </c>
      <c r="F245" s="5" t="n">
        <v>40266.52</v>
      </c>
      <c r="G245" t="n">
        <v>12</v>
      </c>
      <c r="H245" s="5" t="n">
        <v>4831.98</v>
      </c>
      <c r="I245" s="5" t="n">
        <v>45098.5</v>
      </c>
      <c r="J245" s="5" t="n">
        <v>45098.5</v>
      </c>
      <c r="K245" s="4" t="n">
        <v>46065</v>
      </c>
      <c r="L245" s="5">
        <f>IF(I245="","",I245-J245)</f>
        <v/>
      </c>
      <c r="M245">
        <f>IF(K245="","",K245-B245)</f>
        <v/>
      </c>
    </row>
    <row r="246">
      <c r="A246" t="inlineStr">
        <is>
          <t>P-00051</t>
        </is>
      </c>
      <c r="B246" s="4" t="n">
        <v>46024</v>
      </c>
      <c r="C246" t="inlineStr">
        <is>
          <t>Delhi Fabric Suppliers</t>
        </is>
      </c>
      <c r="D246" t="inlineStr">
        <is>
          <t>PURCHASE</t>
        </is>
      </c>
      <c r="E246" t="inlineStr">
        <is>
          <t>Inventory purchases</t>
        </is>
      </c>
      <c r="F246" s="5" t="n">
        <v>89230.14</v>
      </c>
      <c r="G246" t="n">
        <v>5</v>
      </c>
      <c r="H246" s="5" t="n">
        <v>4461.51</v>
      </c>
      <c r="I246" s="5" t="n">
        <v>93691.64999999999</v>
      </c>
      <c r="J246" s="5" t="n">
        <v>93691.64999999999</v>
      </c>
      <c r="K246" s="4" t="n">
        <v>46039</v>
      </c>
      <c r="L246" s="5">
        <f>IF(I246="","",I246-J246)</f>
        <v/>
      </c>
      <c r="M246">
        <f>IF(K246="","",K246-B246)</f>
        <v/>
      </c>
    </row>
    <row r="247">
      <c r="A247" t="inlineStr">
        <is>
          <t>P-00052</t>
        </is>
      </c>
      <c r="B247" s="4" t="n">
        <v>46048</v>
      </c>
      <c r="C247" t="inlineStr">
        <is>
          <t>Kolkata Hosiery House</t>
        </is>
      </c>
      <c r="D247" t="inlineStr">
        <is>
          <t>PURCHASE</t>
        </is>
      </c>
      <c r="E247" t="inlineStr">
        <is>
          <t>Inventory purchases</t>
        </is>
      </c>
      <c r="F247" s="5" t="n">
        <v>79282.11</v>
      </c>
      <c r="G247" t="n">
        <v>5</v>
      </c>
      <c r="H247" s="5" t="n">
        <v>3964.11</v>
      </c>
      <c r="I247" s="5" t="n">
        <v>83246.22</v>
      </c>
      <c r="J247" s="5" t="n">
        <v>83246.22</v>
      </c>
      <c r="K247" s="4" t="n">
        <v>46072</v>
      </c>
      <c r="L247" s="5">
        <f>IF(I247="","",I247-J247)</f>
        <v/>
      </c>
      <c r="M247">
        <f>IF(K247="","",K247-B247)</f>
        <v/>
      </c>
    </row>
    <row r="248">
      <c r="A248" t="inlineStr">
        <is>
          <t>P-00053</t>
        </is>
      </c>
      <c r="B248" s="4" t="n">
        <v>46047</v>
      </c>
      <c r="C248" t="inlineStr">
        <is>
          <t>Surat Textile Mills</t>
        </is>
      </c>
      <c r="D248" t="inlineStr">
        <is>
          <t>PURCHASE</t>
        </is>
      </c>
      <c r="E248" t="inlineStr">
        <is>
          <t>Inventory purchases</t>
        </is>
      </c>
      <c r="F248" s="5" t="n">
        <v>116937.26</v>
      </c>
      <c r="G248" t="n">
        <v>5</v>
      </c>
      <c r="H248" s="5" t="n">
        <v>5846.86</v>
      </c>
      <c r="I248" s="5" t="n">
        <v>122784.12</v>
      </c>
      <c r="J248" s="5" t="n">
        <v>122784.12</v>
      </c>
      <c r="K248" s="4" t="n">
        <v>46065</v>
      </c>
      <c r="L248" s="5">
        <f>IF(I248="","",I248-J248)</f>
        <v/>
      </c>
      <c r="M248">
        <f>IF(K248="","",K248-B248)</f>
        <v/>
      </c>
    </row>
    <row r="249">
      <c r="A249" t="inlineStr">
        <is>
          <t>P-00054</t>
        </is>
      </c>
      <c r="B249" s="4" t="n">
        <v>46038</v>
      </c>
      <c r="C249" t="inlineStr">
        <is>
          <t>Kolkata Hosiery House</t>
        </is>
      </c>
      <c r="D249" t="inlineStr">
        <is>
          <t>PURCHASE</t>
        </is>
      </c>
      <c r="E249" t="inlineStr">
        <is>
          <t>Inventory purchases</t>
        </is>
      </c>
      <c r="F249" s="5" t="n">
        <v>80318.92</v>
      </c>
      <c r="G249" t="n">
        <v>5</v>
      </c>
      <c r="H249" s="5" t="n">
        <v>4015.95</v>
      </c>
      <c r="I249" s="5" t="n">
        <v>84334.87</v>
      </c>
      <c r="J249" s="5" t="n">
        <v>84334.87</v>
      </c>
      <c r="K249" s="4" t="n">
        <v>46054</v>
      </c>
      <c r="L249" s="5">
        <f>IF(I249="","",I249-J249)</f>
        <v/>
      </c>
      <c r="M249">
        <f>IF(K249="","",K249-B249)</f>
        <v/>
      </c>
    </row>
    <row r="250">
      <c r="A250" t="inlineStr">
        <is>
          <t>P-00055</t>
        </is>
      </c>
      <c r="B250" s="4" t="n">
        <v>46023</v>
      </c>
      <c r="C250" t="inlineStr">
        <is>
          <t>Ludhiana Knitwear Co</t>
        </is>
      </c>
      <c r="D250" t="inlineStr">
        <is>
          <t>PURCHASE</t>
        </is>
      </c>
      <c r="E250" t="inlineStr">
        <is>
          <t>Inventory purchases</t>
        </is>
      </c>
      <c r="F250" s="5" t="n">
        <v>17340.33</v>
      </c>
      <c r="G250" t="n">
        <v>5</v>
      </c>
      <c r="H250" s="5" t="n">
        <v>867.02</v>
      </c>
      <c r="I250" s="5" t="n">
        <v>18207.35</v>
      </c>
      <c r="J250" s="5" t="n">
        <v>18207.35</v>
      </c>
      <c r="K250" s="4" t="n">
        <v>46034</v>
      </c>
      <c r="L250" s="5">
        <f>IF(I250="","",I250-J250)</f>
        <v/>
      </c>
      <c r="M250">
        <f>IF(K250="","",K250-B250)</f>
        <v/>
      </c>
    </row>
    <row r="251">
      <c r="A251" t="inlineStr">
        <is>
          <t>P-00056</t>
        </is>
      </c>
      <c r="B251" s="4" t="n">
        <v>46029</v>
      </c>
      <c r="C251" t="inlineStr">
        <is>
          <t>Kolkata Hosiery House</t>
        </is>
      </c>
      <c r="D251" t="inlineStr">
        <is>
          <t>PURCHASE</t>
        </is>
      </c>
      <c r="E251" t="inlineStr">
        <is>
          <t>Inventory purchases</t>
        </is>
      </c>
      <c r="F251" s="5" t="n">
        <v>54892.81</v>
      </c>
      <c r="G251" t="n">
        <v>5</v>
      </c>
      <c r="H251" s="5" t="n">
        <v>2744.64</v>
      </c>
      <c r="I251" s="5" t="n">
        <v>57637.45</v>
      </c>
      <c r="J251" s="5" t="n">
        <v>57637.45</v>
      </c>
      <c r="K251" s="4" t="n">
        <v>46047</v>
      </c>
      <c r="L251" s="5">
        <f>IF(I251="","",I251-J251)</f>
        <v/>
      </c>
      <c r="M251">
        <f>IF(K251="","",K251-B251)</f>
        <v/>
      </c>
    </row>
    <row r="252">
      <c r="A252" t="inlineStr">
        <is>
          <t>P-00057</t>
        </is>
      </c>
      <c r="B252" s="4" t="n">
        <v>46025</v>
      </c>
      <c r="C252" t="inlineStr">
        <is>
          <t>Jaipur Print Works</t>
        </is>
      </c>
      <c r="D252" t="inlineStr">
        <is>
          <t>PURCHASE</t>
        </is>
      </c>
      <c r="E252" t="inlineStr">
        <is>
          <t>Inventory purchases</t>
        </is>
      </c>
      <c r="F252" s="5" t="n">
        <v>89557.83</v>
      </c>
      <c r="G252" t="n">
        <v>5</v>
      </c>
      <c r="H252" s="5" t="n">
        <v>4477.89</v>
      </c>
      <c r="I252" s="5" t="n">
        <v>94035.72</v>
      </c>
      <c r="J252" s="5" t="n">
        <v>94035.72</v>
      </c>
      <c r="K252" s="4" t="n">
        <v>46039</v>
      </c>
      <c r="L252" s="5">
        <f>IF(I252="","",I252-J252)</f>
        <v/>
      </c>
      <c r="M252">
        <f>IF(K252="","",K252-B252)</f>
        <v/>
      </c>
    </row>
    <row r="253">
      <c r="A253" t="inlineStr">
        <is>
          <t>P-00058</t>
        </is>
      </c>
      <c r="B253" s="4" t="n">
        <v>46048</v>
      </c>
      <c r="C253" t="inlineStr">
        <is>
          <t>Jaipur Print Works</t>
        </is>
      </c>
      <c r="D253" t="inlineStr">
        <is>
          <t>PURCHASE</t>
        </is>
      </c>
      <c r="E253" t="inlineStr">
        <is>
          <t>Inventory purchases</t>
        </is>
      </c>
      <c r="F253" s="5" t="n">
        <v>54015.79</v>
      </c>
      <c r="G253" t="n">
        <v>5</v>
      </c>
      <c r="H253" s="5" t="n">
        <v>2700.79</v>
      </c>
      <c r="I253" s="5" t="n">
        <v>56716.58</v>
      </c>
      <c r="J253" s="5" t="n">
        <v>0</v>
      </c>
      <c r="K253" s="4" t="inlineStr"/>
      <c r="L253" s="5">
        <f>IF(I253="","",I253-J253)</f>
        <v/>
      </c>
      <c r="M253">
        <f>IF(K253="","",K253-B253)</f>
        <v/>
      </c>
    </row>
    <row r="254">
      <c r="A254" t="inlineStr">
        <is>
          <t>P-00059</t>
        </is>
      </c>
      <c r="B254" s="4" t="n">
        <v>46046</v>
      </c>
      <c r="C254" t="inlineStr">
        <is>
          <t>Jaipur Print Works</t>
        </is>
      </c>
      <c r="D254" t="inlineStr">
        <is>
          <t>PURCHASE</t>
        </is>
      </c>
      <c r="E254" t="inlineStr">
        <is>
          <t>Inventory purchases</t>
        </is>
      </c>
      <c r="F254" s="5" t="n">
        <v>113890.23</v>
      </c>
      <c r="G254" t="n">
        <v>5</v>
      </c>
      <c r="H254" s="5" t="n">
        <v>5694.51</v>
      </c>
      <c r="I254" s="5" t="n">
        <v>119584.74</v>
      </c>
      <c r="J254" s="5" t="n">
        <v>119584.74</v>
      </c>
      <c r="K254" s="4" t="n">
        <v>46068</v>
      </c>
      <c r="L254" s="5">
        <f>IF(I254="","",I254-J254)</f>
        <v/>
      </c>
      <c r="M254">
        <f>IF(K254="","",K254-B254)</f>
        <v/>
      </c>
    </row>
    <row r="255">
      <c r="A255" t="inlineStr">
        <is>
          <t>P-00060</t>
        </is>
      </c>
      <c r="B255" s="4" t="n">
        <v>46052</v>
      </c>
      <c r="C255" t="inlineStr">
        <is>
          <t>Surat Textile Mills</t>
        </is>
      </c>
      <c r="D255" t="inlineStr">
        <is>
          <t>PURCHASE</t>
        </is>
      </c>
      <c r="E255" t="inlineStr">
        <is>
          <t>Inventory purchases</t>
        </is>
      </c>
      <c r="F255" s="5" t="n">
        <v>40568.87</v>
      </c>
      <c r="G255" t="n">
        <v>5</v>
      </c>
      <c r="H255" s="5" t="n">
        <v>2028.44</v>
      </c>
      <c r="I255" s="5" t="n">
        <v>42597.31</v>
      </c>
      <c r="J255" s="5" t="n">
        <v>42597.31</v>
      </c>
      <c r="K255" s="4" t="n">
        <v>46072</v>
      </c>
      <c r="L255" s="5">
        <f>IF(I255="","",I255-J255)</f>
        <v/>
      </c>
      <c r="M255">
        <f>IF(K255="","",K255-B255)</f>
        <v/>
      </c>
    </row>
    <row r="256">
      <c r="A256" t="inlineStr">
        <is>
          <t>P-00061</t>
        </is>
      </c>
      <c r="B256" s="4" t="n">
        <v>46026</v>
      </c>
      <c r="C256" t="inlineStr">
        <is>
          <t>Kolkata Hosiery House</t>
        </is>
      </c>
      <c r="D256" t="inlineStr">
        <is>
          <t>PURCHASE</t>
        </is>
      </c>
      <c r="E256" t="inlineStr">
        <is>
          <t>Inventory purchases</t>
        </is>
      </c>
      <c r="F256" s="5" t="n">
        <v>33982.76</v>
      </c>
      <c r="G256" t="n">
        <v>5</v>
      </c>
      <c r="H256" s="5" t="n">
        <v>1699.14</v>
      </c>
      <c r="I256" s="5" t="n">
        <v>35681.9</v>
      </c>
      <c r="J256" s="5" t="n">
        <v>35681.9</v>
      </c>
      <c r="K256" s="4" t="n">
        <v>46049</v>
      </c>
      <c r="L256" s="5">
        <f>IF(I256="","",I256-J256)</f>
        <v/>
      </c>
      <c r="M256">
        <f>IF(K256="","",K256-B256)</f>
        <v/>
      </c>
    </row>
    <row r="257">
      <c r="A257" t="inlineStr">
        <is>
          <t>P-00062</t>
        </is>
      </c>
      <c r="B257" s="4" t="n">
        <v>46038</v>
      </c>
      <c r="C257" t="inlineStr">
        <is>
          <t>Kolkata Hosiery House</t>
        </is>
      </c>
      <c r="D257" t="inlineStr">
        <is>
          <t>PURCHASE</t>
        </is>
      </c>
      <c r="E257" t="inlineStr">
        <is>
          <t>Inventory purchases</t>
        </is>
      </c>
      <c r="F257" s="5" t="n">
        <v>100477.99</v>
      </c>
      <c r="G257" t="n">
        <v>5</v>
      </c>
      <c r="H257" s="5" t="n">
        <v>5023.9</v>
      </c>
      <c r="I257" s="5" t="n">
        <v>105501.89</v>
      </c>
      <c r="J257" s="5" t="n">
        <v>105501.89</v>
      </c>
      <c r="K257" s="4" t="n">
        <v>46057</v>
      </c>
      <c r="L257" s="5">
        <f>IF(I257="","",I257-J257)</f>
        <v/>
      </c>
      <c r="M257">
        <f>IF(K257="","",K257-B257)</f>
        <v/>
      </c>
    </row>
    <row r="258">
      <c r="A258" t="inlineStr">
        <is>
          <t>P-00063</t>
        </is>
      </c>
      <c r="B258" s="4" t="n">
        <v>46045</v>
      </c>
      <c r="C258" t="inlineStr">
        <is>
          <t>Tiruppur Garment Works</t>
        </is>
      </c>
      <c r="D258" t="inlineStr">
        <is>
          <t>PURCHASE</t>
        </is>
      </c>
      <c r="E258" t="inlineStr">
        <is>
          <t>Inventory purchases</t>
        </is>
      </c>
      <c r="F258" s="5" t="n">
        <v>105985.38</v>
      </c>
      <c r="G258" t="n">
        <v>5</v>
      </c>
      <c r="H258" s="5" t="n">
        <v>5299.27</v>
      </c>
      <c r="I258" s="5" t="n">
        <v>111284.65</v>
      </c>
      <c r="J258" s="5" t="n">
        <v>0</v>
      </c>
      <c r="K258" s="4" t="inlineStr"/>
      <c r="L258" s="5">
        <f>IF(I258="","",I258-J258)</f>
        <v/>
      </c>
      <c r="M258">
        <f>IF(K258="","",K258-B258)</f>
        <v/>
      </c>
    </row>
    <row r="259">
      <c r="A259" t="inlineStr">
        <is>
          <t>P-00064</t>
        </is>
      </c>
      <c r="B259" s="4" t="n">
        <v>46028</v>
      </c>
      <c r="C259" t="inlineStr">
        <is>
          <t>Ludhiana Knitwear Co</t>
        </is>
      </c>
      <c r="D259" t="inlineStr">
        <is>
          <t>PURCHASE</t>
        </is>
      </c>
      <c r="E259" t="inlineStr">
        <is>
          <t>Inventory purchases</t>
        </is>
      </c>
      <c r="F259" s="5" t="n">
        <v>92569.00999999999</v>
      </c>
      <c r="G259" t="n">
        <v>5</v>
      </c>
      <c r="H259" s="5" t="n">
        <v>4628.45</v>
      </c>
      <c r="I259" s="5" t="n">
        <v>97197.46000000001</v>
      </c>
      <c r="J259" s="5" t="n">
        <v>97197.46000000001</v>
      </c>
      <c r="K259" s="4" t="n">
        <v>46053</v>
      </c>
      <c r="L259" s="5">
        <f>IF(I259="","",I259-J259)</f>
        <v/>
      </c>
      <c r="M259">
        <f>IF(K259="","",K259-B259)</f>
        <v/>
      </c>
    </row>
    <row r="260">
      <c r="A260" t="inlineStr">
        <is>
          <t>P-00065</t>
        </is>
      </c>
      <c r="B260" s="4" t="n">
        <v>46053</v>
      </c>
      <c r="C260" t="inlineStr">
        <is>
          <t>Tiruppur Garment Works</t>
        </is>
      </c>
      <c r="D260" t="inlineStr">
        <is>
          <t>PURCHASE</t>
        </is>
      </c>
      <c r="E260" t="inlineStr">
        <is>
          <t>Inventory purchases</t>
        </is>
      </c>
      <c r="F260" s="5" t="n">
        <v>26024.67</v>
      </c>
      <c r="G260" t="n">
        <v>5</v>
      </c>
      <c r="H260" s="5" t="n">
        <v>1301.23</v>
      </c>
      <c r="I260" s="5" t="n">
        <v>27325.9</v>
      </c>
      <c r="J260" s="5" t="n">
        <v>27325.9</v>
      </c>
      <c r="K260" s="4" t="n">
        <v>46060</v>
      </c>
      <c r="L260" s="5">
        <f>IF(I260="","",I260-J260)</f>
        <v/>
      </c>
      <c r="M260">
        <f>IF(K260="","",K260-B260)</f>
        <v/>
      </c>
    </row>
    <row r="261">
      <c r="A261" t="inlineStr">
        <is>
          <t>P-00066</t>
        </is>
      </c>
      <c r="B261" s="4" t="n">
        <v>46053</v>
      </c>
      <c r="C261" t="inlineStr">
        <is>
          <t>Surat Textile Mills</t>
        </is>
      </c>
      <c r="D261" t="inlineStr">
        <is>
          <t>PURCHASE</t>
        </is>
      </c>
      <c r="E261" t="inlineStr">
        <is>
          <t>Inventory purchases</t>
        </is>
      </c>
      <c r="F261" s="5" t="n">
        <v>68976.49000000001</v>
      </c>
      <c r="G261" t="n">
        <v>5</v>
      </c>
      <c r="H261" s="5" t="n">
        <v>3448.82</v>
      </c>
      <c r="I261" s="5" t="n">
        <v>72425.31</v>
      </c>
      <c r="J261" s="5" t="n">
        <v>0</v>
      </c>
      <c r="K261" s="4" t="inlineStr"/>
      <c r="L261" s="5">
        <f>IF(I261="","",I261-J261)</f>
        <v/>
      </c>
      <c r="M261">
        <f>IF(K261="","",K261-B261)</f>
        <v/>
      </c>
    </row>
    <row r="262">
      <c r="A262" t="inlineStr">
        <is>
          <t>P-00067</t>
        </is>
      </c>
      <c r="B262" s="4" t="n">
        <v>46042</v>
      </c>
      <c r="C262" t="inlineStr">
        <is>
          <t>Jaipur Print Works</t>
        </is>
      </c>
      <c r="D262" t="inlineStr">
        <is>
          <t>PURCHASE</t>
        </is>
      </c>
      <c r="E262" t="inlineStr">
        <is>
          <t>Inventory purchases</t>
        </is>
      </c>
      <c r="F262" s="5" t="n">
        <v>97355.42</v>
      </c>
      <c r="G262" t="n">
        <v>5</v>
      </c>
      <c r="H262" s="5" t="n">
        <v>4867.77</v>
      </c>
      <c r="I262" s="5" t="n">
        <v>102223.19</v>
      </c>
      <c r="J262" s="5" t="n">
        <v>102223.19</v>
      </c>
      <c r="K262" s="4" t="n">
        <v>46063</v>
      </c>
      <c r="L262" s="5">
        <f>IF(I262="","",I262-J262)</f>
        <v/>
      </c>
      <c r="M262">
        <f>IF(K262="","",K262-B262)</f>
        <v/>
      </c>
    </row>
    <row r="263">
      <c r="A263" t="inlineStr">
        <is>
          <t>P-00068</t>
        </is>
      </c>
      <c r="B263" s="4" t="n">
        <v>46025</v>
      </c>
      <c r="C263" t="inlineStr">
        <is>
          <t>Delhi Fabric Suppliers</t>
        </is>
      </c>
      <c r="D263" t="inlineStr">
        <is>
          <t>PURCHASE</t>
        </is>
      </c>
      <c r="E263" t="inlineStr">
        <is>
          <t>Inventory purchases</t>
        </is>
      </c>
      <c r="F263" s="5" t="n">
        <v>28680.94</v>
      </c>
      <c r="G263" t="n">
        <v>5</v>
      </c>
      <c r="H263" s="5" t="n">
        <v>1434.05</v>
      </c>
      <c r="I263" s="5" t="n">
        <v>30114.99</v>
      </c>
      <c r="J263" s="5" t="n">
        <v>30114.99</v>
      </c>
      <c r="K263" s="4" t="n">
        <v>46035</v>
      </c>
      <c r="L263" s="5">
        <f>IF(I263="","",I263-J263)</f>
        <v/>
      </c>
      <c r="M263">
        <f>IF(K263="","",K263-B263)</f>
        <v/>
      </c>
    </row>
    <row r="264">
      <c r="A264" t="inlineStr">
        <is>
          <t>E-00046</t>
        </is>
      </c>
      <c r="B264" s="4" t="n">
        <v>46029</v>
      </c>
      <c r="C264" t="inlineStr">
        <is>
          <t>Various</t>
        </is>
      </c>
      <c r="D264" t="inlineStr">
        <is>
          <t>EXPENSE</t>
        </is>
      </c>
      <c r="E264" t="inlineStr">
        <is>
          <t>Rent</t>
        </is>
      </c>
      <c r="F264" s="5" t="n">
        <v>25427.64</v>
      </c>
      <c r="G264" t="n">
        <v>18</v>
      </c>
      <c r="H264" s="5" t="n">
        <v>4576.98</v>
      </c>
      <c r="I264" s="5" t="n">
        <v>30004.62</v>
      </c>
      <c r="J264" s="5" t="n">
        <v>30004.62</v>
      </c>
      <c r="K264" s="4" t="n">
        <v>46032</v>
      </c>
      <c r="L264" s="5">
        <f>IF(I264="","",I264-J264)</f>
        <v/>
      </c>
      <c r="M264">
        <f>IF(K264="","",K264-B264)</f>
        <v/>
      </c>
    </row>
    <row r="265">
      <c r="A265" t="inlineStr">
        <is>
          <t>E-00047</t>
        </is>
      </c>
      <c r="B265" s="4" t="n">
        <v>46036</v>
      </c>
      <c r="C265" t="inlineStr">
        <is>
          <t>Various</t>
        </is>
      </c>
      <c r="D265" t="inlineStr">
        <is>
          <t>EXPENSE</t>
        </is>
      </c>
      <c r="E265" t="inlineStr">
        <is>
          <t>Salaries</t>
        </is>
      </c>
      <c r="F265" s="5" t="n">
        <v>84602.38</v>
      </c>
      <c r="G265" t="n">
        <v>0</v>
      </c>
      <c r="H265" s="5" t="n">
        <v>0</v>
      </c>
      <c r="I265" s="5" t="n">
        <v>84602.38</v>
      </c>
      <c r="J265" s="5" t="n">
        <v>84602.38</v>
      </c>
      <c r="K265" s="4" t="n">
        <v>46043</v>
      </c>
      <c r="L265" s="5">
        <f>IF(I265="","",I265-J265)</f>
        <v/>
      </c>
      <c r="M265">
        <f>IF(K265="","",K265-B265)</f>
        <v/>
      </c>
    </row>
    <row r="266">
      <c r="A266" t="inlineStr">
        <is>
          <t>E-00048</t>
        </is>
      </c>
      <c r="B266" s="4" t="n">
        <v>46032</v>
      </c>
      <c r="C266" t="inlineStr">
        <is>
          <t>Various</t>
        </is>
      </c>
      <c r="D266" t="inlineStr">
        <is>
          <t>EXPENSE</t>
        </is>
      </c>
      <c r="E266" t="inlineStr">
        <is>
          <t>Utilities</t>
        </is>
      </c>
      <c r="F266" s="5" t="n">
        <v>6386.67</v>
      </c>
      <c r="G266" t="n">
        <v>18</v>
      </c>
      <c r="H266" s="5" t="n">
        <v>1149.6</v>
      </c>
      <c r="I266" s="5" t="n">
        <v>7536.27</v>
      </c>
      <c r="J266" s="5" t="n">
        <v>7536.27</v>
      </c>
      <c r="K266" s="4" t="n">
        <v>46035</v>
      </c>
      <c r="L266" s="5">
        <f>IF(I266="","",I266-J266)</f>
        <v/>
      </c>
      <c r="M266">
        <f>IF(K266="","",K266-B266)</f>
        <v/>
      </c>
    </row>
    <row r="267">
      <c r="A267" t="inlineStr">
        <is>
          <t>E-00049</t>
        </is>
      </c>
      <c r="B267" s="4" t="n">
        <v>46051</v>
      </c>
      <c r="C267" t="inlineStr">
        <is>
          <t>Various</t>
        </is>
      </c>
      <c r="D267" t="inlineStr">
        <is>
          <t>EXPENSE</t>
        </is>
      </c>
      <c r="E267" t="inlineStr">
        <is>
          <t>Transport</t>
        </is>
      </c>
      <c r="F267" s="5" t="n">
        <v>1885.7</v>
      </c>
      <c r="G267" t="n">
        <v>5</v>
      </c>
      <c r="H267" s="5" t="n">
        <v>94.28</v>
      </c>
      <c r="I267" s="5" t="n">
        <v>1979.98</v>
      </c>
      <c r="J267" s="5" t="n">
        <v>1979.98</v>
      </c>
      <c r="K267" s="4" t="n">
        <v>46054</v>
      </c>
      <c r="L267" s="5">
        <f>IF(I267="","",I267-J267)</f>
        <v/>
      </c>
      <c r="M267">
        <f>IF(K267="","",K267-B267)</f>
        <v/>
      </c>
    </row>
    <row r="268">
      <c r="A268" t="inlineStr">
        <is>
          <t>E-00050</t>
        </is>
      </c>
      <c r="B268" s="4" t="n">
        <v>46031</v>
      </c>
      <c r="C268" t="inlineStr">
        <is>
          <t>Various</t>
        </is>
      </c>
      <c r="D268" t="inlineStr">
        <is>
          <t>EXPENSE</t>
        </is>
      </c>
      <c r="E268" t="inlineStr">
        <is>
          <t>Transport</t>
        </is>
      </c>
      <c r="F268" s="5" t="n">
        <v>1658.44</v>
      </c>
      <c r="G268" t="n">
        <v>5</v>
      </c>
      <c r="H268" s="5" t="n">
        <v>82.92</v>
      </c>
      <c r="I268" s="5" t="n">
        <v>1741.36</v>
      </c>
      <c r="J268" s="5" t="n">
        <v>1741.36</v>
      </c>
      <c r="K268" s="4" t="n">
        <v>46036</v>
      </c>
      <c r="L268" s="5">
        <f>IF(I268="","",I268-J268)</f>
        <v/>
      </c>
      <c r="M268">
        <f>IF(K268="","",K268-B268)</f>
        <v/>
      </c>
    </row>
    <row r="269">
      <c r="A269" t="inlineStr">
        <is>
          <t>E-00051</t>
        </is>
      </c>
      <c r="B269" s="4" t="n">
        <v>46040</v>
      </c>
      <c r="C269" t="inlineStr">
        <is>
          <t>Various</t>
        </is>
      </c>
      <c r="D269" t="inlineStr">
        <is>
          <t>EXPENSE</t>
        </is>
      </c>
      <c r="E269" t="inlineStr">
        <is>
          <t>Transport</t>
        </is>
      </c>
      <c r="F269" s="5" t="n">
        <v>6391.47</v>
      </c>
      <c r="G269" t="n">
        <v>5</v>
      </c>
      <c r="H269" s="5" t="n">
        <v>319.57</v>
      </c>
      <c r="I269" s="5" t="n">
        <v>6711.04</v>
      </c>
      <c r="J269" s="5" t="n">
        <v>6711.04</v>
      </c>
      <c r="K269" s="4" t="n">
        <v>46044</v>
      </c>
      <c r="L269" s="5">
        <f>IF(I269="","",I269-J269)</f>
        <v/>
      </c>
      <c r="M269">
        <f>IF(K269="","",K269-B269)</f>
        <v/>
      </c>
    </row>
    <row r="270">
      <c r="A270" t="inlineStr">
        <is>
          <t>E-00052</t>
        </is>
      </c>
      <c r="B270" s="4" t="n">
        <v>46036</v>
      </c>
      <c r="C270" t="inlineStr">
        <is>
          <t>Various</t>
        </is>
      </c>
      <c r="D270" t="inlineStr">
        <is>
          <t>EXPENSE</t>
        </is>
      </c>
      <c r="E270" t="inlineStr">
        <is>
          <t>Transport</t>
        </is>
      </c>
      <c r="F270" s="5" t="n">
        <v>1419.96</v>
      </c>
      <c r="G270" t="n">
        <v>5</v>
      </c>
      <c r="H270" s="5" t="n">
        <v>71</v>
      </c>
      <c r="I270" s="5" t="n">
        <v>1490.96</v>
      </c>
      <c r="J270" s="5" t="n">
        <v>1490.96</v>
      </c>
      <c r="K270" s="4" t="n">
        <v>46040</v>
      </c>
      <c r="L270" s="5">
        <f>IF(I270="","",I270-J270)</f>
        <v/>
      </c>
      <c r="M270">
        <f>IF(K270="","",K270-B270)</f>
        <v/>
      </c>
    </row>
    <row r="271">
      <c r="A271" t="inlineStr">
        <is>
          <t>E-00053</t>
        </is>
      </c>
      <c r="B271" s="4" t="n">
        <v>46028</v>
      </c>
      <c r="C271" t="inlineStr">
        <is>
          <t>Various</t>
        </is>
      </c>
      <c r="D271" t="inlineStr">
        <is>
          <t>EXPENSE</t>
        </is>
      </c>
      <c r="E271" t="inlineStr">
        <is>
          <t>Transport</t>
        </is>
      </c>
      <c r="F271" s="5" t="n">
        <v>3183.52</v>
      </c>
      <c r="G271" t="n">
        <v>5</v>
      </c>
      <c r="H271" s="5" t="n">
        <v>159.18</v>
      </c>
      <c r="I271" s="5" t="n">
        <v>3342.7</v>
      </c>
      <c r="J271" s="5" t="n">
        <v>3342.7</v>
      </c>
      <c r="K271" s="4" t="n">
        <v>46029</v>
      </c>
      <c r="L271" s="5">
        <f>IF(I271="","",I271-J271)</f>
        <v/>
      </c>
      <c r="M271">
        <f>IF(K271="","",K271-B271)</f>
        <v/>
      </c>
    </row>
    <row r="272">
      <c r="A272" t="inlineStr">
        <is>
          <t>E-00054</t>
        </is>
      </c>
      <c r="B272" s="4" t="n">
        <v>46052</v>
      </c>
      <c r="C272" t="inlineStr">
        <is>
          <t>Various</t>
        </is>
      </c>
      <c r="D272" t="inlineStr">
        <is>
          <t>EXPENSE</t>
        </is>
      </c>
      <c r="E272" t="inlineStr">
        <is>
          <t>Transport</t>
        </is>
      </c>
      <c r="F272" s="5" t="n">
        <v>6573.44</v>
      </c>
      <c r="G272" t="n">
        <v>5</v>
      </c>
      <c r="H272" s="5" t="n">
        <v>328.67</v>
      </c>
      <c r="I272" s="5" t="n">
        <v>6902.11</v>
      </c>
      <c r="J272" s="5" t="n">
        <v>0</v>
      </c>
      <c r="K272" s="4" t="inlineStr"/>
      <c r="L272" s="5">
        <f>IF(I272="","",I272-J272)</f>
        <v/>
      </c>
      <c r="M272">
        <f>IF(K272="","",K272-B272)</f>
        <v/>
      </c>
    </row>
    <row r="273">
      <c r="A273" t="inlineStr">
        <is>
          <t>E-00055</t>
        </is>
      </c>
      <c r="B273" s="4" t="n">
        <v>46040</v>
      </c>
      <c r="C273" t="inlineStr">
        <is>
          <t>Various</t>
        </is>
      </c>
      <c r="D273" t="inlineStr">
        <is>
          <t>EXPENSE</t>
        </is>
      </c>
      <c r="E273" t="inlineStr">
        <is>
          <t>Marketing</t>
        </is>
      </c>
      <c r="F273" s="5" t="n">
        <v>14180.95</v>
      </c>
      <c r="G273" t="n">
        <v>18</v>
      </c>
      <c r="H273" s="5" t="n">
        <v>2552.57</v>
      </c>
      <c r="I273" s="5" t="n">
        <v>16733.52</v>
      </c>
      <c r="J273" s="5" t="n">
        <v>16733.52</v>
      </c>
      <c r="K273" s="4" t="n">
        <v>46042</v>
      </c>
      <c r="L273" s="5">
        <f>IF(I273="","",I273-J273)</f>
        <v/>
      </c>
      <c r="M273">
        <f>IF(K273="","",K273-B273)</f>
        <v/>
      </c>
    </row>
    <row r="274">
      <c r="A274" t="inlineStr">
        <is>
          <t>E-00056</t>
        </is>
      </c>
      <c r="B274" s="4" t="n">
        <v>46046</v>
      </c>
      <c r="C274" t="inlineStr">
        <is>
          <t>Various</t>
        </is>
      </c>
      <c r="D274" t="inlineStr">
        <is>
          <t>EXPENSE</t>
        </is>
      </c>
      <c r="E274" t="inlineStr">
        <is>
          <t>Marketing</t>
        </is>
      </c>
      <c r="F274" s="5" t="n">
        <v>6149.36</v>
      </c>
      <c r="G274" t="n">
        <v>18</v>
      </c>
      <c r="H274" s="5" t="n">
        <v>1106.88</v>
      </c>
      <c r="I274" s="5" t="n">
        <v>7256.24</v>
      </c>
      <c r="J274" s="5" t="n">
        <v>7256.24</v>
      </c>
      <c r="K274" s="4" t="n">
        <v>46054</v>
      </c>
      <c r="L274" s="5">
        <f>IF(I274="","",I274-J274)</f>
        <v/>
      </c>
      <c r="M274">
        <f>IF(K274="","",K274-B274)</f>
        <v/>
      </c>
    </row>
    <row r="275">
      <c r="A275" t="inlineStr">
        <is>
          <t>E-00057</t>
        </is>
      </c>
      <c r="B275" s="4" t="n">
        <v>46036</v>
      </c>
      <c r="C275" t="inlineStr">
        <is>
          <t>Various</t>
        </is>
      </c>
      <c r="D275" t="inlineStr">
        <is>
          <t>EXPENSE</t>
        </is>
      </c>
      <c r="E275" t="inlineStr">
        <is>
          <t>Professional fees</t>
        </is>
      </c>
      <c r="F275" s="5" t="n">
        <v>13537.39</v>
      </c>
      <c r="G275" t="n">
        <v>18</v>
      </c>
      <c r="H275" s="5" t="n">
        <v>2436.73</v>
      </c>
      <c r="I275" s="5" t="n">
        <v>15974.12</v>
      </c>
      <c r="J275" s="5" t="n">
        <v>15974.12</v>
      </c>
      <c r="K275" s="4" t="n">
        <v>46039</v>
      </c>
      <c r="L275" s="5">
        <f>IF(I275="","",I275-J275)</f>
        <v/>
      </c>
      <c r="M275">
        <f>IF(K275="","",K275-B275)</f>
        <v/>
      </c>
    </row>
    <row r="276">
      <c r="A276" t="inlineStr">
        <is>
          <t>E-00058</t>
        </is>
      </c>
      <c r="B276" s="4" t="n">
        <v>46026</v>
      </c>
      <c r="C276" t="inlineStr">
        <is>
          <t>Various</t>
        </is>
      </c>
      <c r="D276" t="inlineStr">
        <is>
          <t>EXPENSE</t>
        </is>
      </c>
      <c r="E276" t="inlineStr">
        <is>
          <t>Misc</t>
        </is>
      </c>
      <c r="F276" s="5" t="n">
        <v>2236.21</v>
      </c>
      <c r="G276" t="n">
        <v>18</v>
      </c>
      <c r="H276" s="5" t="n">
        <v>402.52</v>
      </c>
      <c r="I276" s="5" t="n">
        <v>2638.73</v>
      </c>
      <c r="J276" s="5" t="n">
        <v>2638.73</v>
      </c>
      <c r="K276" s="4" t="n">
        <v>46031</v>
      </c>
      <c r="L276" s="5">
        <f>IF(I276="","",I276-J276)</f>
        <v/>
      </c>
      <c r="M276">
        <f>IF(K276="","",K276-B276)</f>
        <v/>
      </c>
    </row>
    <row r="277">
      <c r="A277" t="inlineStr">
        <is>
          <t>E-00059</t>
        </is>
      </c>
      <c r="B277" s="4" t="n">
        <v>46051</v>
      </c>
      <c r="C277" t="inlineStr">
        <is>
          <t>Various</t>
        </is>
      </c>
      <c r="D277" t="inlineStr">
        <is>
          <t>EXPENSE</t>
        </is>
      </c>
      <c r="E277" t="inlineStr">
        <is>
          <t>Misc</t>
        </is>
      </c>
      <c r="F277" s="5" t="n">
        <v>4935.16</v>
      </c>
      <c r="G277" t="n">
        <v>18</v>
      </c>
      <c r="H277" s="5" t="n">
        <v>888.33</v>
      </c>
      <c r="I277" s="5" t="n">
        <v>5823.49</v>
      </c>
      <c r="J277" s="5" t="n">
        <v>5823.49</v>
      </c>
      <c r="K277" s="4" t="n">
        <v>46054</v>
      </c>
      <c r="L277" s="5">
        <f>IF(I277="","",I277-J277)</f>
        <v/>
      </c>
      <c r="M277">
        <f>IF(K277="","",K277-B277)</f>
        <v/>
      </c>
    </row>
    <row r="278">
      <c r="A278" t="inlineStr">
        <is>
          <t>E-00060</t>
        </is>
      </c>
      <c r="B278" s="4" t="n">
        <v>46053</v>
      </c>
      <c r="C278" t="inlineStr">
        <is>
          <t>Various</t>
        </is>
      </c>
      <c r="D278" t="inlineStr">
        <is>
          <t>EXPENSE</t>
        </is>
      </c>
      <c r="E278" t="inlineStr">
        <is>
          <t>Misc</t>
        </is>
      </c>
      <c r="F278" s="5" t="n">
        <v>1024.37</v>
      </c>
      <c r="G278" t="n">
        <v>18</v>
      </c>
      <c r="H278" s="5" t="n">
        <v>184.39</v>
      </c>
      <c r="I278" s="5" t="n">
        <v>1208.76</v>
      </c>
      <c r="J278" s="5" t="n">
        <v>1208.76</v>
      </c>
      <c r="K278" s="4" t="n">
        <v>46058</v>
      </c>
      <c r="L278" s="5">
        <f>IF(I278="","",I278-J278)</f>
        <v/>
      </c>
      <c r="M278">
        <f>IF(K278="","",K278-B278)</f>
        <v/>
      </c>
    </row>
    <row r="279">
      <c r="A279" t="inlineStr">
        <is>
          <t>S-00150</t>
        </is>
      </c>
      <c r="B279" s="4" t="n">
        <v>46077</v>
      </c>
      <c r="C279" t="inlineStr">
        <is>
          <t>Bhagalpur Silk Centre</t>
        </is>
      </c>
      <c r="D279" t="inlineStr">
        <is>
          <t>SALES</t>
        </is>
      </c>
      <c r="E279" t="inlineStr">
        <is>
          <t>Garments</t>
        </is>
      </c>
      <c r="F279" s="5" t="n">
        <v>69781.44</v>
      </c>
      <c r="G279" t="n">
        <v>12</v>
      </c>
      <c r="H279" s="5" t="n">
        <v>8373.77</v>
      </c>
      <c r="I279" s="5" t="n">
        <v>78155.21000000001</v>
      </c>
      <c r="J279" s="5" t="n">
        <v>78155.21000000001</v>
      </c>
      <c r="K279" s="4" t="n">
        <v>46097</v>
      </c>
      <c r="L279" s="5">
        <f>IF(I279="","",I279-J279)</f>
        <v/>
      </c>
      <c r="M279">
        <f>IF(K279="","",K279-B279)</f>
        <v/>
      </c>
    </row>
    <row r="280">
      <c r="A280" t="inlineStr">
        <is>
          <t>S-00151</t>
        </is>
      </c>
      <c r="B280" s="4" t="n">
        <v>46054</v>
      </c>
      <c r="C280" t="inlineStr">
        <is>
          <t>Bhagalpur Silk Centre</t>
        </is>
      </c>
      <c r="D280" t="inlineStr">
        <is>
          <t>SALES</t>
        </is>
      </c>
      <c r="E280" t="inlineStr">
        <is>
          <t>Fabrics</t>
        </is>
      </c>
      <c r="F280" s="5" t="n">
        <v>31075.05</v>
      </c>
      <c r="G280" t="n">
        <v>5</v>
      </c>
      <c r="H280" s="5" t="n">
        <v>1553.75</v>
      </c>
      <c r="I280" s="5" t="n">
        <v>32628.8</v>
      </c>
      <c r="J280" s="5" t="n">
        <v>20064.38</v>
      </c>
      <c r="K280" s="4" t="n">
        <v>46074</v>
      </c>
      <c r="L280" s="5">
        <f>IF(I280="","",I280-J280)</f>
        <v/>
      </c>
      <c r="M280">
        <f>IF(K280="","",K280-B280)</f>
        <v/>
      </c>
    </row>
    <row r="281">
      <c r="A281" t="inlineStr">
        <is>
          <t>S-00152</t>
        </is>
      </c>
      <c r="B281" s="4" t="n">
        <v>46059</v>
      </c>
      <c r="C281" t="inlineStr">
        <is>
          <t>Darbhanga Dress Point</t>
        </is>
      </c>
      <c r="D281" t="inlineStr">
        <is>
          <t>SALES</t>
        </is>
      </c>
      <c r="E281" t="inlineStr">
        <is>
          <t>Fabrics</t>
        </is>
      </c>
      <c r="F281" s="5" t="n">
        <v>48070.4</v>
      </c>
      <c r="G281" t="n">
        <v>5</v>
      </c>
      <c r="H281" s="5" t="n">
        <v>2403.52</v>
      </c>
      <c r="I281" s="5" t="n">
        <v>50473.92</v>
      </c>
      <c r="J281" s="5" t="n">
        <v>50473.92</v>
      </c>
      <c r="K281" s="4" t="n">
        <v>46121</v>
      </c>
      <c r="L281" s="5">
        <f>IF(I281="","",I281-J281)</f>
        <v/>
      </c>
      <c r="M281">
        <f>IF(K281="","",K281-B281)</f>
        <v/>
      </c>
    </row>
    <row r="282">
      <c r="A282" t="inlineStr">
        <is>
          <t>S-00153</t>
        </is>
      </c>
      <c r="B282" s="4" t="n">
        <v>46078</v>
      </c>
      <c r="C282" t="inlineStr">
        <is>
          <t>Kumkum Saree Sadan</t>
        </is>
      </c>
      <c r="D282" t="inlineStr">
        <is>
          <t>SALES</t>
        </is>
      </c>
      <c r="E282" t="inlineStr">
        <is>
          <t>Garments</t>
        </is>
      </c>
      <c r="F282" s="5" t="n">
        <v>30639.72</v>
      </c>
      <c r="G282" t="n">
        <v>12</v>
      </c>
      <c r="H282" s="5" t="n">
        <v>3676.77</v>
      </c>
      <c r="I282" s="5" t="n">
        <v>34316.49</v>
      </c>
      <c r="J282" s="5" t="n">
        <v>34316.49</v>
      </c>
      <c r="K282" s="4" t="n">
        <v>46105</v>
      </c>
      <c r="L282" s="5">
        <f>IF(I282="","",I282-J282)</f>
        <v/>
      </c>
      <c r="M282">
        <f>IF(K282="","",K282-B282)</f>
        <v/>
      </c>
    </row>
    <row r="283">
      <c r="A283" t="inlineStr">
        <is>
          <t>S-00154</t>
        </is>
      </c>
      <c r="B283" s="4" t="n">
        <v>46079</v>
      </c>
      <c r="C283" t="inlineStr">
        <is>
          <t>Lakshmi Cloth Store</t>
        </is>
      </c>
      <c r="D283" t="inlineStr">
        <is>
          <t>SALES</t>
        </is>
      </c>
      <c r="E283" t="inlineStr">
        <is>
          <t>Garments</t>
        </is>
      </c>
      <c r="F283" s="5" t="n">
        <v>87952.94</v>
      </c>
      <c r="G283" t="n">
        <v>12</v>
      </c>
      <c r="H283" s="5" t="n">
        <v>10554.35</v>
      </c>
      <c r="I283" s="5" t="n">
        <v>98507.28999999999</v>
      </c>
      <c r="J283" s="5" t="n">
        <v>98507.28999999999</v>
      </c>
      <c r="K283" s="4" t="n">
        <v>46113</v>
      </c>
      <c r="L283" s="5">
        <f>IF(I283="","",I283-J283)</f>
        <v/>
      </c>
      <c r="M283">
        <f>IF(K283="","",K283-B283)</f>
        <v/>
      </c>
    </row>
    <row r="284">
      <c r="A284" t="inlineStr">
        <is>
          <t>S-00155</t>
        </is>
      </c>
      <c r="B284" s="4" t="n">
        <v>46070</v>
      </c>
      <c r="C284" t="inlineStr">
        <is>
          <t>City Centre Apparel</t>
        </is>
      </c>
      <c r="D284" t="inlineStr">
        <is>
          <t>SALES</t>
        </is>
      </c>
      <c r="E284" t="inlineStr">
        <is>
          <t>Fabrics</t>
        </is>
      </c>
      <c r="F284" s="5" t="n">
        <v>92212.75999999999</v>
      </c>
      <c r="G284" t="n">
        <v>5</v>
      </c>
      <c r="H284" s="5" t="n">
        <v>4610.64</v>
      </c>
      <c r="I284" s="5" t="n">
        <v>96823.39999999999</v>
      </c>
      <c r="J284" s="5" t="n">
        <v>96823.39999999999</v>
      </c>
      <c r="K284" s="4" t="n">
        <v>46096</v>
      </c>
      <c r="L284" s="5">
        <f>IF(I284="","",I284-J284)</f>
        <v/>
      </c>
      <c r="M284">
        <f>IF(K284="","",K284-B284)</f>
        <v/>
      </c>
    </row>
    <row r="285">
      <c r="A285" t="inlineStr">
        <is>
          <t>S-00156</t>
        </is>
      </c>
      <c r="B285" s="4" t="n">
        <v>46072</v>
      </c>
      <c r="C285" t="inlineStr">
        <is>
          <t>Trendy Threads</t>
        </is>
      </c>
      <c r="D285" t="inlineStr">
        <is>
          <t>SALES</t>
        </is>
      </c>
      <c r="E285" t="inlineStr">
        <is>
          <t>Fabrics</t>
        </is>
      </c>
      <c r="F285" s="5" t="n">
        <v>74574.64</v>
      </c>
      <c r="G285" t="n">
        <v>5</v>
      </c>
      <c r="H285" s="5" t="n">
        <v>3728.73</v>
      </c>
      <c r="I285" s="5" t="n">
        <v>78303.37</v>
      </c>
      <c r="J285" s="5" t="n">
        <v>78303.37</v>
      </c>
      <c r="K285" s="4" t="n">
        <v>46135</v>
      </c>
      <c r="L285" s="5">
        <f>IF(I285="","",I285-J285)</f>
        <v/>
      </c>
      <c r="M285">
        <f>IF(K285="","",K285-B285)</f>
        <v/>
      </c>
    </row>
    <row r="286">
      <c r="A286" t="inlineStr">
        <is>
          <t>S-00157</t>
        </is>
      </c>
      <c r="B286" s="4" t="n">
        <v>46065</v>
      </c>
      <c r="C286" t="inlineStr">
        <is>
          <t>Bhagalpur Silk Centre</t>
        </is>
      </c>
      <c r="D286" t="inlineStr">
        <is>
          <t>SALES</t>
        </is>
      </c>
      <c r="E286" t="inlineStr">
        <is>
          <t>Fabrics</t>
        </is>
      </c>
      <c r="F286" s="5" t="n">
        <v>80244.98</v>
      </c>
      <c r="G286" t="n">
        <v>5</v>
      </c>
      <c r="H286" s="5" t="n">
        <v>4012.25</v>
      </c>
      <c r="I286" s="5" t="n">
        <v>84257.23</v>
      </c>
      <c r="J286" s="5" t="n">
        <v>0</v>
      </c>
      <c r="K286" s="4" t="inlineStr"/>
      <c r="L286" s="5">
        <f>IF(I286="","",I286-J286)</f>
        <v/>
      </c>
      <c r="M286">
        <f>IF(K286="","",K286-B286)</f>
        <v/>
      </c>
    </row>
    <row r="287">
      <c r="A287" t="inlineStr">
        <is>
          <t>S-00158</t>
        </is>
      </c>
      <c r="B287" s="4" t="n">
        <v>46055</v>
      </c>
      <c r="C287" t="inlineStr">
        <is>
          <t>Gaya Textile Traders</t>
        </is>
      </c>
      <c r="D287" t="inlineStr">
        <is>
          <t>SALES</t>
        </is>
      </c>
      <c r="E287" t="inlineStr">
        <is>
          <t>Garments</t>
        </is>
      </c>
      <c r="F287" s="5" t="n">
        <v>26402.81</v>
      </c>
      <c r="G287" t="n">
        <v>12</v>
      </c>
      <c r="H287" s="5" t="n">
        <v>3168.34</v>
      </c>
      <c r="I287" s="5" t="n">
        <v>29571.15</v>
      </c>
      <c r="J287" s="5" t="n">
        <v>29571.15</v>
      </c>
      <c r="K287" s="4" t="n">
        <v>46077</v>
      </c>
      <c r="L287" s="5">
        <f>IF(I287="","",I287-J287)</f>
        <v/>
      </c>
      <c r="M287">
        <f>IF(K287="","",K287-B287)</f>
        <v/>
      </c>
    </row>
    <row r="288">
      <c r="A288" t="inlineStr">
        <is>
          <t>S-00159</t>
        </is>
      </c>
      <c r="B288" s="4" t="n">
        <v>46056</v>
      </c>
      <c r="C288" t="inlineStr">
        <is>
          <t>New Look Garments</t>
        </is>
      </c>
      <c r="D288" t="inlineStr">
        <is>
          <t>SALES</t>
        </is>
      </c>
      <c r="E288" t="inlineStr">
        <is>
          <t>Garments</t>
        </is>
      </c>
      <c r="F288" s="5" t="n">
        <v>31549.99</v>
      </c>
      <c r="G288" t="n">
        <v>12</v>
      </c>
      <c r="H288" s="5" t="n">
        <v>3786</v>
      </c>
      <c r="I288" s="5" t="n">
        <v>35335.99</v>
      </c>
      <c r="J288" s="5" t="n">
        <v>22195.73</v>
      </c>
      <c r="K288" s="4" t="n">
        <v>46081</v>
      </c>
      <c r="L288" s="5">
        <f>IF(I288="","",I288-J288)</f>
        <v/>
      </c>
      <c r="M288">
        <f>IF(K288="","",K288-B288)</f>
        <v/>
      </c>
    </row>
    <row r="289">
      <c r="A289" t="inlineStr">
        <is>
          <t>S-00160</t>
        </is>
      </c>
      <c r="B289" s="4" t="n">
        <v>46065</v>
      </c>
      <c r="C289" t="inlineStr">
        <is>
          <t>Darbhanga Dress Point</t>
        </is>
      </c>
      <c r="D289" t="inlineStr">
        <is>
          <t>SALES</t>
        </is>
      </c>
      <c r="E289" t="inlineStr">
        <is>
          <t>Fabrics</t>
        </is>
      </c>
      <c r="F289" s="5" t="n">
        <v>67953.39</v>
      </c>
      <c r="G289" t="n">
        <v>5</v>
      </c>
      <c r="H289" s="5" t="n">
        <v>3397.67</v>
      </c>
      <c r="I289" s="5" t="n">
        <v>71351.06</v>
      </c>
      <c r="J289" s="5" t="n">
        <v>71351.06</v>
      </c>
      <c r="K289" s="4" t="n">
        <v>46115</v>
      </c>
      <c r="L289" s="5">
        <f>IF(I289="","",I289-J289)</f>
        <v/>
      </c>
      <c r="M289">
        <f>IF(K289="","",K289-B289)</f>
        <v/>
      </c>
    </row>
    <row r="290">
      <c r="A290" t="inlineStr">
        <is>
          <t>S-00161</t>
        </is>
      </c>
      <c r="B290" s="4" t="n">
        <v>46054</v>
      </c>
      <c r="C290" t="inlineStr">
        <is>
          <t>Vishal Mega Mart (franchise)</t>
        </is>
      </c>
      <c r="D290" t="inlineStr">
        <is>
          <t>SALES</t>
        </is>
      </c>
      <c r="E290" t="inlineStr">
        <is>
          <t>Fabrics</t>
        </is>
      </c>
      <c r="F290" s="5" t="n">
        <v>51985.08</v>
      </c>
      <c r="G290" t="n">
        <v>5</v>
      </c>
      <c r="H290" s="5" t="n">
        <v>2599.25</v>
      </c>
      <c r="I290" s="5" t="n">
        <v>54584.33</v>
      </c>
      <c r="J290" s="5" t="n">
        <v>54584.33</v>
      </c>
      <c r="K290" s="4" t="n">
        <v>46104</v>
      </c>
      <c r="L290" s="5">
        <f>IF(I290="","",I290-J290)</f>
        <v/>
      </c>
      <c r="M290">
        <f>IF(K290="","",K290-B290)</f>
        <v/>
      </c>
    </row>
    <row r="291">
      <c r="A291" t="inlineStr">
        <is>
          <t>S-00162</t>
        </is>
      </c>
      <c r="B291" s="4" t="n">
        <v>46058</v>
      </c>
      <c r="C291" t="inlineStr">
        <is>
          <t>Muzaffarpur Cloth House</t>
        </is>
      </c>
      <c r="D291" t="inlineStr">
        <is>
          <t>SALES</t>
        </is>
      </c>
      <c r="E291" t="inlineStr">
        <is>
          <t>Garments</t>
        </is>
      </c>
      <c r="F291" s="5" t="n">
        <v>90665.12</v>
      </c>
      <c r="G291" t="n">
        <v>12</v>
      </c>
      <c r="H291" s="5" t="n">
        <v>10879.81</v>
      </c>
      <c r="I291" s="5" t="n">
        <v>101544.93</v>
      </c>
      <c r="J291" s="5" t="n">
        <v>0</v>
      </c>
      <c r="K291" s="4" t="inlineStr"/>
      <c r="L291" s="5">
        <f>IF(I291="","",I291-J291)</f>
        <v/>
      </c>
      <c r="M291">
        <f>IF(K291="","",K291-B291)</f>
        <v/>
      </c>
    </row>
    <row r="292">
      <c r="A292" t="inlineStr">
        <is>
          <t>S-00163</t>
        </is>
      </c>
      <c r="B292" s="4" t="n">
        <v>46079</v>
      </c>
      <c r="C292" t="inlineStr">
        <is>
          <t>Vishal Mega Mart (franchise)</t>
        </is>
      </c>
      <c r="D292" t="inlineStr">
        <is>
          <t>SALES</t>
        </is>
      </c>
      <c r="E292" t="inlineStr">
        <is>
          <t>Fabrics</t>
        </is>
      </c>
      <c r="F292" s="5" t="n">
        <v>15955.68</v>
      </c>
      <c r="G292" t="n">
        <v>5</v>
      </c>
      <c r="H292" s="5" t="n">
        <v>797.78</v>
      </c>
      <c r="I292" s="5" t="n">
        <v>16753.46</v>
      </c>
      <c r="J292" s="5" t="n">
        <v>16753.46</v>
      </c>
      <c r="K292" s="4" t="n">
        <v>46128</v>
      </c>
      <c r="L292" s="5">
        <f>IF(I292="","",I292-J292)</f>
        <v/>
      </c>
      <c r="M292">
        <f>IF(K292="","",K292-B292)</f>
        <v/>
      </c>
    </row>
    <row r="293">
      <c r="A293" t="inlineStr">
        <is>
          <t>S-00164</t>
        </is>
      </c>
      <c r="B293" s="4" t="n">
        <v>46056</v>
      </c>
      <c r="C293" t="inlineStr">
        <is>
          <t>Muzaffarpur Cloth House</t>
        </is>
      </c>
      <c r="D293" t="inlineStr">
        <is>
          <t>SALES</t>
        </is>
      </c>
      <c r="E293" t="inlineStr">
        <is>
          <t>Garments</t>
        </is>
      </c>
      <c r="F293" s="5" t="n">
        <v>63684.18</v>
      </c>
      <c r="G293" t="n">
        <v>12</v>
      </c>
      <c r="H293" s="5" t="n">
        <v>7642.1</v>
      </c>
      <c r="I293" s="5" t="n">
        <v>71326.28</v>
      </c>
      <c r="J293" s="5" t="n">
        <v>71326.28</v>
      </c>
      <c r="K293" s="4" t="n">
        <v>46081</v>
      </c>
      <c r="L293" s="5">
        <f>IF(I293="","",I293-J293)</f>
        <v/>
      </c>
      <c r="M293">
        <f>IF(K293="","",K293-B293)</f>
        <v/>
      </c>
    </row>
    <row r="294">
      <c r="A294" t="inlineStr">
        <is>
          <t>S-00165</t>
        </is>
      </c>
      <c r="B294" s="4" t="n">
        <v>46058</v>
      </c>
      <c r="C294" t="inlineStr">
        <is>
          <t>Kumkum Saree Sadan</t>
        </is>
      </c>
      <c r="D294" t="inlineStr">
        <is>
          <t>SALES</t>
        </is>
      </c>
      <c r="E294" t="inlineStr">
        <is>
          <t>Garments</t>
        </is>
      </c>
      <c r="F294" s="5" t="n">
        <v>46373.17</v>
      </c>
      <c r="G294" t="n">
        <v>12</v>
      </c>
      <c r="H294" s="5" t="n">
        <v>5564.78</v>
      </c>
      <c r="I294" s="5" t="n">
        <v>51937.95</v>
      </c>
      <c r="J294" s="5" t="n">
        <v>0</v>
      </c>
      <c r="K294" s="4" t="inlineStr"/>
      <c r="L294" s="5">
        <f>IF(I294="","",I294-J294)</f>
        <v/>
      </c>
      <c r="M294">
        <f>IF(K294="","",K294-B294)</f>
        <v/>
      </c>
    </row>
    <row r="295">
      <c r="A295" t="inlineStr">
        <is>
          <t>S-00166</t>
        </is>
      </c>
      <c r="B295" s="4" t="n">
        <v>46078</v>
      </c>
      <c r="C295" t="inlineStr">
        <is>
          <t>Patna Fashion House</t>
        </is>
      </c>
      <c r="D295" t="inlineStr">
        <is>
          <t>SALES</t>
        </is>
      </c>
      <c r="E295" t="inlineStr">
        <is>
          <t>Fabrics</t>
        </is>
      </c>
      <c r="F295" s="5" t="n">
        <v>93390.34</v>
      </c>
      <c r="G295" t="n">
        <v>5</v>
      </c>
      <c r="H295" s="5" t="n">
        <v>4669.52</v>
      </c>
      <c r="I295" s="5" t="n">
        <v>98059.86</v>
      </c>
      <c r="J295" s="5" t="n">
        <v>98059.86</v>
      </c>
      <c r="K295" s="4" t="n">
        <v>46102</v>
      </c>
      <c r="L295" s="5">
        <f>IF(I295="","",I295-J295)</f>
        <v/>
      </c>
      <c r="M295">
        <f>IF(K295="","",K295-B295)</f>
        <v/>
      </c>
    </row>
    <row r="296">
      <c r="A296" t="inlineStr">
        <is>
          <t>S-00167</t>
        </is>
      </c>
      <c r="B296" s="4" t="n">
        <v>46065</v>
      </c>
      <c r="C296" t="inlineStr">
        <is>
          <t>Muzaffarpur Cloth House</t>
        </is>
      </c>
      <c r="D296" t="inlineStr">
        <is>
          <t>SALES</t>
        </is>
      </c>
      <c r="E296" t="inlineStr">
        <is>
          <t>Fabrics</t>
        </is>
      </c>
      <c r="F296" s="5" t="n">
        <v>11780.4</v>
      </c>
      <c r="G296" t="n">
        <v>5</v>
      </c>
      <c r="H296" s="5" t="n">
        <v>589.02</v>
      </c>
      <c r="I296" s="5" t="n">
        <v>12369.42</v>
      </c>
      <c r="J296" s="5" t="n">
        <v>12369.42</v>
      </c>
      <c r="K296" s="4" t="n">
        <v>46098</v>
      </c>
      <c r="L296" s="5">
        <f>IF(I296="","",I296-J296)</f>
        <v/>
      </c>
      <c r="M296">
        <f>IF(K296="","",K296-B296)</f>
        <v/>
      </c>
    </row>
    <row r="297">
      <c r="A297" t="inlineStr">
        <is>
          <t>S-00168</t>
        </is>
      </c>
      <c r="B297" s="4" t="n">
        <v>46074</v>
      </c>
      <c r="C297" t="inlineStr">
        <is>
          <t>City Centre Apparel</t>
        </is>
      </c>
      <c r="D297" t="inlineStr">
        <is>
          <t>SALES</t>
        </is>
      </c>
      <c r="E297" t="inlineStr">
        <is>
          <t>Fabrics</t>
        </is>
      </c>
      <c r="F297" s="5" t="n">
        <v>80167.19</v>
      </c>
      <c r="G297" t="n">
        <v>5</v>
      </c>
      <c r="H297" s="5" t="n">
        <v>4008.36</v>
      </c>
      <c r="I297" s="5" t="n">
        <v>84175.55</v>
      </c>
      <c r="J297" s="5" t="n">
        <v>84175.55</v>
      </c>
      <c r="K297" s="4" t="n">
        <v>46136</v>
      </c>
      <c r="L297" s="5">
        <f>IF(I297="","",I297-J297)</f>
        <v/>
      </c>
      <c r="M297">
        <f>IF(K297="","",K297-B297)</f>
        <v/>
      </c>
    </row>
    <row r="298">
      <c r="A298" t="inlineStr">
        <is>
          <t>S-00169</t>
        </is>
      </c>
      <c r="B298" s="4" t="n">
        <v>46060</v>
      </c>
      <c r="C298" t="inlineStr">
        <is>
          <t>Bazaar Collection</t>
        </is>
      </c>
      <c r="D298" t="inlineStr">
        <is>
          <t>SALES</t>
        </is>
      </c>
      <c r="E298" t="inlineStr">
        <is>
          <t>Garments</t>
        </is>
      </c>
      <c r="F298" s="5" t="n">
        <v>31826.41</v>
      </c>
      <c r="G298" t="n">
        <v>12</v>
      </c>
      <c r="H298" s="5" t="n">
        <v>3819.17</v>
      </c>
      <c r="I298" s="5" t="n">
        <v>35645.58</v>
      </c>
      <c r="J298" s="5" t="n">
        <v>35645.58</v>
      </c>
      <c r="K298" s="4" t="n">
        <v>46083</v>
      </c>
      <c r="L298" s="5">
        <f>IF(I298="","",I298-J298)</f>
        <v/>
      </c>
      <c r="M298">
        <f>IF(K298="","",K298-B298)</f>
        <v/>
      </c>
    </row>
    <row r="299">
      <c r="A299" t="inlineStr">
        <is>
          <t>S-00170</t>
        </is>
      </c>
      <c r="B299" s="4" t="n">
        <v>46058</v>
      </c>
      <c r="C299" t="inlineStr">
        <is>
          <t>Bazaar Collection</t>
        </is>
      </c>
      <c r="D299" t="inlineStr">
        <is>
          <t>SALES</t>
        </is>
      </c>
      <c r="E299" t="inlineStr">
        <is>
          <t>Garments</t>
        </is>
      </c>
      <c r="F299" s="5" t="n">
        <v>78570.61</v>
      </c>
      <c r="G299" t="n">
        <v>12</v>
      </c>
      <c r="H299" s="5" t="n">
        <v>9428.469999999999</v>
      </c>
      <c r="I299" s="5" t="n">
        <v>87999.08</v>
      </c>
      <c r="J299" s="5" t="n">
        <v>87999.08</v>
      </c>
      <c r="K299" s="4" t="n">
        <v>46081</v>
      </c>
      <c r="L299" s="5">
        <f>IF(I299="","",I299-J299)</f>
        <v/>
      </c>
      <c r="M299">
        <f>IF(K299="","",K299-B299)</f>
        <v/>
      </c>
    </row>
    <row r="300">
      <c r="A300" t="inlineStr">
        <is>
          <t>S-00171</t>
        </is>
      </c>
      <c r="B300" s="4" t="n">
        <v>46060</v>
      </c>
      <c r="C300" t="inlineStr">
        <is>
          <t>Purnia Fashion Hub</t>
        </is>
      </c>
      <c r="D300" t="inlineStr">
        <is>
          <t>SALES</t>
        </is>
      </c>
      <c r="E300" t="inlineStr">
        <is>
          <t>Fabrics</t>
        </is>
      </c>
      <c r="F300" s="5" t="n">
        <v>69432.39</v>
      </c>
      <c r="G300" t="n">
        <v>5</v>
      </c>
      <c r="H300" s="5" t="n">
        <v>3471.62</v>
      </c>
      <c r="I300" s="5" t="n">
        <v>72904.00999999999</v>
      </c>
      <c r="J300" s="5" t="n">
        <v>0</v>
      </c>
      <c r="K300" s="4" t="inlineStr"/>
      <c r="L300" s="5">
        <f>IF(I300="","",I300-J300)</f>
        <v/>
      </c>
      <c r="M300">
        <f>IF(K300="","",K300-B300)</f>
        <v/>
      </c>
    </row>
    <row r="301">
      <c r="A301" t="inlineStr">
        <is>
          <t>S-00172</t>
        </is>
      </c>
      <c r="B301" s="4" t="n">
        <v>46074</v>
      </c>
      <c r="C301" t="inlineStr">
        <is>
          <t>Lakshmi Cloth Store</t>
        </is>
      </c>
      <c r="D301" t="inlineStr">
        <is>
          <t>SALES</t>
        </is>
      </c>
      <c r="E301" t="inlineStr">
        <is>
          <t>Garments</t>
        </is>
      </c>
      <c r="F301" s="5" t="n">
        <v>23636.15</v>
      </c>
      <c r="G301" t="n">
        <v>12</v>
      </c>
      <c r="H301" s="5" t="n">
        <v>2836.34</v>
      </c>
      <c r="I301" s="5" t="n">
        <v>26472.49</v>
      </c>
      <c r="J301" s="5" t="n">
        <v>26472.49</v>
      </c>
      <c r="K301" s="4" t="n">
        <v>46110</v>
      </c>
      <c r="L301" s="5">
        <f>IF(I301="","",I301-J301)</f>
        <v/>
      </c>
      <c r="M301">
        <f>IF(K301="","",K301-B301)</f>
        <v/>
      </c>
    </row>
    <row r="302">
      <c r="A302" t="inlineStr">
        <is>
          <t>S-00173</t>
        </is>
      </c>
      <c r="B302" s="4" t="n">
        <v>46079</v>
      </c>
      <c r="C302" t="inlineStr">
        <is>
          <t>Darbhanga Dress Point</t>
        </is>
      </c>
      <c r="D302" t="inlineStr">
        <is>
          <t>SALES</t>
        </is>
      </c>
      <c r="E302" t="inlineStr">
        <is>
          <t>Fabrics</t>
        </is>
      </c>
      <c r="F302" s="5" t="n">
        <v>78436.7</v>
      </c>
      <c r="G302" t="n">
        <v>5</v>
      </c>
      <c r="H302" s="5" t="n">
        <v>3921.84</v>
      </c>
      <c r="I302" s="5" t="n">
        <v>82358.53999999999</v>
      </c>
      <c r="J302" s="5" t="n">
        <v>59777</v>
      </c>
      <c r="K302" s="4" t="n">
        <v>46093</v>
      </c>
      <c r="L302" s="5">
        <f>IF(I302="","",I302-J302)</f>
        <v/>
      </c>
      <c r="M302">
        <f>IF(K302="","",K302-B302)</f>
        <v/>
      </c>
    </row>
    <row r="303">
      <c r="A303" t="inlineStr">
        <is>
          <t>S-00174</t>
        </is>
      </c>
      <c r="B303" s="4" t="n">
        <v>46071</v>
      </c>
      <c r="C303" t="inlineStr">
        <is>
          <t>Patna Fashion House</t>
        </is>
      </c>
      <c r="D303" t="inlineStr">
        <is>
          <t>SALES</t>
        </is>
      </c>
      <c r="E303" t="inlineStr">
        <is>
          <t>Garments</t>
        </is>
      </c>
      <c r="F303" s="5" t="n">
        <v>81139.83</v>
      </c>
      <c r="G303" t="n">
        <v>12</v>
      </c>
      <c r="H303" s="5" t="n">
        <v>9736.780000000001</v>
      </c>
      <c r="I303" s="5" t="n">
        <v>90876.61</v>
      </c>
      <c r="J303" s="5" t="n">
        <v>90876.61</v>
      </c>
      <c r="K303" s="4" t="n">
        <v>46130</v>
      </c>
      <c r="L303" s="5">
        <f>IF(I303="","",I303-J303)</f>
        <v/>
      </c>
      <c r="M303">
        <f>IF(K303="","",K303-B303)</f>
        <v/>
      </c>
    </row>
    <row r="304">
      <c r="A304" t="inlineStr">
        <is>
          <t>S-00175</t>
        </is>
      </c>
      <c r="B304" s="4" t="n">
        <v>46075</v>
      </c>
      <c r="C304" t="inlineStr">
        <is>
          <t>Bazaar Collection</t>
        </is>
      </c>
      <c r="D304" t="inlineStr">
        <is>
          <t>SALES</t>
        </is>
      </c>
      <c r="E304" t="inlineStr">
        <is>
          <t>Accessories</t>
        </is>
      </c>
      <c r="F304" s="5" t="n">
        <v>34046.21</v>
      </c>
      <c r="G304" t="n">
        <v>12</v>
      </c>
      <c r="H304" s="5" t="n">
        <v>4085.55</v>
      </c>
      <c r="I304" s="5" t="n">
        <v>38131.76</v>
      </c>
      <c r="J304" s="5" t="n">
        <v>38131.76</v>
      </c>
      <c r="K304" s="4" t="n">
        <v>46096</v>
      </c>
      <c r="L304" s="5">
        <f>IF(I304="","",I304-J304)</f>
        <v/>
      </c>
      <c r="M304">
        <f>IF(K304="","",K304-B304)</f>
        <v/>
      </c>
    </row>
    <row r="305">
      <c r="A305" t="inlineStr">
        <is>
          <t>S-00176</t>
        </is>
      </c>
      <c r="B305" s="4" t="n">
        <v>46073</v>
      </c>
      <c r="C305" t="inlineStr">
        <is>
          <t>Sharma Retail Store</t>
        </is>
      </c>
      <c r="D305" t="inlineStr">
        <is>
          <t>SALES</t>
        </is>
      </c>
      <c r="E305" t="inlineStr">
        <is>
          <t>Garments</t>
        </is>
      </c>
      <c r="F305" s="5" t="n">
        <v>43719.97</v>
      </c>
      <c r="G305" t="n">
        <v>12</v>
      </c>
      <c r="H305" s="5" t="n">
        <v>5246.4</v>
      </c>
      <c r="I305" s="5" t="n">
        <v>48966.37</v>
      </c>
      <c r="J305" s="5" t="n">
        <v>48966.37</v>
      </c>
      <c r="K305" s="4" t="n">
        <v>46107</v>
      </c>
      <c r="L305" s="5">
        <f>IF(I305="","",I305-J305)</f>
        <v/>
      </c>
      <c r="M305">
        <f>IF(K305="","",K305-B305)</f>
        <v/>
      </c>
    </row>
    <row r="306">
      <c r="A306" t="inlineStr">
        <is>
          <t>S-00177</t>
        </is>
      </c>
      <c r="B306" s="4" t="n">
        <v>46055</v>
      </c>
      <c r="C306" t="inlineStr">
        <is>
          <t>Patna Fashion House</t>
        </is>
      </c>
      <c r="D306" t="inlineStr">
        <is>
          <t>SALES</t>
        </is>
      </c>
      <c r="E306" t="inlineStr">
        <is>
          <t>Garments</t>
        </is>
      </c>
      <c r="F306" s="5" t="n">
        <v>86107.23</v>
      </c>
      <c r="G306" t="n">
        <v>12</v>
      </c>
      <c r="H306" s="5" t="n">
        <v>10332.87</v>
      </c>
      <c r="I306" s="5" t="n">
        <v>96440.10000000001</v>
      </c>
      <c r="J306" s="5" t="n">
        <v>96440.10000000001</v>
      </c>
      <c r="K306" s="4" t="n">
        <v>46082</v>
      </c>
      <c r="L306" s="5">
        <f>IF(I306="","",I306-J306)</f>
        <v/>
      </c>
      <c r="M306">
        <f>IF(K306="","",K306-B306)</f>
        <v/>
      </c>
    </row>
    <row r="307">
      <c r="A307" t="inlineStr">
        <is>
          <t>S-00178</t>
        </is>
      </c>
      <c r="B307" s="4" t="n">
        <v>46076</v>
      </c>
      <c r="C307" t="inlineStr">
        <is>
          <t>Bazaar Collection</t>
        </is>
      </c>
      <c r="D307" t="inlineStr">
        <is>
          <t>SALES</t>
        </is>
      </c>
      <c r="E307" t="inlineStr">
        <is>
          <t>Fabrics</t>
        </is>
      </c>
      <c r="F307" s="5" t="n">
        <v>87508.23</v>
      </c>
      <c r="G307" t="n">
        <v>5</v>
      </c>
      <c r="H307" s="5" t="n">
        <v>4375.41</v>
      </c>
      <c r="I307" s="5" t="n">
        <v>91883.64</v>
      </c>
      <c r="J307" s="5" t="n">
        <v>91883.64</v>
      </c>
      <c r="K307" s="4" t="n">
        <v>46118</v>
      </c>
      <c r="L307" s="5">
        <f>IF(I307="","",I307-J307)</f>
        <v/>
      </c>
      <c r="M307">
        <f>IF(K307="","",K307-B307)</f>
        <v/>
      </c>
    </row>
    <row r="308">
      <c r="A308" t="inlineStr">
        <is>
          <t>S-00179</t>
        </is>
      </c>
      <c r="B308" s="4" t="n">
        <v>46078</v>
      </c>
      <c r="C308" t="inlineStr">
        <is>
          <t>Purnia Fashion Hub</t>
        </is>
      </c>
      <c r="D308" t="inlineStr">
        <is>
          <t>SALES</t>
        </is>
      </c>
      <c r="E308" t="inlineStr">
        <is>
          <t>Garments</t>
        </is>
      </c>
      <c r="F308" s="5" t="n">
        <v>70840.22</v>
      </c>
      <c r="G308" t="n">
        <v>12</v>
      </c>
      <c r="H308" s="5" t="n">
        <v>8500.83</v>
      </c>
      <c r="I308" s="5" t="n">
        <v>79341.05</v>
      </c>
      <c r="J308" s="5" t="n">
        <v>79341.05</v>
      </c>
      <c r="K308" s="4" t="n">
        <v>46136</v>
      </c>
      <c r="L308" s="5">
        <f>IF(I308="","",I308-J308)</f>
        <v/>
      </c>
      <c r="M308">
        <f>IF(K308="","",K308-B308)</f>
        <v/>
      </c>
    </row>
    <row r="309">
      <c r="A309" t="inlineStr">
        <is>
          <t>S-00180</t>
        </is>
      </c>
      <c r="B309" s="4" t="n">
        <v>46068</v>
      </c>
      <c r="C309" t="inlineStr">
        <is>
          <t>Kumkum Saree Sadan</t>
        </is>
      </c>
      <c r="D309" t="inlineStr">
        <is>
          <t>SALES</t>
        </is>
      </c>
      <c r="E309" t="inlineStr">
        <is>
          <t>Fabrics</t>
        </is>
      </c>
      <c r="F309" s="5" t="n">
        <v>52762.63</v>
      </c>
      <c r="G309" t="n">
        <v>5</v>
      </c>
      <c r="H309" s="5" t="n">
        <v>2638.13</v>
      </c>
      <c r="I309" s="5" t="n">
        <v>55400.76</v>
      </c>
      <c r="J309" s="5" t="n">
        <v>55400.76</v>
      </c>
      <c r="K309" s="4" t="n">
        <v>46093</v>
      </c>
      <c r="L309" s="5">
        <f>IF(I309="","",I309-J309)</f>
        <v/>
      </c>
      <c r="M309">
        <f>IF(K309="","",K309-B309)</f>
        <v/>
      </c>
    </row>
    <row r="310">
      <c r="A310" t="inlineStr">
        <is>
          <t>S-00181</t>
        </is>
      </c>
      <c r="B310" s="4" t="n">
        <v>46074</v>
      </c>
      <c r="C310" t="inlineStr">
        <is>
          <t>New Look Garments</t>
        </is>
      </c>
      <c r="D310" t="inlineStr">
        <is>
          <t>SALES</t>
        </is>
      </c>
      <c r="E310" t="inlineStr">
        <is>
          <t>Garments</t>
        </is>
      </c>
      <c r="F310" s="5" t="n">
        <v>82416.49000000001</v>
      </c>
      <c r="G310" t="n">
        <v>12</v>
      </c>
      <c r="H310" s="5" t="n">
        <v>9889.98</v>
      </c>
      <c r="I310" s="5" t="n">
        <v>92306.47</v>
      </c>
      <c r="J310" s="5" t="n">
        <v>92306.47</v>
      </c>
      <c r="K310" s="4" t="n">
        <v>46106</v>
      </c>
      <c r="L310" s="5">
        <f>IF(I310="","",I310-J310)</f>
        <v/>
      </c>
      <c r="M310">
        <f>IF(K310="","",K310-B310)</f>
        <v/>
      </c>
    </row>
    <row r="311">
      <c r="A311" t="inlineStr">
        <is>
          <t>S-00182</t>
        </is>
      </c>
      <c r="B311" s="4" t="n">
        <v>46078</v>
      </c>
      <c r="C311" t="inlineStr">
        <is>
          <t>New Look Garments</t>
        </is>
      </c>
      <c r="D311" t="inlineStr">
        <is>
          <t>SALES</t>
        </is>
      </c>
      <c r="E311" t="inlineStr">
        <is>
          <t>Accessories</t>
        </is>
      </c>
      <c r="F311" s="5" t="n">
        <v>59180.36</v>
      </c>
      <c r="G311" t="n">
        <v>12</v>
      </c>
      <c r="H311" s="5" t="n">
        <v>7101.64</v>
      </c>
      <c r="I311" s="5" t="n">
        <v>66282</v>
      </c>
      <c r="J311" s="5" t="n">
        <v>45304.96</v>
      </c>
      <c r="K311" s="4" t="n">
        <v>46106</v>
      </c>
      <c r="L311" s="5">
        <f>IF(I311="","",I311-J311)</f>
        <v/>
      </c>
      <c r="M311">
        <f>IF(K311="","",K311-B311)</f>
        <v/>
      </c>
    </row>
    <row r="312">
      <c r="A312" t="inlineStr">
        <is>
          <t>S-00183</t>
        </is>
      </c>
      <c r="B312" s="4" t="n">
        <v>46079</v>
      </c>
      <c r="C312" t="inlineStr">
        <is>
          <t>Kumkum Saree Sadan</t>
        </is>
      </c>
      <c r="D312" t="inlineStr">
        <is>
          <t>SALES</t>
        </is>
      </c>
      <c r="E312" t="inlineStr">
        <is>
          <t>Garments</t>
        </is>
      </c>
      <c r="F312" s="5" t="n">
        <v>74886.08</v>
      </c>
      <c r="G312" t="n">
        <v>12</v>
      </c>
      <c r="H312" s="5" t="n">
        <v>8986.33</v>
      </c>
      <c r="I312" s="5" t="n">
        <v>83872.41</v>
      </c>
      <c r="J312" s="5" t="n">
        <v>83872.41</v>
      </c>
      <c r="K312" s="4" t="n">
        <v>46096</v>
      </c>
      <c r="L312" s="5">
        <f>IF(I312="","",I312-J312)</f>
        <v/>
      </c>
      <c r="M312">
        <f>IF(K312="","",K312-B312)</f>
        <v/>
      </c>
    </row>
    <row r="313">
      <c r="A313" t="inlineStr">
        <is>
          <t>S-00184</t>
        </is>
      </c>
      <c r="B313" s="4" t="n">
        <v>46077</v>
      </c>
      <c r="C313" t="inlineStr">
        <is>
          <t>Lakshmi Cloth Store</t>
        </is>
      </c>
      <c r="D313" t="inlineStr">
        <is>
          <t>SALES</t>
        </is>
      </c>
      <c r="E313" t="inlineStr">
        <is>
          <t>Garments</t>
        </is>
      </c>
      <c r="F313" s="5" t="n">
        <v>33021.68</v>
      </c>
      <c r="G313" t="n">
        <v>12</v>
      </c>
      <c r="H313" s="5" t="n">
        <v>3962.6</v>
      </c>
      <c r="I313" s="5" t="n">
        <v>36984.28</v>
      </c>
      <c r="J313" s="5" t="n">
        <v>36984.28</v>
      </c>
      <c r="K313" s="4" t="n">
        <v>46114</v>
      </c>
      <c r="L313" s="5">
        <f>IF(I313="","",I313-J313)</f>
        <v/>
      </c>
      <c r="M313">
        <f>IF(K313="","",K313-B313)</f>
        <v/>
      </c>
    </row>
    <row r="314">
      <c r="A314" t="inlineStr">
        <is>
          <t>S-00185</t>
        </is>
      </c>
      <c r="B314" s="4" t="n">
        <v>46081</v>
      </c>
      <c r="C314" t="inlineStr">
        <is>
          <t>Gaya Textile Traders</t>
        </is>
      </c>
      <c r="D314" t="inlineStr">
        <is>
          <t>SALES</t>
        </is>
      </c>
      <c r="E314" t="inlineStr">
        <is>
          <t>Fabrics</t>
        </is>
      </c>
      <c r="F314" s="5" t="n">
        <v>51425.17</v>
      </c>
      <c r="G314" t="n">
        <v>5</v>
      </c>
      <c r="H314" s="5" t="n">
        <v>2571.26</v>
      </c>
      <c r="I314" s="5" t="n">
        <v>53996.43</v>
      </c>
      <c r="J314" s="5" t="n">
        <v>53996.43</v>
      </c>
      <c r="K314" s="4" t="n">
        <v>46098</v>
      </c>
      <c r="L314" s="5">
        <f>IF(I314="","",I314-J314)</f>
        <v/>
      </c>
      <c r="M314">
        <f>IF(K314="","",K314-B314)</f>
        <v/>
      </c>
    </row>
    <row r="315">
      <c r="A315" t="inlineStr">
        <is>
          <t>S-00186</t>
        </is>
      </c>
      <c r="B315" s="4" t="n">
        <v>46066</v>
      </c>
      <c r="C315" t="inlineStr">
        <is>
          <t>Trendy Threads</t>
        </is>
      </c>
      <c r="D315" t="inlineStr">
        <is>
          <t>SALES</t>
        </is>
      </c>
      <c r="E315" t="inlineStr">
        <is>
          <t>Garments</t>
        </is>
      </c>
      <c r="F315" s="5" t="n">
        <v>51793.85</v>
      </c>
      <c r="G315" t="n">
        <v>12</v>
      </c>
      <c r="H315" s="5" t="n">
        <v>6215.26</v>
      </c>
      <c r="I315" s="5" t="n">
        <v>58009.11</v>
      </c>
      <c r="J315" s="5" t="n">
        <v>58009.11</v>
      </c>
      <c r="K315" s="4" t="n">
        <v>46090</v>
      </c>
      <c r="L315" s="5">
        <f>IF(I315="","",I315-J315)</f>
        <v/>
      </c>
      <c r="M315">
        <f>IF(K315="","",K315-B315)</f>
        <v/>
      </c>
    </row>
    <row r="316">
      <c r="A316" t="inlineStr">
        <is>
          <t>P-00069</t>
        </is>
      </c>
      <c r="B316" s="4" t="n">
        <v>46062</v>
      </c>
      <c r="C316" t="inlineStr">
        <is>
          <t>Kolkata Hosiery House</t>
        </is>
      </c>
      <c r="D316" t="inlineStr">
        <is>
          <t>PURCHASE</t>
        </is>
      </c>
      <c r="E316" t="inlineStr">
        <is>
          <t>Inventory purchases</t>
        </is>
      </c>
      <c r="F316" s="5" t="n">
        <v>37885.87</v>
      </c>
      <c r="G316" t="n">
        <v>5</v>
      </c>
      <c r="H316" s="5" t="n">
        <v>1894.29</v>
      </c>
      <c r="I316" s="5" t="n">
        <v>39780.16</v>
      </c>
      <c r="J316" s="5" t="n">
        <v>39780.16</v>
      </c>
      <c r="K316" s="4" t="n">
        <v>46084</v>
      </c>
      <c r="L316" s="5">
        <f>IF(I316="","",I316-J316)</f>
        <v/>
      </c>
      <c r="M316">
        <f>IF(K316="","",K316-B316)</f>
        <v/>
      </c>
    </row>
    <row r="317">
      <c r="A317" t="inlineStr">
        <is>
          <t>P-00070</t>
        </is>
      </c>
      <c r="B317" s="4" t="n">
        <v>46063</v>
      </c>
      <c r="C317" t="inlineStr">
        <is>
          <t>Surat Textile Mills</t>
        </is>
      </c>
      <c r="D317" t="inlineStr">
        <is>
          <t>PURCHASE</t>
        </is>
      </c>
      <c r="E317" t="inlineStr">
        <is>
          <t>Inventory purchases</t>
        </is>
      </c>
      <c r="F317" s="5" t="n">
        <v>23814.33</v>
      </c>
      <c r="G317" t="n">
        <v>5</v>
      </c>
      <c r="H317" s="5" t="n">
        <v>1190.72</v>
      </c>
      <c r="I317" s="5" t="n">
        <v>25005.05</v>
      </c>
      <c r="J317" s="5" t="n">
        <v>25005.05</v>
      </c>
      <c r="K317" s="4" t="n">
        <v>46072</v>
      </c>
      <c r="L317" s="5">
        <f>IF(I317="","",I317-J317)</f>
        <v/>
      </c>
      <c r="M317">
        <f>IF(K317="","",K317-B317)</f>
        <v/>
      </c>
    </row>
    <row r="318">
      <c r="A318" t="inlineStr">
        <is>
          <t>P-00071</t>
        </is>
      </c>
      <c r="B318" s="4" t="n">
        <v>46080</v>
      </c>
      <c r="C318" t="inlineStr">
        <is>
          <t>Ludhiana Knitwear Co</t>
        </is>
      </c>
      <c r="D318" t="inlineStr">
        <is>
          <t>PURCHASE</t>
        </is>
      </c>
      <c r="E318" t="inlineStr">
        <is>
          <t>Inventory purchases</t>
        </is>
      </c>
      <c r="F318" s="5" t="n">
        <v>70491.39999999999</v>
      </c>
      <c r="G318" t="n">
        <v>5</v>
      </c>
      <c r="H318" s="5" t="n">
        <v>3524.57</v>
      </c>
      <c r="I318" s="5" t="n">
        <v>74015.97</v>
      </c>
      <c r="J318" s="5" t="n">
        <v>74015.97</v>
      </c>
      <c r="K318" s="4" t="n">
        <v>46110</v>
      </c>
      <c r="L318" s="5">
        <f>IF(I318="","",I318-J318)</f>
        <v/>
      </c>
      <c r="M318">
        <f>IF(K318="","",K318-B318)</f>
        <v/>
      </c>
    </row>
    <row r="319">
      <c r="A319" t="inlineStr">
        <is>
          <t>P-00072</t>
        </is>
      </c>
      <c r="B319" s="4" t="n">
        <v>46070</v>
      </c>
      <c r="C319" t="inlineStr">
        <is>
          <t>Tiruppur Garment Works</t>
        </is>
      </c>
      <c r="D319" t="inlineStr">
        <is>
          <t>PURCHASE</t>
        </is>
      </c>
      <c r="E319" t="inlineStr">
        <is>
          <t>Inventory purchases</t>
        </is>
      </c>
      <c r="F319" s="5" t="n">
        <v>85172.85000000001</v>
      </c>
      <c r="G319" t="n">
        <v>5</v>
      </c>
      <c r="H319" s="5" t="n">
        <v>4258.64</v>
      </c>
      <c r="I319" s="5" t="n">
        <v>89431.49000000001</v>
      </c>
      <c r="J319" s="5" t="n">
        <v>89431.49000000001</v>
      </c>
      <c r="K319" s="4" t="n">
        <v>46090</v>
      </c>
      <c r="L319" s="5">
        <f>IF(I319="","",I319-J319)</f>
        <v/>
      </c>
      <c r="M319">
        <f>IF(K319="","",K319-B319)</f>
        <v/>
      </c>
    </row>
    <row r="320">
      <c r="A320" t="inlineStr">
        <is>
          <t>P-00073</t>
        </is>
      </c>
      <c r="B320" s="4" t="n">
        <v>46080</v>
      </c>
      <c r="C320" t="inlineStr">
        <is>
          <t>Delhi Fabric Suppliers</t>
        </is>
      </c>
      <c r="D320" t="inlineStr">
        <is>
          <t>PURCHASE</t>
        </is>
      </c>
      <c r="E320" t="inlineStr">
        <is>
          <t>Inventory purchases</t>
        </is>
      </c>
      <c r="F320" s="5" t="n">
        <v>58016.58</v>
      </c>
      <c r="G320" t="n">
        <v>5</v>
      </c>
      <c r="H320" s="5" t="n">
        <v>2900.83</v>
      </c>
      <c r="I320" s="5" t="n">
        <v>60917.41</v>
      </c>
      <c r="J320" s="5" t="n">
        <v>60917.41</v>
      </c>
      <c r="K320" s="4" t="n">
        <v>46086</v>
      </c>
      <c r="L320" s="5">
        <f>IF(I320="","",I320-J320)</f>
        <v/>
      </c>
      <c r="M320">
        <f>IF(K320="","",K320-B320)</f>
        <v/>
      </c>
    </row>
    <row r="321">
      <c r="A321" t="inlineStr">
        <is>
          <t>P-00074</t>
        </is>
      </c>
      <c r="B321" s="4" t="n">
        <v>46070</v>
      </c>
      <c r="C321" t="inlineStr">
        <is>
          <t>Kolkata Hosiery House</t>
        </is>
      </c>
      <c r="D321" t="inlineStr">
        <is>
          <t>PURCHASE</t>
        </is>
      </c>
      <c r="E321" t="inlineStr">
        <is>
          <t>Inventory purchases</t>
        </is>
      </c>
      <c r="F321" s="5" t="n">
        <v>96004.57000000001</v>
      </c>
      <c r="G321" t="n">
        <v>5</v>
      </c>
      <c r="H321" s="5" t="n">
        <v>4800.23</v>
      </c>
      <c r="I321" s="5" t="n">
        <v>100804.8</v>
      </c>
      <c r="J321" s="5" t="n">
        <v>100804.8</v>
      </c>
      <c r="K321" s="4" t="n">
        <v>46080</v>
      </c>
      <c r="L321" s="5">
        <f>IF(I321="","",I321-J321)</f>
        <v/>
      </c>
      <c r="M321">
        <f>IF(K321="","",K321-B321)</f>
        <v/>
      </c>
    </row>
    <row r="322">
      <c r="A322" t="inlineStr">
        <is>
          <t>P-00075</t>
        </is>
      </c>
      <c r="B322" s="4" t="n">
        <v>46065</v>
      </c>
      <c r="C322" t="inlineStr">
        <is>
          <t>Surat Textile Mills</t>
        </is>
      </c>
      <c r="D322" t="inlineStr">
        <is>
          <t>PURCHASE</t>
        </is>
      </c>
      <c r="E322" t="inlineStr">
        <is>
          <t>Inventory purchases</t>
        </is>
      </c>
      <c r="F322" s="5" t="n">
        <v>12095.64</v>
      </c>
      <c r="G322" t="n">
        <v>5</v>
      </c>
      <c r="H322" s="5" t="n">
        <v>604.78</v>
      </c>
      <c r="I322" s="5" t="n">
        <v>12700.42</v>
      </c>
      <c r="J322" s="5" t="n">
        <v>0</v>
      </c>
      <c r="K322" s="4" t="inlineStr"/>
      <c r="L322" s="5">
        <f>IF(I322="","",I322-J322)</f>
        <v/>
      </c>
      <c r="M322">
        <f>IF(K322="","",K322-B322)</f>
        <v/>
      </c>
    </row>
    <row r="323">
      <c r="A323" t="inlineStr">
        <is>
          <t>P-00076</t>
        </is>
      </c>
      <c r="B323" s="4" t="n">
        <v>46066</v>
      </c>
      <c r="C323" t="inlineStr">
        <is>
          <t>Delhi Fabric Suppliers</t>
        </is>
      </c>
      <c r="D323" t="inlineStr">
        <is>
          <t>PURCHASE</t>
        </is>
      </c>
      <c r="E323" t="inlineStr">
        <is>
          <t>Inventory purchases</t>
        </is>
      </c>
      <c r="F323" s="5" t="n">
        <v>72635.83</v>
      </c>
      <c r="G323" t="n">
        <v>5</v>
      </c>
      <c r="H323" s="5" t="n">
        <v>3631.79</v>
      </c>
      <c r="I323" s="5" t="n">
        <v>76267.62</v>
      </c>
      <c r="J323" s="5" t="n">
        <v>76267.62</v>
      </c>
      <c r="K323" s="4" t="n">
        <v>46088</v>
      </c>
      <c r="L323" s="5">
        <f>IF(I323="","",I323-J323)</f>
        <v/>
      </c>
      <c r="M323">
        <f>IF(K323="","",K323-B323)</f>
        <v/>
      </c>
    </row>
    <row r="324">
      <c r="A324" t="inlineStr">
        <is>
          <t>P-00077</t>
        </is>
      </c>
      <c r="B324" s="4" t="n">
        <v>46075</v>
      </c>
      <c r="C324" t="inlineStr">
        <is>
          <t>Surat Textile Mills</t>
        </is>
      </c>
      <c r="D324" t="inlineStr">
        <is>
          <t>PURCHASE</t>
        </is>
      </c>
      <c r="E324" t="inlineStr">
        <is>
          <t>Inventory purchases</t>
        </is>
      </c>
      <c r="F324" s="5" t="n">
        <v>70141.47</v>
      </c>
      <c r="G324" t="n">
        <v>5</v>
      </c>
      <c r="H324" s="5" t="n">
        <v>3507.07</v>
      </c>
      <c r="I324" s="5" t="n">
        <v>73648.53999999999</v>
      </c>
      <c r="J324" s="5" t="n">
        <v>73648.53999999999</v>
      </c>
      <c r="K324" s="4" t="n">
        <v>46099</v>
      </c>
      <c r="L324" s="5">
        <f>IF(I324="","",I324-J324)</f>
        <v/>
      </c>
      <c r="M324">
        <f>IF(K324="","",K324-B324)</f>
        <v/>
      </c>
    </row>
    <row r="325">
      <c r="A325" t="inlineStr">
        <is>
          <t>P-00078</t>
        </is>
      </c>
      <c r="B325" s="4" t="n">
        <v>46075</v>
      </c>
      <c r="C325" t="inlineStr">
        <is>
          <t>Jaipur Print Works</t>
        </is>
      </c>
      <c r="D325" t="inlineStr">
        <is>
          <t>PURCHASE</t>
        </is>
      </c>
      <c r="E325" t="inlineStr">
        <is>
          <t>Inventory purchases</t>
        </is>
      </c>
      <c r="F325" s="5" t="n">
        <v>117245.42</v>
      </c>
      <c r="G325" t="n">
        <v>5</v>
      </c>
      <c r="H325" s="5" t="n">
        <v>5862.27</v>
      </c>
      <c r="I325" s="5" t="n">
        <v>123107.69</v>
      </c>
      <c r="J325" s="5" t="n">
        <v>123107.69</v>
      </c>
      <c r="K325" s="4" t="n">
        <v>46102</v>
      </c>
      <c r="L325" s="5">
        <f>IF(I325="","",I325-J325)</f>
        <v/>
      </c>
      <c r="M325">
        <f>IF(K325="","",K325-B325)</f>
        <v/>
      </c>
    </row>
    <row r="326">
      <c r="A326" t="inlineStr">
        <is>
          <t>P-00079</t>
        </is>
      </c>
      <c r="B326" s="4" t="n">
        <v>46054</v>
      </c>
      <c r="C326" t="inlineStr">
        <is>
          <t>Tiruppur Garment Works</t>
        </is>
      </c>
      <c r="D326" t="inlineStr">
        <is>
          <t>PURCHASE</t>
        </is>
      </c>
      <c r="E326" t="inlineStr">
        <is>
          <t>Inventory purchases</t>
        </is>
      </c>
      <c r="F326" s="5" t="n">
        <v>17714.7</v>
      </c>
      <c r="G326" t="n">
        <v>5</v>
      </c>
      <c r="H326" s="5" t="n">
        <v>885.74</v>
      </c>
      <c r="I326" s="5" t="n">
        <v>18600.44</v>
      </c>
      <c r="J326" s="5" t="n">
        <v>18600.44</v>
      </c>
      <c r="K326" s="4" t="n">
        <v>46063</v>
      </c>
      <c r="L326" s="5">
        <f>IF(I326="","",I326-J326)</f>
        <v/>
      </c>
      <c r="M326">
        <f>IF(K326="","",K326-B326)</f>
        <v/>
      </c>
    </row>
    <row r="327">
      <c r="A327" t="inlineStr">
        <is>
          <t>P-00080</t>
        </is>
      </c>
      <c r="B327" s="4" t="n">
        <v>46056</v>
      </c>
      <c r="C327" t="inlineStr">
        <is>
          <t>Kolkata Hosiery House</t>
        </is>
      </c>
      <c r="D327" t="inlineStr">
        <is>
          <t>PURCHASE</t>
        </is>
      </c>
      <c r="E327" t="inlineStr">
        <is>
          <t>Inventory purchases</t>
        </is>
      </c>
      <c r="F327" s="5" t="n">
        <v>45266.65</v>
      </c>
      <c r="G327" t="n">
        <v>5</v>
      </c>
      <c r="H327" s="5" t="n">
        <v>2263.33</v>
      </c>
      <c r="I327" s="5" t="n">
        <v>47529.98</v>
      </c>
      <c r="J327" s="5" t="n">
        <v>47529.98</v>
      </c>
      <c r="K327" s="4" t="n">
        <v>46081</v>
      </c>
      <c r="L327" s="5">
        <f>IF(I327="","",I327-J327)</f>
        <v/>
      </c>
      <c r="M327">
        <f>IF(K327="","",K327-B327)</f>
        <v/>
      </c>
    </row>
    <row r="328">
      <c r="A328" t="inlineStr">
        <is>
          <t>P-00081</t>
        </is>
      </c>
      <c r="B328" s="4" t="n">
        <v>46057</v>
      </c>
      <c r="C328" t="inlineStr">
        <is>
          <t>Surat Textile Mills</t>
        </is>
      </c>
      <c r="D328" t="inlineStr">
        <is>
          <t>PURCHASE</t>
        </is>
      </c>
      <c r="E328" t="inlineStr">
        <is>
          <t>Inventory purchases</t>
        </is>
      </c>
      <c r="F328" s="5" t="n">
        <v>50827.84</v>
      </c>
      <c r="G328" t="n">
        <v>5</v>
      </c>
      <c r="H328" s="5" t="n">
        <v>2541.39</v>
      </c>
      <c r="I328" s="5" t="n">
        <v>53369.23</v>
      </c>
      <c r="J328" s="5" t="n">
        <v>53369.23</v>
      </c>
      <c r="K328" s="4" t="n">
        <v>46074</v>
      </c>
      <c r="L328" s="5">
        <f>IF(I328="","",I328-J328)</f>
        <v/>
      </c>
      <c r="M328">
        <f>IF(K328="","",K328-B328)</f>
        <v/>
      </c>
    </row>
    <row r="329">
      <c r="A329" t="inlineStr">
        <is>
          <t>P-00082</t>
        </is>
      </c>
      <c r="B329" s="4" t="n">
        <v>46079</v>
      </c>
      <c r="C329" t="inlineStr">
        <is>
          <t>Surat Textile Mills</t>
        </is>
      </c>
      <c r="D329" t="inlineStr">
        <is>
          <t>PURCHASE</t>
        </is>
      </c>
      <c r="E329" t="inlineStr">
        <is>
          <t>Inventory purchases</t>
        </is>
      </c>
      <c r="F329" s="5" t="n">
        <v>33436.59</v>
      </c>
      <c r="G329" t="n">
        <v>5</v>
      </c>
      <c r="H329" s="5" t="n">
        <v>1671.83</v>
      </c>
      <c r="I329" s="5" t="n">
        <v>35108.42</v>
      </c>
      <c r="J329" s="5" t="n">
        <v>35108.42</v>
      </c>
      <c r="K329" s="4" t="n">
        <v>46103</v>
      </c>
      <c r="L329" s="5">
        <f>IF(I329="","",I329-J329)</f>
        <v/>
      </c>
      <c r="M329">
        <f>IF(K329="","",K329-B329)</f>
        <v/>
      </c>
    </row>
    <row r="330">
      <c r="A330" t="inlineStr">
        <is>
          <t>P-00083</t>
        </is>
      </c>
      <c r="B330" s="4" t="n">
        <v>46061</v>
      </c>
      <c r="C330" t="inlineStr">
        <is>
          <t>Tiruppur Garment Works</t>
        </is>
      </c>
      <c r="D330" t="inlineStr">
        <is>
          <t>PURCHASE</t>
        </is>
      </c>
      <c r="E330" t="inlineStr">
        <is>
          <t>Inventory purchases</t>
        </is>
      </c>
      <c r="F330" s="5" t="n">
        <v>18815.52</v>
      </c>
      <c r="G330" t="n">
        <v>5</v>
      </c>
      <c r="H330" s="5" t="n">
        <v>940.78</v>
      </c>
      <c r="I330" s="5" t="n">
        <v>19756.3</v>
      </c>
      <c r="J330" s="5" t="n">
        <v>19756.3</v>
      </c>
      <c r="K330" s="4" t="n">
        <v>46091</v>
      </c>
      <c r="L330" s="5">
        <f>IF(I330="","",I330-J330)</f>
        <v/>
      </c>
      <c r="M330">
        <f>IF(K330="","",K330-B330)</f>
        <v/>
      </c>
    </row>
    <row r="331">
      <c r="A331" t="inlineStr">
        <is>
          <t>P-00084</t>
        </is>
      </c>
      <c r="B331" s="4" t="n">
        <v>46073</v>
      </c>
      <c r="C331" t="inlineStr">
        <is>
          <t>Ludhiana Knitwear Co</t>
        </is>
      </c>
      <c r="D331" t="inlineStr">
        <is>
          <t>PURCHASE</t>
        </is>
      </c>
      <c r="E331" t="inlineStr">
        <is>
          <t>Inventory purchases</t>
        </is>
      </c>
      <c r="F331" s="5" t="n">
        <v>36671.68</v>
      </c>
      <c r="G331" t="n">
        <v>5</v>
      </c>
      <c r="H331" s="5" t="n">
        <v>1833.58</v>
      </c>
      <c r="I331" s="5" t="n">
        <v>38505.26</v>
      </c>
      <c r="J331" s="5" t="n">
        <v>38505.26</v>
      </c>
      <c r="K331" s="4" t="n">
        <v>46096</v>
      </c>
      <c r="L331" s="5">
        <f>IF(I331="","",I331-J331)</f>
        <v/>
      </c>
      <c r="M331">
        <f>IF(K331="","",K331-B331)</f>
        <v/>
      </c>
    </row>
    <row r="332">
      <c r="A332" t="inlineStr">
        <is>
          <t>P-00085</t>
        </is>
      </c>
      <c r="B332" s="4" t="n">
        <v>46056</v>
      </c>
      <c r="C332" t="inlineStr">
        <is>
          <t>Delhi Fabric Suppliers</t>
        </is>
      </c>
      <c r="D332" t="inlineStr">
        <is>
          <t>PURCHASE</t>
        </is>
      </c>
      <c r="E332" t="inlineStr">
        <is>
          <t>Inventory purchases</t>
        </is>
      </c>
      <c r="F332" s="5" t="n">
        <v>105830.72</v>
      </c>
      <c r="G332" t="n">
        <v>5</v>
      </c>
      <c r="H332" s="5" t="n">
        <v>5291.54</v>
      </c>
      <c r="I332" s="5" t="n">
        <v>111122.26</v>
      </c>
      <c r="J332" s="5" t="n">
        <v>111122.26</v>
      </c>
      <c r="K332" s="4" t="n">
        <v>46076</v>
      </c>
      <c r="L332" s="5">
        <f>IF(I332="","",I332-J332)</f>
        <v/>
      </c>
      <c r="M332">
        <f>IF(K332="","",K332-B332)</f>
        <v/>
      </c>
    </row>
    <row r="333">
      <c r="A333" t="inlineStr">
        <is>
          <t>P-00086</t>
        </is>
      </c>
      <c r="B333" s="4" t="n">
        <v>46059</v>
      </c>
      <c r="C333" t="inlineStr">
        <is>
          <t>Ludhiana Knitwear Co</t>
        </is>
      </c>
      <c r="D333" t="inlineStr">
        <is>
          <t>PURCHASE</t>
        </is>
      </c>
      <c r="E333" t="inlineStr">
        <is>
          <t>Inventory purchases</t>
        </is>
      </c>
      <c r="F333" s="5" t="n">
        <v>87847.94</v>
      </c>
      <c r="G333" t="n">
        <v>5</v>
      </c>
      <c r="H333" s="5" t="n">
        <v>4392.4</v>
      </c>
      <c r="I333" s="5" t="n">
        <v>92240.34</v>
      </c>
      <c r="J333" s="5" t="n">
        <v>92240.34</v>
      </c>
      <c r="K333" s="4" t="n">
        <v>46084</v>
      </c>
      <c r="L333" s="5">
        <f>IF(I333="","",I333-J333)</f>
        <v/>
      </c>
      <c r="M333">
        <f>IF(K333="","",K333-B333)</f>
        <v/>
      </c>
    </row>
    <row r="334">
      <c r="A334" t="inlineStr">
        <is>
          <t>E-00061</t>
        </is>
      </c>
      <c r="B334" s="4" t="n">
        <v>46070</v>
      </c>
      <c r="C334" t="inlineStr">
        <is>
          <t>Various</t>
        </is>
      </c>
      <c r="D334" t="inlineStr">
        <is>
          <t>EXPENSE</t>
        </is>
      </c>
      <c r="E334" t="inlineStr">
        <is>
          <t>Rent</t>
        </is>
      </c>
      <c r="F334" s="5" t="n">
        <v>24620.79</v>
      </c>
      <c r="G334" t="n">
        <v>18</v>
      </c>
      <c r="H334" s="5" t="n">
        <v>4431.74</v>
      </c>
      <c r="I334" s="5" t="n">
        <v>29052.53</v>
      </c>
      <c r="J334" s="5" t="n">
        <v>29052.53</v>
      </c>
      <c r="K334" s="4" t="n">
        <v>46074</v>
      </c>
      <c r="L334" s="5">
        <f>IF(I334="","",I334-J334)</f>
        <v/>
      </c>
      <c r="M334">
        <f>IF(K334="","",K334-B334)</f>
        <v/>
      </c>
    </row>
    <row r="335">
      <c r="A335" t="inlineStr">
        <is>
          <t>E-00062</t>
        </is>
      </c>
      <c r="B335" s="4" t="n">
        <v>46078</v>
      </c>
      <c r="C335" t="inlineStr">
        <is>
          <t>Various</t>
        </is>
      </c>
      <c r="D335" t="inlineStr">
        <is>
          <t>EXPENSE</t>
        </is>
      </c>
      <c r="E335" t="inlineStr">
        <is>
          <t>Salaries</t>
        </is>
      </c>
      <c r="F335" s="5" t="n">
        <v>84997.39</v>
      </c>
      <c r="G335" t="n">
        <v>0</v>
      </c>
      <c r="H335" s="5" t="n">
        <v>0</v>
      </c>
      <c r="I335" s="5" t="n">
        <v>84997.39</v>
      </c>
      <c r="J335" s="5" t="n">
        <v>84997.39</v>
      </c>
      <c r="K335" s="4" t="n">
        <v>46083</v>
      </c>
      <c r="L335" s="5">
        <f>IF(I335="","",I335-J335)</f>
        <v/>
      </c>
      <c r="M335">
        <f>IF(K335="","",K335-B335)</f>
        <v/>
      </c>
    </row>
    <row r="336">
      <c r="A336" t="inlineStr">
        <is>
          <t>E-00063</t>
        </is>
      </c>
      <c r="B336" s="4" t="n">
        <v>46064</v>
      </c>
      <c r="C336" t="inlineStr">
        <is>
          <t>Various</t>
        </is>
      </c>
      <c r="D336" t="inlineStr">
        <is>
          <t>EXPENSE</t>
        </is>
      </c>
      <c r="E336" t="inlineStr">
        <is>
          <t>Utilities</t>
        </is>
      </c>
      <c r="F336" s="5" t="n">
        <v>6610.52</v>
      </c>
      <c r="G336" t="n">
        <v>18</v>
      </c>
      <c r="H336" s="5" t="n">
        <v>1189.89</v>
      </c>
      <c r="I336" s="5" t="n">
        <v>7800.41</v>
      </c>
      <c r="J336" s="5" t="n">
        <v>7800.41</v>
      </c>
      <c r="K336" s="4" t="n">
        <v>46064</v>
      </c>
      <c r="L336" s="5">
        <f>IF(I336="","",I336-J336)</f>
        <v/>
      </c>
      <c r="M336">
        <f>IF(K336="","",K336-B336)</f>
        <v/>
      </c>
    </row>
    <row r="337">
      <c r="A337" t="inlineStr">
        <is>
          <t>E-00064</t>
        </is>
      </c>
      <c r="B337" s="4" t="n">
        <v>46078</v>
      </c>
      <c r="C337" t="inlineStr">
        <is>
          <t>Various</t>
        </is>
      </c>
      <c r="D337" t="inlineStr">
        <is>
          <t>EXPENSE</t>
        </is>
      </c>
      <c r="E337" t="inlineStr">
        <is>
          <t>Transport</t>
        </is>
      </c>
      <c r="F337" s="5" t="n">
        <v>1953.43</v>
      </c>
      <c r="G337" t="n">
        <v>5</v>
      </c>
      <c r="H337" s="5" t="n">
        <v>97.67</v>
      </c>
      <c r="I337" s="5" t="n">
        <v>2051.1</v>
      </c>
      <c r="J337" s="5" t="n">
        <v>2051.1</v>
      </c>
      <c r="K337" s="4" t="n">
        <v>46081</v>
      </c>
      <c r="L337" s="5">
        <f>IF(I337="","",I337-J337)</f>
        <v/>
      </c>
      <c r="M337">
        <f>IF(K337="","",K337-B337)</f>
        <v/>
      </c>
    </row>
    <row r="338">
      <c r="A338" t="inlineStr">
        <is>
          <t>E-00065</t>
        </is>
      </c>
      <c r="B338" s="4" t="n">
        <v>46065</v>
      </c>
      <c r="C338" t="inlineStr">
        <is>
          <t>Various</t>
        </is>
      </c>
      <c r="D338" t="inlineStr">
        <is>
          <t>EXPENSE</t>
        </is>
      </c>
      <c r="E338" t="inlineStr">
        <is>
          <t>Transport</t>
        </is>
      </c>
      <c r="F338" s="5" t="n">
        <v>5329.02</v>
      </c>
      <c r="G338" t="n">
        <v>5</v>
      </c>
      <c r="H338" s="5" t="n">
        <v>266.45</v>
      </c>
      <c r="I338" s="5" t="n">
        <v>5595.47</v>
      </c>
      <c r="J338" s="5" t="n">
        <v>5595.47</v>
      </c>
      <c r="K338" s="4" t="n">
        <v>46066</v>
      </c>
      <c r="L338" s="5">
        <f>IF(I338="","",I338-J338)</f>
        <v/>
      </c>
      <c r="M338">
        <f>IF(K338="","",K338-B338)</f>
        <v/>
      </c>
    </row>
    <row r="339">
      <c r="A339" t="inlineStr">
        <is>
          <t>E-00066</t>
        </is>
      </c>
      <c r="B339" s="4" t="n">
        <v>46064</v>
      </c>
      <c r="C339" t="inlineStr">
        <is>
          <t>Various</t>
        </is>
      </c>
      <c r="D339" t="inlineStr">
        <is>
          <t>EXPENSE</t>
        </is>
      </c>
      <c r="E339" t="inlineStr">
        <is>
          <t>Transport</t>
        </is>
      </c>
      <c r="F339" s="5" t="n">
        <v>1389.91</v>
      </c>
      <c r="G339" t="n">
        <v>5</v>
      </c>
      <c r="H339" s="5" t="n">
        <v>69.5</v>
      </c>
      <c r="I339" s="5" t="n">
        <v>1459.41</v>
      </c>
      <c r="J339" s="5" t="n">
        <v>1459.41</v>
      </c>
      <c r="K339" s="4" t="n">
        <v>46070</v>
      </c>
      <c r="L339" s="5">
        <f>IF(I339="","",I339-J339)</f>
        <v/>
      </c>
      <c r="M339">
        <f>IF(K339="","",K339-B339)</f>
        <v/>
      </c>
    </row>
    <row r="340">
      <c r="A340" t="inlineStr">
        <is>
          <t>E-00067</t>
        </is>
      </c>
      <c r="B340" s="4" t="n">
        <v>46076</v>
      </c>
      <c r="C340" t="inlineStr">
        <is>
          <t>Various</t>
        </is>
      </c>
      <c r="D340" t="inlineStr">
        <is>
          <t>EXPENSE</t>
        </is>
      </c>
      <c r="E340" t="inlineStr">
        <is>
          <t>Transport</t>
        </is>
      </c>
      <c r="F340" s="5" t="n">
        <v>1739.93</v>
      </c>
      <c r="G340" t="n">
        <v>5</v>
      </c>
      <c r="H340" s="5" t="n">
        <v>87</v>
      </c>
      <c r="I340" s="5" t="n">
        <v>1826.93</v>
      </c>
      <c r="J340" s="5" t="n">
        <v>1826.93</v>
      </c>
      <c r="K340" s="4" t="n">
        <v>46078</v>
      </c>
      <c r="L340" s="5">
        <f>IF(I340="","",I340-J340)</f>
        <v/>
      </c>
      <c r="M340">
        <f>IF(K340="","",K340-B340)</f>
        <v/>
      </c>
    </row>
    <row r="341">
      <c r="A341" t="inlineStr">
        <is>
          <t>E-00068</t>
        </is>
      </c>
      <c r="B341" s="4" t="n">
        <v>46080</v>
      </c>
      <c r="C341" t="inlineStr">
        <is>
          <t>Various</t>
        </is>
      </c>
      <c r="D341" t="inlineStr">
        <is>
          <t>EXPENSE</t>
        </is>
      </c>
      <c r="E341" t="inlineStr">
        <is>
          <t>Transport</t>
        </is>
      </c>
      <c r="F341" s="5" t="n">
        <v>3142.65</v>
      </c>
      <c r="G341" t="n">
        <v>5</v>
      </c>
      <c r="H341" s="5" t="n">
        <v>157.13</v>
      </c>
      <c r="I341" s="5" t="n">
        <v>3299.78</v>
      </c>
      <c r="J341" s="5" t="n">
        <v>3299.78</v>
      </c>
      <c r="K341" s="4" t="n">
        <v>46081</v>
      </c>
      <c r="L341" s="5">
        <f>IF(I341="","",I341-J341)</f>
        <v/>
      </c>
      <c r="M341">
        <f>IF(K341="","",K341-B341)</f>
        <v/>
      </c>
    </row>
    <row r="342">
      <c r="A342" t="inlineStr">
        <is>
          <t>E-00069</t>
        </is>
      </c>
      <c r="B342" s="4" t="n">
        <v>46067</v>
      </c>
      <c r="C342" t="inlineStr">
        <is>
          <t>Various</t>
        </is>
      </c>
      <c r="D342" t="inlineStr">
        <is>
          <t>EXPENSE</t>
        </is>
      </c>
      <c r="E342" t="inlineStr">
        <is>
          <t>Transport</t>
        </is>
      </c>
      <c r="F342" s="5" t="n">
        <v>6999.49</v>
      </c>
      <c r="G342" t="n">
        <v>5</v>
      </c>
      <c r="H342" s="5" t="n">
        <v>349.97</v>
      </c>
      <c r="I342" s="5" t="n">
        <v>7349.46</v>
      </c>
      <c r="J342" s="5" t="n">
        <v>7349.46</v>
      </c>
      <c r="K342" s="4" t="n">
        <v>46074</v>
      </c>
      <c r="L342" s="5">
        <f>IF(I342="","",I342-J342)</f>
        <v/>
      </c>
      <c r="M342">
        <f>IF(K342="","",K342-B342)</f>
        <v/>
      </c>
    </row>
    <row r="343">
      <c r="A343" t="inlineStr">
        <is>
          <t>E-00070</t>
        </is>
      </c>
      <c r="B343" s="4" t="n">
        <v>46072</v>
      </c>
      <c r="C343" t="inlineStr">
        <is>
          <t>Various</t>
        </is>
      </c>
      <c r="D343" t="inlineStr">
        <is>
          <t>EXPENSE</t>
        </is>
      </c>
      <c r="E343" t="inlineStr">
        <is>
          <t>Marketing</t>
        </is>
      </c>
      <c r="F343" s="5" t="n">
        <v>22809.79</v>
      </c>
      <c r="G343" t="n">
        <v>18</v>
      </c>
      <c r="H343" s="5" t="n">
        <v>4105.76</v>
      </c>
      <c r="I343" s="5" t="n">
        <v>26915.55</v>
      </c>
      <c r="J343" s="5" t="n">
        <v>26915.55</v>
      </c>
      <c r="K343" s="4" t="n">
        <v>46078</v>
      </c>
      <c r="L343" s="5">
        <f>IF(I343="","",I343-J343)</f>
        <v/>
      </c>
      <c r="M343">
        <f>IF(K343="","",K343-B343)</f>
        <v/>
      </c>
    </row>
    <row r="344">
      <c r="A344" t="inlineStr">
        <is>
          <t>E-00071</t>
        </is>
      </c>
      <c r="B344" s="4" t="n">
        <v>46075</v>
      </c>
      <c r="C344" t="inlineStr">
        <is>
          <t>Various</t>
        </is>
      </c>
      <c r="D344" t="inlineStr">
        <is>
          <t>EXPENSE</t>
        </is>
      </c>
      <c r="E344" t="inlineStr">
        <is>
          <t>Marketing</t>
        </is>
      </c>
      <c r="F344" s="5" t="n">
        <v>17677.43</v>
      </c>
      <c r="G344" t="n">
        <v>18</v>
      </c>
      <c r="H344" s="5" t="n">
        <v>3181.94</v>
      </c>
      <c r="I344" s="5" t="n">
        <v>20859.37</v>
      </c>
      <c r="J344" s="5" t="n">
        <v>20859.37</v>
      </c>
      <c r="K344" s="4" t="n">
        <v>46081</v>
      </c>
      <c r="L344" s="5">
        <f>IF(I344="","",I344-J344)</f>
        <v/>
      </c>
      <c r="M344">
        <f>IF(K344="","",K344-B344)</f>
        <v/>
      </c>
    </row>
    <row r="345">
      <c r="A345" t="inlineStr">
        <is>
          <t>E-00072</t>
        </is>
      </c>
      <c r="B345" s="4" t="n">
        <v>46072</v>
      </c>
      <c r="C345" t="inlineStr">
        <is>
          <t>Various</t>
        </is>
      </c>
      <c r="D345" t="inlineStr">
        <is>
          <t>EXPENSE</t>
        </is>
      </c>
      <c r="E345" t="inlineStr">
        <is>
          <t>Professional fees</t>
        </is>
      </c>
      <c r="F345" s="5" t="n">
        <v>14723.74</v>
      </c>
      <c r="G345" t="n">
        <v>18</v>
      </c>
      <c r="H345" s="5" t="n">
        <v>2650.27</v>
      </c>
      <c r="I345" s="5" t="n">
        <v>17374.01</v>
      </c>
      <c r="J345" s="5" t="n">
        <v>17374.01</v>
      </c>
      <c r="K345" s="4" t="n">
        <v>46075</v>
      </c>
      <c r="L345" s="5">
        <f>IF(I345="","",I345-J345)</f>
        <v/>
      </c>
      <c r="M345">
        <f>IF(K345="","",K345-B345)</f>
        <v/>
      </c>
    </row>
    <row r="346">
      <c r="A346" t="inlineStr">
        <is>
          <t>E-00073</t>
        </is>
      </c>
      <c r="B346" s="4" t="n">
        <v>46062</v>
      </c>
      <c r="C346" t="inlineStr">
        <is>
          <t>Various</t>
        </is>
      </c>
      <c r="D346" t="inlineStr">
        <is>
          <t>EXPENSE</t>
        </is>
      </c>
      <c r="E346" t="inlineStr">
        <is>
          <t>Misc</t>
        </is>
      </c>
      <c r="F346" s="5" t="n">
        <v>2568.48</v>
      </c>
      <c r="G346" t="n">
        <v>18</v>
      </c>
      <c r="H346" s="5" t="n">
        <v>462.33</v>
      </c>
      <c r="I346" s="5" t="n">
        <v>3030.81</v>
      </c>
      <c r="J346" s="5" t="n">
        <v>3030.81</v>
      </c>
      <c r="K346" s="4" t="n">
        <v>46064</v>
      </c>
      <c r="L346" s="5">
        <f>IF(I346="","",I346-J346)</f>
        <v/>
      </c>
      <c r="M346">
        <f>IF(K346="","",K346-B346)</f>
        <v/>
      </c>
    </row>
    <row r="347">
      <c r="A347" t="inlineStr">
        <is>
          <t>E-00074</t>
        </is>
      </c>
      <c r="B347" s="4" t="n">
        <v>46066</v>
      </c>
      <c r="C347" t="inlineStr">
        <is>
          <t>Various</t>
        </is>
      </c>
      <c r="D347" t="inlineStr">
        <is>
          <t>EXPENSE</t>
        </is>
      </c>
      <c r="E347" t="inlineStr">
        <is>
          <t>Misc</t>
        </is>
      </c>
      <c r="F347" s="5" t="n">
        <v>2878.35</v>
      </c>
      <c r="G347" t="n">
        <v>18</v>
      </c>
      <c r="H347" s="5" t="n">
        <v>518.1</v>
      </c>
      <c r="I347" s="5" t="n">
        <v>3396.45</v>
      </c>
      <c r="J347" s="5" t="n">
        <v>3396.45</v>
      </c>
      <c r="K347" s="4" t="n">
        <v>46066</v>
      </c>
      <c r="L347" s="5">
        <f>IF(I347="","",I347-J347)</f>
        <v/>
      </c>
      <c r="M347">
        <f>IF(K347="","",K347-B347)</f>
        <v/>
      </c>
    </row>
    <row r="348">
      <c r="A348" t="inlineStr">
        <is>
          <t>E-00075</t>
        </is>
      </c>
      <c r="B348" s="4" t="n">
        <v>46069</v>
      </c>
      <c r="C348" t="inlineStr">
        <is>
          <t>Various</t>
        </is>
      </c>
      <c r="D348" t="inlineStr">
        <is>
          <t>EXPENSE</t>
        </is>
      </c>
      <c r="E348" t="inlineStr">
        <is>
          <t>Misc</t>
        </is>
      </c>
      <c r="F348" s="5" t="n">
        <v>913.1799999999999</v>
      </c>
      <c r="G348" t="n">
        <v>18</v>
      </c>
      <c r="H348" s="5" t="n">
        <v>164.37</v>
      </c>
      <c r="I348" s="5" t="n">
        <v>1077.55</v>
      </c>
      <c r="J348" s="5" t="n">
        <v>1077.55</v>
      </c>
      <c r="K348" s="4" t="n">
        <v>46069</v>
      </c>
      <c r="L348" s="5">
        <f>IF(I348="","",I348-J348)</f>
        <v/>
      </c>
      <c r="M348">
        <f>IF(K348="","",K348-B348)</f>
        <v/>
      </c>
    </row>
    <row r="349">
      <c r="A349" t="inlineStr">
        <is>
          <t>S-00187</t>
        </is>
      </c>
      <c r="B349" s="4" t="n">
        <v>46110</v>
      </c>
      <c r="C349" t="inlineStr">
        <is>
          <t>Lakshmi Cloth Store</t>
        </is>
      </c>
      <c r="D349" t="inlineStr">
        <is>
          <t>SALES</t>
        </is>
      </c>
      <c r="E349" t="inlineStr">
        <is>
          <t>Garments</t>
        </is>
      </c>
      <c r="F349" s="5" t="n">
        <v>27184.15</v>
      </c>
      <c r="G349" t="n">
        <v>12</v>
      </c>
      <c r="H349" s="5" t="n">
        <v>3262.1</v>
      </c>
      <c r="I349" s="5" t="n">
        <v>30446.25</v>
      </c>
      <c r="J349" s="5" t="n">
        <v>30446.25</v>
      </c>
      <c r="K349" s="4" t="n">
        <v>46137</v>
      </c>
      <c r="L349" s="5">
        <f>IF(I349="","",I349-J349)</f>
        <v/>
      </c>
      <c r="M349">
        <f>IF(K349="","",K349-B349)</f>
        <v/>
      </c>
    </row>
    <row r="350">
      <c r="A350" t="inlineStr">
        <is>
          <t>S-00188</t>
        </is>
      </c>
      <c r="B350" s="4" t="n">
        <v>46107</v>
      </c>
      <c r="C350" t="inlineStr">
        <is>
          <t>Sharma Retail Store</t>
        </is>
      </c>
      <c r="D350" t="inlineStr">
        <is>
          <t>SALES</t>
        </is>
      </c>
      <c r="E350" t="inlineStr">
        <is>
          <t>Garments</t>
        </is>
      </c>
      <c r="F350" s="5" t="n">
        <v>46601.88</v>
      </c>
      <c r="G350" t="n">
        <v>12</v>
      </c>
      <c r="H350" s="5" t="n">
        <v>5592.23</v>
      </c>
      <c r="I350" s="5" t="n">
        <v>52194.11</v>
      </c>
      <c r="J350" s="5" t="n">
        <v>0</v>
      </c>
      <c r="K350" s="4" t="inlineStr"/>
      <c r="L350" s="5">
        <f>IF(I350="","",I350-J350)</f>
        <v/>
      </c>
      <c r="M350">
        <f>IF(K350="","",K350-B350)</f>
        <v/>
      </c>
    </row>
    <row r="351">
      <c r="A351" t="inlineStr">
        <is>
          <t>S-00189</t>
        </is>
      </c>
      <c r="B351" s="4" t="n">
        <v>46109</v>
      </c>
      <c r="C351" t="inlineStr">
        <is>
          <t>Trendy Threads</t>
        </is>
      </c>
      <c r="D351" t="inlineStr">
        <is>
          <t>SALES</t>
        </is>
      </c>
      <c r="E351" t="inlineStr">
        <is>
          <t>Fabrics</t>
        </is>
      </c>
      <c r="F351" s="5" t="n">
        <v>8882.469999999999</v>
      </c>
      <c r="G351" t="n">
        <v>5</v>
      </c>
      <c r="H351" s="5" t="n">
        <v>444.12</v>
      </c>
      <c r="I351" s="5" t="n">
        <v>9326.59</v>
      </c>
      <c r="J351" s="5" t="n">
        <v>9326.59</v>
      </c>
      <c r="K351" s="4" t="n">
        <v>46142</v>
      </c>
      <c r="L351" s="5">
        <f>IF(I351="","",I351-J351)</f>
        <v/>
      </c>
      <c r="M351">
        <f>IF(K351="","",K351-B351)</f>
        <v/>
      </c>
    </row>
    <row r="352">
      <c r="A352" t="inlineStr">
        <is>
          <t>S-00190</t>
        </is>
      </c>
      <c r="B352" s="4" t="n">
        <v>46088</v>
      </c>
      <c r="C352" t="inlineStr">
        <is>
          <t>Muzaffarpur Cloth House</t>
        </is>
      </c>
      <c r="D352" t="inlineStr">
        <is>
          <t>SALES</t>
        </is>
      </c>
      <c r="E352" t="inlineStr">
        <is>
          <t>Fabrics</t>
        </is>
      </c>
      <c r="F352" s="5" t="n">
        <v>35213.49</v>
      </c>
      <c r="G352" t="n">
        <v>5</v>
      </c>
      <c r="H352" s="5" t="n">
        <v>1760.67</v>
      </c>
      <c r="I352" s="5" t="n">
        <v>36974.16</v>
      </c>
      <c r="J352" s="5" t="n">
        <v>36974.16</v>
      </c>
      <c r="K352" s="4" t="n">
        <v>46129</v>
      </c>
      <c r="L352" s="5">
        <f>IF(I352="","",I352-J352)</f>
        <v/>
      </c>
      <c r="M352">
        <f>IF(K352="","",K352-B352)</f>
        <v/>
      </c>
    </row>
    <row r="353">
      <c r="A353" t="inlineStr">
        <is>
          <t>S-00191</t>
        </is>
      </c>
      <c r="B353" s="4" t="n">
        <v>46096</v>
      </c>
      <c r="C353" t="inlineStr">
        <is>
          <t>Muzaffarpur Cloth House</t>
        </is>
      </c>
      <c r="D353" t="inlineStr">
        <is>
          <t>SALES</t>
        </is>
      </c>
      <c r="E353" t="inlineStr">
        <is>
          <t>Fabrics</t>
        </is>
      </c>
      <c r="F353" s="5" t="n">
        <v>25339.88</v>
      </c>
      <c r="G353" t="n">
        <v>5</v>
      </c>
      <c r="H353" s="5" t="n">
        <v>1266.99</v>
      </c>
      <c r="I353" s="5" t="n">
        <v>26606.87</v>
      </c>
      <c r="J353" s="5" t="n">
        <v>26606.87</v>
      </c>
      <c r="K353" s="4" t="n">
        <v>46147</v>
      </c>
      <c r="L353" s="5">
        <f>IF(I353="","",I353-J353)</f>
        <v/>
      </c>
      <c r="M353">
        <f>IF(K353="","",K353-B353)</f>
        <v/>
      </c>
    </row>
    <row r="354">
      <c r="A354" t="inlineStr">
        <is>
          <t>S-00192</t>
        </is>
      </c>
      <c r="B354" s="4" t="n">
        <v>46108</v>
      </c>
      <c r="C354" t="inlineStr">
        <is>
          <t>Bazaar Collection</t>
        </is>
      </c>
      <c r="D354" t="inlineStr">
        <is>
          <t>SALES</t>
        </is>
      </c>
      <c r="E354" t="inlineStr">
        <is>
          <t>Garments</t>
        </is>
      </c>
      <c r="F354" s="5" t="n">
        <v>43158.09</v>
      </c>
      <c r="G354" t="n">
        <v>12</v>
      </c>
      <c r="H354" s="5" t="n">
        <v>5178.97</v>
      </c>
      <c r="I354" s="5" t="n">
        <v>48337.06</v>
      </c>
      <c r="J354" s="5" t="n">
        <v>48337.06</v>
      </c>
      <c r="K354" s="4" t="n">
        <v>46133</v>
      </c>
      <c r="L354" s="5">
        <f>IF(I354="","",I354-J354)</f>
        <v/>
      </c>
      <c r="M354">
        <f>IF(K354="","",K354-B354)</f>
        <v/>
      </c>
    </row>
    <row r="355">
      <c r="A355" t="inlineStr">
        <is>
          <t>S-00193</t>
        </is>
      </c>
      <c r="B355" s="4" t="n">
        <v>46109</v>
      </c>
      <c r="C355" t="inlineStr">
        <is>
          <t>City Centre Apparel</t>
        </is>
      </c>
      <c r="D355" t="inlineStr">
        <is>
          <t>SALES</t>
        </is>
      </c>
      <c r="E355" t="inlineStr">
        <is>
          <t>Garments</t>
        </is>
      </c>
      <c r="F355" s="5" t="n">
        <v>62273.7</v>
      </c>
      <c r="G355" t="n">
        <v>12</v>
      </c>
      <c r="H355" s="5" t="n">
        <v>7472.84</v>
      </c>
      <c r="I355" s="5" t="n">
        <v>69746.53999999999</v>
      </c>
      <c r="J355" s="5" t="n">
        <v>0</v>
      </c>
      <c r="K355" s="4" t="inlineStr"/>
      <c r="L355" s="5">
        <f>IF(I355="","",I355-J355)</f>
        <v/>
      </c>
      <c r="M355">
        <f>IF(K355="","",K355-B355)</f>
        <v/>
      </c>
    </row>
    <row r="356">
      <c r="A356" t="inlineStr">
        <is>
          <t>S-00194</t>
        </is>
      </c>
      <c r="B356" s="4" t="n">
        <v>46087</v>
      </c>
      <c r="C356" t="inlineStr">
        <is>
          <t>Purnia Fashion Hub</t>
        </is>
      </c>
      <c r="D356" t="inlineStr">
        <is>
          <t>SALES</t>
        </is>
      </c>
      <c r="E356" t="inlineStr">
        <is>
          <t>Fabrics</t>
        </is>
      </c>
      <c r="F356" s="5" t="n">
        <v>21419.38</v>
      </c>
      <c r="G356" t="n">
        <v>5</v>
      </c>
      <c r="H356" s="5" t="n">
        <v>1070.97</v>
      </c>
      <c r="I356" s="5" t="n">
        <v>22490.35</v>
      </c>
      <c r="J356" s="5" t="n">
        <v>22490.35</v>
      </c>
      <c r="K356" s="4" t="n">
        <v>46105</v>
      </c>
      <c r="L356" s="5">
        <f>IF(I356="","",I356-J356)</f>
        <v/>
      </c>
      <c r="M356">
        <f>IF(K356="","",K356-B356)</f>
        <v/>
      </c>
    </row>
    <row r="357">
      <c r="A357" t="inlineStr">
        <is>
          <t>S-00195</t>
        </is>
      </c>
      <c r="B357" s="4" t="n">
        <v>46095</v>
      </c>
      <c r="C357" t="inlineStr">
        <is>
          <t>Kumkum Saree Sadan</t>
        </is>
      </c>
      <c r="D357" t="inlineStr">
        <is>
          <t>SALES</t>
        </is>
      </c>
      <c r="E357" t="inlineStr">
        <is>
          <t>Garments</t>
        </is>
      </c>
      <c r="F357" s="5" t="n">
        <v>54065.42</v>
      </c>
      <c r="G357" t="n">
        <v>12</v>
      </c>
      <c r="H357" s="5" t="n">
        <v>6487.85</v>
      </c>
      <c r="I357" s="5" t="n">
        <v>60553.27</v>
      </c>
      <c r="J357" s="5" t="n">
        <v>60553.27</v>
      </c>
      <c r="K357" s="4" t="n">
        <v>46119</v>
      </c>
      <c r="L357" s="5">
        <f>IF(I357="","",I357-J357)</f>
        <v/>
      </c>
      <c r="M357">
        <f>IF(K357="","",K357-B357)</f>
        <v/>
      </c>
    </row>
    <row r="358">
      <c r="A358" t="inlineStr">
        <is>
          <t>S-00196</t>
        </is>
      </c>
      <c r="B358" s="4" t="n">
        <v>46091</v>
      </c>
      <c r="C358" t="inlineStr">
        <is>
          <t>Sharma Retail Store</t>
        </is>
      </c>
      <c r="D358" t="inlineStr">
        <is>
          <t>SALES</t>
        </is>
      </c>
      <c r="E358" t="inlineStr">
        <is>
          <t>Fabrics</t>
        </is>
      </c>
      <c r="F358" s="5" t="n">
        <v>94083.28</v>
      </c>
      <c r="G358" t="n">
        <v>5</v>
      </c>
      <c r="H358" s="5" t="n">
        <v>4704.16</v>
      </c>
      <c r="I358" s="5" t="n">
        <v>98787.44</v>
      </c>
      <c r="J358" s="5" t="n">
        <v>98787.44</v>
      </c>
      <c r="K358" s="4" t="n">
        <v>46108</v>
      </c>
      <c r="L358" s="5">
        <f>IF(I358="","",I358-J358)</f>
        <v/>
      </c>
      <c r="M358">
        <f>IF(K358="","",K358-B358)</f>
        <v/>
      </c>
    </row>
    <row r="359">
      <c r="A359" t="inlineStr">
        <is>
          <t>S-00197</t>
        </is>
      </c>
      <c r="B359" s="4" t="n">
        <v>46107</v>
      </c>
      <c r="C359" t="inlineStr">
        <is>
          <t>Muzaffarpur Cloth House</t>
        </is>
      </c>
      <c r="D359" t="inlineStr">
        <is>
          <t>SALES</t>
        </is>
      </c>
      <c r="E359" t="inlineStr">
        <is>
          <t>Fabrics</t>
        </is>
      </c>
      <c r="F359" s="5" t="n">
        <v>45238.15</v>
      </c>
      <c r="G359" t="n">
        <v>5</v>
      </c>
      <c r="H359" s="5" t="n">
        <v>2261.91</v>
      </c>
      <c r="I359" s="5" t="n">
        <v>47500.06</v>
      </c>
      <c r="J359" s="5" t="n">
        <v>47500.06</v>
      </c>
      <c r="K359" s="4" t="n">
        <v>46135</v>
      </c>
      <c r="L359" s="5">
        <f>IF(I359="","",I359-J359)</f>
        <v/>
      </c>
      <c r="M359">
        <f>IF(K359="","",K359-B359)</f>
        <v/>
      </c>
    </row>
    <row r="360">
      <c r="A360" t="inlineStr">
        <is>
          <t>S-00198</t>
        </is>
      </c>
      <c r="B360" s="4" t="n">
        <v>46104</v>
      </c>
      <c r="C360" t="inlineStr">
        <is>
          <t>Purnia Fashion Hub</t>
        </is>
      </c>
      <c r="D360" t="inlineStr">
        <is>
          <t>SALES</t>
        </is>
      </c>
      <c r="E360" t="inlineStr">
        <is>
          <t>Fabrics</t>
        </is>
      </c>
      <c r="F360" s="5" t="n">
        <v>90339.66</v>
      </c>
      <c r="G360" t="n">
        <v>5</v>
      </c>
      <c r="H360" s="5" t="n">
        <v>4516.98</v>
      </c>
      <c r="I360" s="5" t="n">
        <v>94856.64</v>
      </c>
      <c r="J360" s="5" t="n">
        <v>0</v>
      </c>
      <c r="K360" s="4" t="inlineStr"/>
      <c r="L360" s="5">
        <f>IF(I360="","",I360-J360)</f>
        <v/>
      </c>
      <c r="M360">
        <f>IF(K360="","",K360-B360)</f>
        <v/>
      </c>
    </row>
    <row r="361">
      <c r="A361" t="inlineStr">
        <is>
          <t>S-00199</t>
        </is>
      </c>
      <c r="B361" s="4" t="n">
        <v>46082</v>
      </c>
      <c r="C361" t="inlineStr">
        <is>
          <t>Gaya Textile Traders</t>
        </is>
      </c>
      <c r="D361" t="inlineStr">
        <is>
          <t>SALES</t>
        </is>
      </c>
      <c r="E361" t="inlineStr">
        <is>
          <t>Garments</t>
        </is>
      </c>
      <c r="F361" s="5" t="n">
        <v>87449.39999999999</v>
      </c>
      <c r="G361" t="n">
        <v>12</v>
      </c>
      <c r="H361" s="5" t="n">
        <v>10493.93</v>
      </c>
      <c r="I361" s="5" t="n">
        <v>97943.33</v>
      </c>
      <c r="J361" s="5" t="n">
        <v>97943.33</v>
      </c>
      <c r="K361" s="4" t="n">
        <v>46107</v>
      </c>
      <c r="L361" s="5">
        <f>IF(I361="","",I361-J361)</f>
        <v/>
      </c>
      <c r="M361">
        <f>IF(K361="","",K361-B361)</f>
        <v/>
      </c>
    </row>
    <row r="362">
      <c r="A362" t="inlineStr">
        <is>
          <t>S-00200</t>
        </is>
      </c>
      <c r="B362" s="4" t="n">
        <v>46105</v>
      </c>
      <c r="C362" t="inlineStr">
        <is>
          <t>Bazaar Collection</t>
        </is>
      </c>
      <c r="D362" t="inlineStr">
        <is>
          <t>SALES</t>
        </is>
      </c>
      <c r="E362" t="inlineStr">
        <is>
          <t>Accessories</t>
        </is>
      </c>
      <c r="F362" s="5" t="n">
        <v>65556.67</v>
      </c>
      <c r="G362" t="n">
        <v>12</v>
      </c>
      <c r="H362" s="5" t="n">
        <v>7866.8</v>
      </c>
      <c r="I362" s="5" t="n">
        <v>73423.47</v>
      </c>
      <c r="J362" s="5" t="n">
        <v>73423.47</v>
      </c>
      <c r="K362" s="4" t="n">
        <v>46120</v>
      </c>
      <c r="L362" s="5">
        <f>IF(I362="","",I362-J362)</f>
        <v/>
      </c>
      <c r="M362">
        <f>IF(K362="","",K362-B362)</f>
        <v/>
      </c>
    </row>
    <row r="363">
      <c r="A363" t="inlineStr">
        <is>
          <t>S-00201</t>
        </is>
      </c>
      <c r="B363" s="4" t="n">
        <v>46112</v>
      </c>
      <c r="C363" t="inlineStr">
        <is>
          <t>Patna Fashion House</t>
        </is>
      </c>
      <c r="D363" t="inlineStr">
        <is>
          <t>SALES</t>
        </is>
      </c>
      <c r="E363" t="inlineStr">
        <is>
          <t>Fabrics</t>
        </is>
      </c>
      <c r="F363" s="5" t="n">
        <v>85978.8</v>
      </c>
      <c r="G363" t="n">
        <v>5</v>
      </c>
      <c r="H363" s="5" t="n">
        <v>4298.94</v>
      </c>
      <c r="I363" s="5" t="n">
        <v>90277.74000000001</v>
      </c>
      <c r="J363" s="5" t="n">
        <v>90277.74000000001</v>
      </c>
      <c r="K363" s="4" t="n">
        <v>46156</v>
      </c>
      <c r="L363" s="5">
        <f>IF(I363="","",I363-J363)</f>
        <v/>
      </c>
      <c r="M363">
        <f>IF(K363="","",K363-B363)</f>
        <v/>
      </c>
    </row>
    <row r="364">
      <c r="A364" t="inlineStr">
        <is>
          <t>S-00202</t>
        </is>
      </c>
      <c r="B364" s="4" t="n">
        <v>46106</v>
      </c>
      <c r="C364" t="inlineStr">
        <is>
          <t>Lakshmi Cloth Store</t>
        </is>
      </c>
      <c r="D364" t="inlineStr">
        <is>
          <t>SALES</t>
        </is>
      </c>
      <c r="E364" t="inlineStr">
        <is>
          <t>Fabrics</t>
        </is>
      </c>
      <c r="F364" s="5" t="n">
        <v>84758.75</v>
      </c>
      <c r="G364" t="n">
        <v>5</v>
      </c>
      <c r="H364" s="5" t="n">
        <v>4237.94</v>
      </c>
      <c r="I364" s="5" t="n">
        <v>88996.69</v>
      </c>
      <c r="J364" s="5" t="n">
        <v>88996.69</v>
      </c>
      <c r="K364" s="4" t="n">
        <v>46127</v>
      </c>
      <c r="L364" s="5">
        <f>IF(I364="","",I364-J364)</f>
        <v/>
      </c>
      <c r="M364">
        <f>IF(K364="","",K364-B364)</f>
        <v/>
      </c>
    </row>
    <row r="365">
      <c r="A365" t="inlineStr">
        <is>
          <t>S-00203</t>
        </is>
      </c>
      <c r="B365" s="4" t="n">
        <v>46098</v>
      </c>
      <c r="C365" t="inlineStr">
        <is>
          <t>Gaya Textile Traders</t>
        </is>
      </c>
      <c r="D365" t="inlineStr">
        <is>
          <t>SALES</t>
        </is>
      </c>
      <c r="E365" t="inlineStr">
        <is>
          <t>Accessories</t>
        </is>
      </c>
      <c r="F365" s="5" t="n">
        <v>17073.84</v>
      </c>
      <c r="G365" t="n">
        <v>12</v>
      </c>
      <c r="H365" s="5" t="n">
        <v>2048.86</v>
      </c>
      <c r="I365" s="5" t="n">
        <v>19122.7</v>
      </c>
      <c r="J365" s="5" t="n">
        <v>19122.7</v>
      </c>
      <c r="K365" s="4" t="n">
        <v>46150</v>
      </c>
      <c r="L365" s="5">
        <f>IF(I365="","",I365-J365)</f>
        <v/>
      </c>
      <c r="M365">
        <f>IF(K365="","",K365-B365)</f>
        <v/>
      </c>
    </row>
    <row r="366">
      <c r="A366" t="inlineStr">
        <is>
          <t>S-00204</t>
        </is>
      </c>
      <c r="B366" s="4" t="n">
        <v>46085</v>
      </c>
      <c r="C366" t="inlineStr">
        <is>
          <t>Purnia Fashion Hub</t>
        </is>
      </c>
      <c r="D366" t="inlineStr">
        <is>
          <t>SALES</t>
        </is>
      </c>
      <c r="E366" t="inlineStr">
        <is>
          <t>Fabrics</t>
        </is>
      </c>
      <c r="F366" s="5" t="n">
        <v>68473.31</v>
      </c>
      <c r="G366" t="n">
        <v>5</v>
      </c>
      <c r="H366" s="5" t="n">
        <v>3423.67</v>
      </c>
      <c r="I366" s="5" t="n">
        <v>71896.98</v>
      </c>
      <c r="J366" s="5" t="n">
        <v>71896.98</v>
      </c>
      <c r="K366" s="4" t="n">
        <v>46149</v>
      </c>
      <c r="L366" s="5">
        <f>IF(I366="","",I366-J366)</f>
        <v/>
      </c>
      <c r="M366">
        <f>IF(K366="","",K366-B366)</f>
        <v/>
      </c>
    </row>
    <row r="367">
      <c r="A367" t="inlineStr">
        <is>
          <t>S-00205</t>
        </is>
      </c>
      <c r="B367" s="4" t="n">
        <v>46096</v>
      </c>
      <c r="C367" t="inlineStr">
        <is>
          <t>Muzaffarpur Cloth House</t>
        </is>
      </c>
      <c r="D367" t="inlineStr">
        <is>
          <t>SALES</t>
        </is>
      </c>
      <c r="E367" t="inlineStr">
        <is>
          <t>Garments</t>
        </is>
      </c>
      <c r="F367" s="5" t="n">
        <v>21628.66</v>
      </c>
      <c r="G367" t="n">
        <v>12</v>
      </c>
      <c r="H367" s="5" t="n">
        <v>2595.44</v>
      </c>
      <c r="I367" s="5" t="n">
        <v>24224.1</v>
      </c>
      <c r="J367" s="5" t="n">
        <v>24224.1</v>
      </c>
      <c r="K367" s="4" t="n">
        <v>46133</v>
      </c>
      <c r="L367" s="5">
        <f>IF(I367="","",I367-J367)</f>
        <v/>
      </c>
      <c r="M367">
        <f>IF(K367="","",K367-B367)</f>
        <v/>
      </c>
    </row>
    <row r="368">
      <c r="A368" t="inlineStr">
        <is>
          <t>S-00206</t>
        </is>
      </c>
      <c r="B368" s="4" t="n">
        <v>46109</v>
      </c>
      <c r="C368" t="inlineStr">
        <is>
          <t>Sharma Retail Store</t>
        </is>
      </c>
      <c r="D368" t="inlineStr">
        <is>
          <t>SALES</t>
        </is>
      </c>
      <c r="E368" t="inlineStr">
        <is>
          <t>Accessories</t>
        </is>
      </c>
      <c r="F368" s="5" t="n">
        <v>40566.65</v>
      </c>
      <c r="G368" t="n">
        <v>12</v>
      </c>
      <c r="H368" s="5" t="n">
        <v>4868</v>
      </c>
      <c r="I368" s="5" t="n">
        <v>45434.65</v>
      </c>
      <c r="J368" s="5" t="n">
        <v>45434.65</v>
      </c>
      <c r="K368" s="4" t="n">
        <v>46144</v>
      </c>
      <c r="L368" s="5">
        <f>IF(I368="","",I368-J368)</f>
        <v/>
      </c>
      <c r="M368">
        <f>IF(K368="","",K368-B368)</f>
        <v/>
      </c>
    </row>
    <row r="369">
      <c r="A369" t="inlineStr">
        <is>
          <t>S-00207</t>
        </is>
      </c>
      <c r="B369" s="4" t="n">
        <v>46085</v>
      </c>
      <c r="C369" t="inlineStr">
        <is>
          <t>Arrah Garment Plaza</t>
        </is>
      </c>
      <c r="D369" t="inlineStr">
        <is>
          <t>SALES</t>
        </is>
      </c>
      <c r="E369" t="inlineStr">
        <is>
          <t>Garments</t>
        </is>
      </c>
      <c r="F369" s="5" t="n">
        <v>29374.66</v>
      </c>
      <c r="G369" t="n">
        <v>12</v>
      </c>
      <c r="H369" s="5" t="n">
        <v>3524.96</v>
      </c>
      <c r="I369" s="5" t="n">
        <v>32899.62</v>
      </c>
      <c r="J369" s="5" t="n">
        <v>0</v>
      </c>
      <c r="K369" s="4" t="inlineStr"/>
      <c r="L369" s="5">
        <f>IF(I369="","",I369-J369)</f>
        <v/>
      </c>
      <c r="M369">
        <f>IF(K369="","",K369-B369)</f>
        <v/>
      </c>
    </row>
    <row r="370">
      <c r="A370" t="inlineStr">
        <is>
          <t>S-00208</t>
        </is>
      </c>
      <c r="B370" s="4" t="n">
        <v>46094</v>
      </c>
      <c r="C370" t="inlineStr">
        <is>
          <t>Sharma Retail Store</t>
        </is>
      </c>
      <c r="D370" t="inlineStr">
        <is>
          <t>SALES</t>
        </is>
      </c>
      <c r="E370" t="inlineStr">
        <is>
          <t>Accessories</t>
        </is>
      </c>
      <c r="F370" s="5" t="n">
        <v>31646.2</v>
      </c>
      <c r="G370" t="n">
        <v>12</v>
      </c>
      <c r="H370" s="5" t="n">
        <v>3797.54</v>
      </c>
      <c r="I370" s="5" t="n">
        <v>35443.74</v>
      </c>
      <c r="J370" s="5" t="n">
        <v>35443.74</v>
      </c>
      <c r="K370" s="4" t="n">
        <v>46125</v>
      </c>
      <c r="L370" s="5">
        <f>IF(I370="","",I370-J370)</f>
        <v/>
      </c>
      <c r="M370">
        <f>IF(K370="","",K370-B370)</f>
        <v/>
      </c>
    </row>
    <row r="371">
      <c r="A371" t="inlineStr">
        <is>
          <t>S-00209</t>
        </is>
      </c>
      <c r="B371" s="4" t="n">
        <v>46087</v>
      </c>
      <c r="C371" t="inlineStr">
        <is>
          <t>Bhagalpur Silk Centre</t>
        </is>
      </c>
      <c r="D371" t="inlineStr">
        <is>
          <t>SALES</t>
        </is>
      </c>
      <c r="E371" t="inlineStr">
        <is>
          <t>Accessories</t>
        </is>
      </c>
      <c r="F371" s="5" t="n">
        <v>68061</v>
      </c>
      <c r="G371" t="n">
        <v>12</v>
      </c>
      <c r="H371" s="5" t="n">
        <v>8167.32</v>
      </c>
      <c r="I371" s="5" t="n">
        <v>76228.32000000001</v>
      </c>
      <c r="J371" s="5" t="n">
        <v>0</v>
      </c>
      <c r="K371" s="4" t="inlineStr"/>
      <c r="L371" s="5">
        <f>IF(I371="","",I371-J371)</f>
        <v/>
      </c>
      <c r="M371">
        <f>IF(K371="","",K371-B371)</f>
        <v/>
      </c>
    </row>
    <row r="372">
      <c r="A372" t="inlineStr">
        <is>
          <t>S-00210</t>
        </is>
      </c>
      <c r="B372" s="4" t="n">
        <v>46110</v>
      </c>
      <c r="C372" t="inlineStr">
        <is>
          <t>City Centre Apparel</t>
        </is>
      </c>
      <c r="D372" t="inlineStr">
        <is>
          <t>SALES</t>
        </is>
      </c>
      <c r="E372" t="inlineStr">
        <is>
          <t>Fabrics</t>
        </is>
      </c>
      <c r="F372" s="5" t="n">
        <v>36464.29</v>
      </c>
      <c r="G372" t="n">
        <v>5</v>
      </c>
      <c r="H372" s="5" t="n">
        <v>1823.21</v>
      </c>
      <c r="I372" s="5" t="n">
        <v>38287.5</v>
      </c>
      <c r="J372" s="5" t="n">
        <v>38287.5</v>
      </c>
      <c r="K372" s="4" t="n">
        <v>46127</v>
      </c>
      <c r="L372" s="5">
        <f>IF(I372="","",I372-J372)</f>
        <v/>
      </c>
      <c r="M372">
        <f>IF(K372="","",K372-B372)</f>
        <v/>
      </c>
    </row>
    <row r="373">
      <c r="A373" t="inlineStr">
        <is>
          <t>S-00211</t>
        </is>
      </c>
      <c r="B373" s="4" t="n">
        <v>46098</v>
      </c>
      <c r="C373" t="inlineStr">
        <is>
          <t>Arrah Garment Plaza</t>
        </is>
      </c>
      <c r="D373" t="inlineStr">
        <is>
          <t>SALES</t>
        </is>
      </c>
      <c r="E373" t="inlineStr">
        <is>
          <t>Garments</t>
        </is>
      </c>
      <c r="F373" s="5" t="n">
        <v>27009.42</v>
      </c>
      <c r="G373" t="n">
        <v>12</v>
      </c>
      <c r="H373" s="5" t="n">
        <v>3241.13</v>
      </c>
      <c r="I373" s="5" t="n">
        <v>30250.55</v>
      </c>
      <c r="J373" s="5" t="n">
        <v>30250.55</v>
      </c>
      <c r="K373" s="4" t="n">
        <v>46141</v>
      </c>
      <c r="L373" s="5">
        <f>IF(I373="","",I373-J373)</f>
        <v/>
      </c>
      <c r="M373">
        <f>IF(K373="","",K373-B373)</f>
        <v/>
      </c>
    </row>
    <row r="374">
      <c r="A374" t="inlineStr">
        <is>
          <t>S-00212</t>
        </is>
      </c>
      <c r="B374" s="4" t="n">
        <v>46107</v>
      </c>
      <c r="C374" t="inlineStr">
        <is>
          <t>Arrah Garment Plaza</t>
        </is>
      </c>
      <c r="D374" t="inlineStr">
        <is>
          <t>SALES</t>
        </is>
      </c>
      <c r="E374" t="inlineStr">
        <is>
          <t>Fabrics</t>
        </is>
      </c>
      <c r="F374" s="5" t="n">
        <v>56957.26</v>
      </c>
      <c r="G374" t="n">
        <v>5</v>
      </c>
      <c r="H374" s="5" t="n">
        <v>2847.86</v>
      </c>
      <c r="I374" s="5" t="n">
        <v>59805.12</v>
      </c>
      <c r="J374" s="5" t="n">
        <v>59805.12</v>
      </c>
      <c r="K374" s="4" t="n">
        <v>46150</v>
      </c>
      <c r="L374" s="5">
        <f>IF(I374="","",I374-J374)</f>
        <v/>
      </c>
      <c r="M374">
        <f>IF(K374="","",K374-B374)</f>
        <v/>
      </c>
    </row>
    <row r="375">
      <c r="A375" t="inlineStr">
        <is>
          <t>S-00213</t>
        </is>
      </c>
      <c r="B375" s="4" t="n">
        <v>46095</v>
      </c>
      <c r="C375" t="inlineStr">
        <is>
          <t>Bazaar Collection</t>
        </is>
      </c>
      <c r="D375" t="inlineStr">
        <is>
          <t>SALES</t>
        </is>
      </c>
      <c r="E375" t="inlineStr">
        <is>
          <t>Garments</t>
        </is>
      </c>
      <c r="F375" s="5" t="n">
        <v>48411.6</v>
      </c>
      <c r="G375" t="n">
        <v>12</v>
      </c>
      <c r="H375" s="5" t="n">
        <v>5809.39</v>
      </c>
      <c r="I375" s="5" t="n">
        <v>54220.99</v>
      </c>
      <c r="J375" s="5" t="n">
        <v>0</v>
      </c>
      <c r="K375" s="4" t="inlineStr"/>
      <c r="L375" s="5">
        <f>IF(I375="","",I375-J375)</f>
        <v/>
      </c>
      <c r="M375">
        <f>IF(K375="","",K375-B375)</f>
        <v/>
      </c>
    </row>
    <row r="376">
      <c r="A376" t="inlineStr">
        <is>
          <t>S-00214</t>
        </is>
      </c>
      <c r="B376" s="4" t="n">
        <v>46090</v>
      </c>
      <c r="C376" t="inlineStr">
        <is>
          <t>City Centre Apparel</t>
        </is>
      </c>
      <c r="D376" t="inlineStr">
        <is>
          <t>SALES</t>
        </is>
      </c>
      <c r="E376" t="inlineStr">
        <is>
          <t>Accessories</t>
        </is>
      </c>
      <c r="F376" s="5" t="n">
        <v>54207.41</v>
      </c>
      <c r="G376" t="n">
        <v>12</v>
      </c>
      <c r="H376" s="5" t="n">
        <v>6504.89</v>
      </c>
      <c r="I376" s="5" t="n">
        <v>60712.3</v>
      </c>
      <c r="J376" s="5" t="n">
        <v>60712.3</v>
      </c>
      <c r="K376" s="4" t="n">
        <v>46130</v>
      </c>
      <c r="L376" s="5">
        <f>IF(I376="","",I376-J376)</f>
        <v/>
      </c>
      <c r="M376">
        <f>IF(K376="","",K376-B376)</f>
        <v/>
      </c>
    </row>
    <row r="377">
      <c r="A377" t="inlineStr">
        <is>
          <t>S-00215</t>
        </is>
      </c>
      <c r="B377" s="4" t="n">
        <v>46112</v>
      </c>
      <c r="C377" t="inlineStr">
        <is>
          <t>Trendy Threads</t>
        </is>
      </c>
      <c r="D377" t="inlineStr">
        <is>
          <t>SALES</t>
        </is>
      </c>
      <c r="E377" t="inlineStr">
        <is>
          <t>Fabrics</t>
        </is>
      </c>
      <c r="F377" s="5" t="n">
        <v>82675.03999999999</v>
      </c>
      <c r="G377" t="n">
        <v>5</v>
      </c>
      <c r="H377" s="5" t="n">
        <v>4133.75</v>
      </c>
      <c r="I377" s="5" t="n">
        <v>86808.78999999999</v>
      </c>
      <c r="J377" s="5" t="n">
        <v>62770.1</v>
      </c>
      <c r="K377" s="4" t="n">
        <v>46140</v>
      </c>
      <c r="L377" s="5">
        <f>IF(I377="","",I377-J377)</f>
        <v/>
      </c>
      <c r="M377">
        <f>IF(K377="","",K377-B377)</f>
        <v/>
      </c>
    </row>
    <row r="378">
      <c r="A378" t="inlineStr">
        <is>
          <t>S-00216</t>
        </is>
      </c>
      <c r="B378" s="4" t="n">
        <v>46086</v>
      </c>
      <c r="C378" t="inlineStr">
        <is>
          <t>New Look Garments</t>
        </is>
      </c>
      <c r="D378" t="inlineStr">
        <is>
          <t>SALES</t>
        </is>
      </c>
      <c r="E378" t="inlineStr">
        <is>
          <t>Fabrics</t>
        </is>
      </c>
      <c r="F378" s="5" t="n">
        <v>49703.84</v>
      </c>
      <c r="G378" t="n">
        <v>5</v>
      </c>
      <c r="H378" s="5" t="n">
        <v>2485.19</v>
      </c>
      <c r="I378" s="5" t="n">
        <v>52189.03</v>
      </c>
      <c r="J378" s="5" t="n">
        <v>52189.03</v>
      </c>
      <c r="K378" s="4" t="n">
        <v>46122</v>
      </c>
      <c r="L378" s="5">
        <f>IF(I378="","",I378-J378)</f>
        <v/>
      </c>
      <c r="M378">
        <f>IF(K378="","",K378-B378)</f>
        <v/>
      </c>
    </row>
    <row r="379">
      <c r="A379" t="inlineStr">
        <is>
          <t>P-00087</t>
        </is>
      </c>
      <c r="B379" s="4" t="n">
        <v>46103</v>
      </c>
      <c r="C379" t="inlineStr">
        <is>
          <t>Delhi Fabric Suppliers</t>
        </is>
      </c>
      <c r="D379" t="inlineStr">
        <is>
          <t>PURCHASE</t>
        </is>
      </c>
      <c r="E379" t="inlineStr">
        <is>
          <t>Inventory purchases</t>
        </is>
      </c>
      <c r="F379" s="5" t="n">
        <v>100197.09</v>
      </c>
      <c r="G379" t="n">
        <v>5</v>
      </c>
      <c r="H379" s="5" t="n">
        <v>5009.85</v>
      </c>
      <c r="I379" s="5" t="n">
        <v>105206.94</v>
      </c>
      <c r="J379" s="5" t="n">
        <v>105206.94</v>
      </c>
      <c r="K379" s="4" t="n">
        <v>46114</v>
      </c>
      <c r="L379" s="5">
        <f>IF(I379="","",I379-J379)</f>
        <v/>
      </c>
      <c r="M379">
        <f>IF(K379="","",K379-B379)</f>
        <v/>
      </c>
    </row>
    <row r="380">
      <c r="A380" t="inlineStr">
        <is>
          <t>P-00088</t>
        </is>
      </c>
      <c r="B380" s="4" t="n">
        <v>46098</v>
      </c>
      <c r="C380" t="inlineStr">
        <is>
          <t>Jaipur Print Works</t>
        </is>
      </c>
      <c r="D380" t="inlineStr">
        <is>
          <t>PURCHASE</t>
        </is>
      </c>
      <c r="E380" t="inlineStr">
        <is>
          <t>Inventory purchases</t>
        </is>
      </c>
      <c r="F380" s="5" t="n">
        <v>105818.64</v>
      </c>
      <c r="G380" t="n">
        <v>5</v>
      </c>
      <c r="H380" s="5" t="n">
        <v>5290.93</v>
      </c>
      <c r="I380" s="5" t="n">
        <v>111109.57</v>
      </c>
      <c r="J380" s="5" t="n">
        <v>0</v>
      </c>
      <c r="K380" s="4" t="inlineStr"/>
      <c r="L380" s="5">
        <f>IF(I380="","",I380-J380)</f>
        <v/>
      </c>
      <c r="M380">
        <f>IF(K380="","",K380-B380)</f>
        <v/>
      </c>
    </row>
    <row r="381">
      <c r="A381" t="inlineStr">
        <is>
          <t>P-00089</t>
        </is>
      </c>
      <c r="B381" s="4" t="n">
        <v>46082</v>
      </c>
      <c r="C381" t="inlineStr">
        <is>
          <t>Delhi Fabric Suppliers</t>
        </is>
      </c>
      <c r="D381" t="inlineStr">
        <is>
          <t>PURCHASE</t>
        </is>
      </c>
      <c r="E381" t="inlineStr">
        <is>
          <t>Inventory purchases</t>
        </is>
      </c>
      <c r="F381" s="5" t="n">
        <v>64477.47</v>
      </c>
      <c r="G381" t="n">
        <v>5</v>
      </c>
      <c r="H381" s="5" t="n">
        <v>3223.87</v>
      </c>
      <c r="I381" s="5" t="n">
        <v>67701.34</v>
      </c>
      <c r="J381" s="5" t="n">
        <v>67701.34</v>
      </c>
      <c r="K381" s="4" t="n">
        <v>46106</v>
      </c>
      <c r="L381" s="5">
        <f>IF(I381="","",I381-J381)</f>
        <v/>
      </c>
      <c r="M381">
        <f>IF(K381="","",K381-B381)</f>
        <v/>
      </c>
    </row>
    <row r="382">
      <c r="A382" t="inlineStr">
        <is>
          <t>P-00090</t>
        </is>
      </c>
      <c r="B382" s="4" t="n">
        <v>46108</v>
      </c>
      <c r="C382" t="inlineStr">
        <is>
          <t>Ludhiana Knitwear Co</t>
        </is>
      </c>
      <c r="D382" t="inlineStr">
        <is>
          <t>PURCHASE</t>
        </is>
      </c>
      <c r="E382" t="inlineStr">
        <is>
          <t>Inventory purchases</t>
        </is>
      </c>
      <c r="F382" s="5" t="n">
        <v>102060.28</v>
      </c>
      <c r="G382" t="n">
        <v>5</v>
      </c>
      <c r="H382" s="5" t="n">
        <v>5103.01</v>
      </c>
      <c r="I382" s="5" t="n">
        <v>107163.29</v>
      </c>
      <c r="J382" s="5" t="n">
        <v>107163.29</v>
      </c>
      <c r="K382" s="4" t="n">
        <v>46120</v>
      </c>
      <c r="L382" s="5">
        <f>IF(I382="","",I382-J382)</f>
        <v/>
      </c>
      <c r="M382">
        <f>IF(K382="","",K382-B382)</f>
        <v/>
      </c>
    </row>
    <row r="383">
      <c r="A383" t="inlineStr">
        <is>
          <t>P-00091</t>
        </is>
      </c>
      <c r="B383" s="4" t="n">
        <v>46099</v>
      </c>
      <c r="C383" t="inlineStr">
        <is>
          <t>Jaipur Print Works</t>
        </is>
      </c>
      <c r="D383" t="inlineStr">
        <is>
          <t>PURCHASE</t>
        </is>
      </c>
      <c r="E383" t="inlineStr">
        <is>
          <t>Inventory purchases</t>
        </is>
      </c>
      <c r="F383" s="5" t="n">
        <v>15018.41</v>
      </c>
      <c r="G383" t="n">
        <v>5</v>
      </c>
      <c r="H383" s="5" t="n">
        <v>750.92</v>
      </c>
      <c r="I383" s="5" t="n">
        <v>15769.33</v>
      </c>
      <c r="J383" s="5" t="n">
        <v>15769.33</v>
      </c>
      <c r="K383" s="4" t="n">
        <v>46116</v>
      </c>
      <c r="L383" s="5">
        <f>IF(I383="","",I383-J383)</f>
        <v/>
      </c>
      <c r="M383">
        <f>IF(K383="","",K383-B383)</f>
        <v/>
      </c>
    </row>
    <row r="384">
      <c r="A384" t="inlineStr">
        <is>
          <t>P-00092</t>
        </is>
      </c>
      <c r="B384" s="4" t="n">
        <v>46097</v>
      </c>
      <c r="C384" t="inlineStr">
        <is>
          <t>Tiruppur Garment Works</t>
        </is>
      </c>
      <c r="D384" t="inlineStr">
        <is>
          <t>PURCHASE</t>
        </is>
      </c>
      <c r="E384" t="inlineStr">
        <is>
          <t>Inventory purchases</t>
        </is>
      </c>
      <c r="F384" s="5" t="n">
        <v>53622.4</v>
      </c>
      <c r="G384" t="n">
        <v>5</v>
      </c>
      <c r="H384" s="5" t="n">
        <v>2681.12</v>
      </c>
      <c r="I384" s="5" t="n">
        <v>56303.52</v>
      </c>
      <c r="J384" s="5" t="n">
        <v>56303.52</v>
      </c>
      <c r="K384" s="4" t="n">
        <v>46107</v>
      </c>
      <c r="L384" s="5">
        <f>IF(I384="","",I384-J384)</f>
        <v/>
      </c>
      <c r="M384">
        <f>IF(K384="","",K384-B384)</f>
        <v/>
      </c>
    </row>
    <row r="385">
      <c r="A385" t="inlineStr">
        <is>
          <t>P-00093</t>
        </is>
      </c>
      <c r="B385" s="4" t="n">
        <v>46102</v>
      </c>
      <c r="C385" t="inlineStr">
        <is>
          <t>Delhi Fabric Suppliers</t>
        </is>
      </c>
      <c r="D385" t="inlineStr">
        <is>
          <t>PURCHASE</t>
        </is>
      </c>
      <c r="E385" t="inlineStr">
        <is>
          <t>Inventory purchases</t>
        </is>
      </c>
      <c r="F385" s="5" t="n">
        <v>94740.85000000001</v>
      </c>
      <c r="G385" t="n">
        <v>5</v>
      </c>
      <c r="H385" s="5" t="n">
        <v>4737.04</v>
      </c>
      <c r="I385" s="5" t="n">
        <v>99477.89</v>
      </c>
      <c r="J385" s="5" t="n">
        <v>99477.89</v>
      </c>
      <c r="K385" s="4" t="n">
        <v>46116</v>
      </c>
      <c r="L385" s="5">
        <f>IF(I385="","",I385-J385)</f>
        <v/>
      </c>
      <c r="M385">
        <f>IF(K385="","",K385-B385)</f>
        <v/>
      </c>
    </row>
    <row r="386">
      <c r="A386" t="inlineStr">
        <is>
          <t>P-00094</t>
        </is>
      </c>
      <c r="B386" s="4" t="n">
        <v>46111</v>
      </c>
      <c r="C386" t="inlineStr">
        <is>
          <t>Kolkata Hosiery House</t>
        </is>
      </c>
      <c r="D386" t="inlineStr">
        <is>
          <t>PURCHASE</t>
        </is>
      </c>
      <c r="E386" t="inlineStr">
        <is>
          <t>Inventory purchases</t>
        </is>
      </c>
      <c r="F386" s="5" t="n">
        <v>65188.28</v>
      </c>
      <c r="G386" t="n">
        <v>5</v>
      </c>
      <c r="H386" s="5" t="n">
        <v>3259.41</v>
      </c>
      <c r="I386" s="5" t="n">
        <v>68447.69</v>
      </c>
      <c r="J386" s="5" t="n">
        <v>68447.69</v>
      </c>
      <c r="K386" s="4" t="n">
        <v>46134</v>
      </c>
      <c r="L386" s="5">
        <f>IF(I386="","",I386-J386)</f>
        <v/>
      </c>
      <c r="M386">
        <f>IF(K386="","",K386-B386)</f>
        <v/>
      </c>
    </row>
    <row r="387">
      <c r="A387" t="inlineStr">
        <is>
          <t>P-00095</t>
        </is>
      </c>
      <c r="B387" s="4" t="n">
        <v>46084</v>
      </c>
      <c r="C387" t="inlineStr">
        <is>
          <t>Surat Textile Mills</t>
        </is>
      </c>
      <c r="D387" t="inlineStr">
        <is>
          <t>PURCHASE</t>
        </is>
      </c>
      <c r="E387" t="inlineStr">
        <is>
          <t>Inventory purchases</t>
        </is>
      </c>
      <c r="F387" s="5" t="n">
        <v>17758.67</v>
      </c>
      <c r="G387" t="n">
        <v>5</v>
      </c>
      <c r="H387" s="5" t="n">
        <v>887.9299999999999</v>
      </c>
      <c r="I387" s="5" t="n">
        <v>18646.6</v>
      </c>
      <c r="J387" s="5" t="n">
        <v>18646.6</v>
      </c>
      <c r="K387" s="4" t="n">
        <v>46099</v>
      </c>
      <c r="L387" s="5">
        <f>IF(I387="","",I387-J387)</f>
        <v/>
      </c>
      <c r="M387">
        <f>IF(K387="","",K387-B387)</f>
        <v/>
      </c>
    </row>
    <row r="388">
      <c r="A388" t="inlineStr">
        <is>
          <t>P-00096</t>
        </is>
      </c>
      <c r="B388" s="4" t="n">
        <v>46089</v>
      </c>
      <c r="C388" t="inlineStr">
        <is>
          <t>Ludhiana Knitwear Co</t>
        </is>
      </c>
      <c r="D388" t="inlineStr">
        <is>
          <t>PURCHASE</t>
        </is>
      </c>
      <c r="E388" t="inlineStr">
        <is>
          <t>Inventory purchases</t>
        </is>
      </c>
      <c r="F388" s="5" t="n">
        <v>114430.32</v>
      </c>
      <c r="G388" t="n">
        <v>5</v>
      </c>
      <c r="H388" s="5" t="n">
        <v>5721.52</v>
      </c>
      <c r="I388" s="5" t="n">
        <v>120151.84</v>
      </c>
      <c r="J388" s="5" t="n">
        <v>120151.84</v>
      </c>
      <c r="K388" s="4" t="n">
        <v>46109</v>
      </c>
      <c r="L388" s="5">
        <f>IF(I388="","",I388-J388)</f>
        <v/>
      </c>
      <c r="M388">
        <f>IF(K388="","",K388-B388)</f>
        <v/>
      </c>
    </row>
    <row r="389">
      <c r="A389" t="inlineStr">
        <is>
          <t>P-00097</t>
        </is>
      </c>
      <c r="B389" s="4" t="n">
        <v>46085</v>
      </c>
      <c r="C389" t="inlineStr">
        <is>
          <t>Tiruppur Garment Works</t>
        </is>
      </c>
      <c r="D389" t="inlineStr">
        <is>
          <t>PURCHASE</t>
        </is>
      </c>
      <c r="E389" t="inlineStr">
        <is>
          <t>Inventory purchases</t>
        </is>
      </c>
      <c r="F389" s="5" t="n">
        <v>92864.86</v>
      </c>
      <c r="G389" t="n">
        <v>5</v>
      </c>
      <c r="H389" s="5" t="n">
        <v>4643.24</v>
      </c>
      <c r="I389" s="5" t="n">
        <v>97508.10000000001</v>
      </c>
      <c r="J389" s="5" t="n">
        <v>97508.10000000001</v>
      </c>
      <c r="K389" s="4" t="n">
        <v>46100</v>
      </c>
      <c r="L389" s="5">
        <f>IF(I389="","",I389-J389)</f>
        <v/>
      </c>
      <c r="M389">
        <f>IF(K389="","",K389-B389)</f>
        <v/>
      </c>
    </row>
    <row r="390">
      <c r="A390" t="inlineStr">
        <is>
          <t>P-00098</t>
        </is>
      </c>
      <c r="B390" s="4" t="n">
        <v>46088</v>
      </c>
      <c r="C390" t="inlineStr">
        <is>
          <t>Delhi Fabric Suppliers</t>
        </is>
      </c>
      <c r="D390" t="inlineStr">
        <is>
          <t>PURCHASE</t>
        </is>
      </c>
      <c r="E390" t="inlineStr">
        <is>
          <t>Inventory purchases</t>
        </is>
      </c>
      <c r="F390" s="5" t="n">
        <v>20199.49</v>
      </c>
      <c r="G390" t="n">
        <v>5</v>
      </c>
      <c r="H390" s="5" t="n">
        <v>1009.97</v>
      </c>
      <c r="I390" s="5" t="n">
        <v>21209.46</v>
      </c>
      <c r="J390" s="5" t="n">
        <v>21209.46</v>
      </c>
      <c r="K390" s="4" t="n">
        <v>46095</v>
      </c>
      <c r="L390" s="5">
        <f>IF(I390="","",I390-J390)</f>
        <v/>
      </c>
      <c r="M390">
        <f>IF(K390="","",K390-B390)</f>
        <v/>
      </c>
    </row>
    <row r="391">
      <c r="A391" t="inlineStr">
        <is>
          <t>P-00099</t>
        </is>
      </c>
      <c r="B391" s="4" t="n">
        <v>46092</v>
      </c>
      <c r="C391" t="inlineStr">
        <is>
          <t>Surat Textile Mills</t>
        </is>
      </c>
      <c r="D391" t="inlineStr">
        <is>
          <t>PURCHASE</t>
        </is>
      </c>
      <c r="E391" t="inlineStr">
        <is>
          <t>Inventory purchases</t>
        </is>
      </c>
      <c r="F391" s="5" t="n">
        <v>41148.33</v>
      </c>
      <c r="G391" t="n">
        <v>5</v>
      </c>
      <c r="H391" s="5" t="n">
        <v>2057.42</v>
      </c>
      <c r="I391" s="5" t="n">
        <v>43205.75</v>
      </c>
      <c r="J391" s="5" t="n">
        <v>43205.75</v>
      </c>
      <c r="K391" s="4" t="n">
        <v>46117</v>
      </c>
      <c r="L391" s="5">
        <f>IF(I391="","",I391-J391)</f>
        <v/>
      </c>
      <c r="M391">
        <f>IF(K391="","",K391-B391)</f>
        <v/>
      </c>
    </row>
    <row r="392">
      <c r="A392" t="inlineStr">
        <is>
          <t>P-00100</t>
        </is>
      </c>
      <c r="B392" s="4" t="n">
        <v>46106</v>
      </c>
      <c r="C392" t="inlineStr">
        <is>
          <t>Tiruppur Garment Works</t>
        </is>
      </c>
      <c r="D392" t="inlineStr">
        <is>
          <t>PURCHASE</t>
        </is>
      </c>
      <c r="E392" t="inlineStr">
        <is>
          <t>Inventory purchases</t>
        </is>
      </c>
      <c r="F392" s="5" t="n">
        <v>68125.36</v>
      </c>
      <c r="G392" t="n">
        <v>5</v>
      </c>
      <c r="H392" s="5" t="n">
        <v>3406.27</v>
      </c>
      <c r="I392" s="5" t="n">
        <v>71531.63</v>
      </c>
      <c r="J392" s="5" t="n">
        <v>71531.63</v>
      </c>
      <c r="K392" s="4" t="n">
        <v>46118</v>
      </c>
      <c r="L392" s="5">
        <f>IF(I392="","",I392-J392)</f>
        <v/>
      </c>
      <c r="M392">
        <f>IF(K392="","",K392-B392)</f>
        <v/>
      </c>
    </row>
    <row r="393">
      <c r="A393" t="inlineStr">
        <is>
          <t>P-00101</t>
        </is>
      </c>
      <c r="B393" s="4" t="n">
        <v>46101</v>
      </c>
      <c r="C393" t="inlineStr">
        <is>
          <t>Surat Textile Mills</t>
        </is>
      </c>
      <c r="D393" t="inlineStr">
        <is>
          <t>PURCHASE</t>
        </is>
      </c>
      <c r="E393" t="inlineStr">
        <is>
          <t>Inventory purchases</t>
        </is>
      </c>
      <c r="F393" s="5" t="n">
        <v>114233.99</v>
      </c>
      <c r="G393" t="n">
        <v>5</v>
      </c>
      <c r="H393" s="5" t="n">
        <v>5711.7</v>
      </c>
      <c r="I393" s="5" t="n">
        <v>119945.69</v>
      </c>
      <c r="J393" s="5" t="n">
        <v>119945.69</v>
      </c>
      <c r="K393" s="4" t="n">
        <v>46109</v>
      </c>
      <c r="L393" s="5">
        <f>IF(I393="","",I393-J393)</f>
        <v/>
      </c>
      <c r="M393">
        <f>IF(K393="","",K393-B393)</f>
        <v/>
      </c>
    </row>
    <row r="394">
      <c r="A394" t="inlineStr">
        <is>
          <t>P-00102</t>
        </is>
      </c>
      <c r="B394" s="4" t="n">
        <v>46088</v>
      </c>
      <c r="C394" t="inlineStr">
        <is>
          <t>Tiruppur Garment Works</t>
        </is>
      </c>
      <c r="D394" t="inlineStr">
        <is>
          <t>PURCHASE</t>
        </is>
      </c>
      <c r="E394" t="inlineStr">
        <is>
          <t>Inventory purchases</t>
        </is>
      </c>
      <c r="F394" s="5" t="n">
        <v>106082.07</v>
      </c>
      <c r="G394" t="n">
        <v>5</v>
      </c>
      <c r="H394" s="5" t="n">
        <v>5304.1</v>
      </c>
      <c r="I394" s="5" t="n">
        <v>111386.17</v>
      </c>
      <c r="J394" s="5" t="n">
        <v>111386.17</v>
      </c>
      <c r="K394" s="4" t="n">
        <v>46098</v>
      </c>
      <c r="L394" s="5">
        <f>IF(I394="","",I394-J394)</f>
        <v/>
      </c>
      <c r="M394">
        <f>IF(K394="","",K394-B394)</f>
        <v/>
      </c>
    </row>
    <row r="395">
      <c r="A395" t="inlineStr">
        <is>
          <t>P-00103</t>
        </is>
      </c>
      <c r="B395" s="4" t="n">
        <v>46107</v>
      </c>
      <c r="C395" t="inlineStr">
        <is>
          <t>Jaipur Print Works</t>
        </is>
      </c>
      <c r="D395" t="inlineStr">
        <is>
          <t>PURCHASE</t>
        </is>
      </c>
      <c r="E395" t="inlineStr">
        <is>
          <t>Inventory purchases</t>
        </is>
      </c>
      <c r="F395" s="5" t="n">
        <v>84231.89</v>
      </c>
      <c r="G395" t="n">
        <v>5</v>
      </c>
      <c r="H395" s="5" t="n">
        <v>4211.59</v>
      </c>
      <c r="I395" s="5" t="n">
        <v>88443.48</v>
      </c>
      <c r="J395" s="5" t="n">
        <v>88443.48</v>
      </c>
      <c r="K395" s="4" t="n">
        <v>46134</v>
      </c>
      <c r="L395" s="5">
        <f>IF(I395="","",I395-J395)</f>
        <v/>
      </c>
      <c r="M395">
        <f>IF(K395="","",K395-B395)</f>
        <v/>
      </c>
    </row>
    <row r="396">
      <c r="A396" t="inlineStr">
        <is>
          <t>P-00104</t>
        </is>
      </c>
      <c r="B396" s="4" t="n">
        <v>46090</v>
      </c>
      <c r="C396" t="inlineStr">
        <is>
          <t>Surat Textile Mills</t>
        </is>
      </c>
      <c r="D396" t="inlineStr">
        <is>
          <t>PURCHASE</t>
        </is>
      </c>
      <c r="E396" t="inlineStr">
        <is>
          <t>Inventory purchases</t>
        </is>
      </c>
      <c r="F396" s="5" t="n">
        <v>72464.37</v>
      </c>
      <c r="G396" t="n">
        <v>5</v>
      </c>
      <c r="H396" s="5" t="n">
        <v>3623.22</v>
      </c>
      <c r="I396" s="5" t="n">
        <v>76087.59</v>
      </c>
      <c r="J396" s="5" t="n">
        <v>76087.59</v>
      </c>
      <c r="K396" s="4" t="n">
        <v>46100</v>
      </c>
      <c r="L396" s="5">
        <f>IF(I396="","",I396-J396)</f>
        <v/>
      </c>
      <c r="M396">
        <f>IF(K396="","",K396-B396)</f>
        <v/>
      </c>
    </row>
    <row r="397">
      <c r="A397" t="inlineStr">
        <is>
          <t>P-00105</t>
        </is>
      </c>
      <c r="B397" s="4" t="n">
        <v>46083</v>
      </c>
      <c r="C397" t="inlineStr">
        <is>
          <t>Tiruppur Garment Works</t>
        </is>
      </c>
      <c r="D397" t="inlineStr">
        <is>
          <t>PURCHASE</t>
        </is>
      </c>
      <c r="E397" t="inlineStr">
        <is>
          <t>Inventory purchases</t>
        </is>
      </c>
      <c r="F397" s="5" t="n">
        <v>88511.92</v>
      </c>
      <c r="G397" t="n">
        <v>5</v>
      </c>
      <c r="H397" s="5" t="n">
        <v>4425.6</v>
      </c>
      <c r="I397" s="5" t="n">
        <v>92937.52</v>
      </c>
      <c r="J397" s="5" t="n">
        <v>54558.6</v>
      </c>
      <c r="K397" s="4" t="n">
        <v>46090</v>
      </c>
      <c r="L397" s="5">
        <f>IF(I397="","",I397-J397)</f>
        <v/>
      </c>
      <c r="M397">
        <f>IF(K397="","",K397-B397)</f>
        <v/>
      </c>
    </row>
    <row r="398">
      <c r="A398" t="inlineStr">
        <is>
          <t>E-00076</t>
        </is>
      </c>
      <c r="B398" s="4" t="n">
        <v>46111</v>
      </c>
      <c r="C398" t="inlineStr">
        <is>
          <t>Various</t>
        </is>
      </c>
      <c r="D398" t="inlineStr">
        <is>
          <t>EXPENSE</t>
        </is>
      </c>
      <c r="E398" t="inlineStr">
        <is>
          <t>Rent</t>
        </is>
      </c>
      <c r="F398" s="5" t="n">
        <v>25390.31</v>
      </c>
      <c r="G398" t="n">
        <v>18</v>
      </c>
      <c r="H398" s="5" t="n">
        <v>4570.26</v>
      </c>
      <c r="I398" s="5" t="n">
        <v>29960.57</v>
      </c>
      <c r="J398" s="5" t="n">
        <v>29960.57</v>
      </c>
      <c r="K398" s="4" t="n">
        <v>46116</v>
      </c>
      <c r="L398" s="5">
        <f>IF(I398="","",I398-J398)</f>
        <v/>
      </c>
      <c r="M398">
        <f>IF(K398="","",K398-B398)</f>
        <v/>
      </c>
    </row>
    <row r="399">
      <c r="A399" t="inlineStr">
        <is>
          <t>E-00077</t>
        </is>
      </c>
      <c r="B399" s="4" t="n">
        <v>46083</v>
      </c>
      <c r="C399" t="inlineStr">
        <is>
          <t>Various</t>
        </is>
      </c>
      <c r="D399" t="inlineStr">
        <is>
          <t>EXPENSE</t>
        </is>
      </c>
      <c r="E399" t="inlineStr">
        <is>
          <t>Salaries</t>
        </is>
      </c>
      <c r="F399" s="5" t="n">
        <v>86218.63</v>
      </c>
      <c r="G399" t="n">
        <v>0</v>
      </c>
      <c r="H399" s="5" t="n">
        <v>0</v>
      </c>
      <c r="I399" s="5" t="n">
        <v>86218.63</v>
      </c>
      <c r="J399" s="5" t="n">
        <v>86218.63</v>
      </c>
      <c r="K399" s="4" t="n">
        <v>46089</v>
      </c>
      <c r="L399" s="5">
        <f>IF(I399="","",I399-J399)</f>
        <v/>
      </c>
      <c r="M399">
        <f>IF(K399="","",K399-B399)</f>
        <v/>
      </c>
    </row>
    <row r="400">
      <c r="A400" t="inlineStr">
        <is>
          <t>E-00078</t>
        </is>
      </c>
      <c r="B400" s="4" t="n">
        <v>46097</v>
      </c>
      <c r="C400" t="inlineStr">
        <is>
          <t>Various</t>
        </is>
      </c>
      <c r="D400" t="inlineStr">
        <is>
          <t>EXPENSE</t>
        </is>
      </c>
      <c r="E400" t="inlineStr">
        <is>
          <t>Utilities</t>
        </is>
      </c>
      <c r="F400" s="5" t="n">
        <v>6546.49</v>
      </c>
      <c r="G400" t="n">
        <v>18</v>
      </c>
      <c r="H400" s="5" t="n">
        <v>1178.37</v>
      </c>
      <c r="I400" s="5" t="n">
        <v>7724.86</v>
      </c>
      <c r="J400" s="5" t="n">
        <v>7724.86</v>
      </c>
      <c r="K400" s="4" t="n">
        <v>46102</v>
      </c>
      <c r="L400" s="5">
        <f>IF(I400="","",I400-J400)</f>
        <v/>
      </c>
      <c r="M400">
        <f>IF(K400="","",K400-B400)</f>
        <v/>
      </c>
    </row>
    <row r="401">
      <c r="A401" t="inlineStr">
        <is>
          <t>E-00079</t>
        </is>
      </c>
      <c r="B401" s="4" t="n">
        <v>46086</v>
      </c>
      <c r="C401" t="inlineStr">
        <is>
          <t>Various</t>
        </is>
      </c>
      <c r="D401" t="inlineStr">
        <is>
          <t>EXPENSE</t>
        </is>
      </c>
      <c r="E401" t="inlineStr">
        <is>
          <t>Transport</t>
        </is>
      </c>
      <c r="F401" s="5" t="n">
        <v>5600.09</v>
      </c>
      <c r="G401" t="n">
        <v>5</v>
      </c>
      <c r="H401" s="5" t="n">
        <v>280</v>
      </c>
      <c r="I401" s="5" t="n">
        <v>5880.09</v>
      </c>
      <c r="J401" s="5" t="n">
        <v>5880.09</v>
      </c>
      <c r="K401" s="4" t="n">
        <v>46086</v>
      </c>
      <c r="L401" s="5">
        <f>IF(I401="","",I401-J401)</f>
        <v/>
      </c>
      <c r="M401">
        <f>IF(K401="","",K401-B401)</f>
        <v/>
      </c>
    </row>
    <row r="402">
      <c r="A402" t="inlineStr">
        <is>
          <t>E-00080</t>
        </is>
      </c>
      <c r="B402" s="4" t="n">
        <v>46091</v>
      </c>
      <c r="C402" t="inlineStr">
        <is>
          <t>Various</t>
        </is>
      </c>
      <c r="D402" t="inlineStr">
        <is>
          <t>EXPENSE</t>
        </is>
      </c>
      <c r="E402" t="inlineStr">
        <is>
          <t>Transport</t>
        </is>
      </c>
      <c r="F402" s="5" t="n">
        <v>4326.94</v>
      </c>
      <c r="G402" t="n">
        <v>5</v>
      </c>
      <c r="H402" s="5" t="n">
        <v>216.35</v>
      </c>
      <c r="I402" s="5" t="n">
        <v>4543.29</v>
      </c>
      <c r="J402" s="5" t="n">
        <v>4543.29</v>
      </c>
      <c r="K402" s="4" t="n">
        <v>46094</v>
      </c>
      <c r="L402" s="5">
        <f>IF(I402="","",I402-J402)</f>
        <v/>
      </c>
      <c r="M402">
        <f>IF(K402="","",K402-B402)</f>
        <v/>
      </c>
    </row>
    <row r="403">
      <c r="A403" t="inlineStr">
        <is>
          <t>E-00081</t>
        </is>
      </c>
      <c r="B403" s="4" t="n">
        <v>46086</v>
      </c>
      <c r="C403" t="inlineStr">
        <is>
          <t>Various</t>
        </is>
      </c>
      <c r="D403" t="inlineStr">
        <is>
          <t>EXPENSE</t>
        </is>
      </c>
      <c r="E403" t="inlineStr">
        <is>
          <t>Transport</t>
        </is>
      </c>
      <c r="F403" s="5" t="n">
        <v>4583.44</v>
      </c>
      <c r="G403" t="n">
        <v>5</v>
      </c>
      <c r="H403" s="5" t="n">
        <v>229.17</v>
      </c>
      <c r="I403" s="5" t="n">
        <v>4812.61</v>
      </c>
      <c r="J403" s="5" t="n">
        <v>4812.61</v>
      </c>
      <c r="K403" s="4" t="n">
        <v>46094</v>
      </c>
      <c r="L403" s="5">
        <f>IF(I403="","",I403-J403)</f>
        <v/>
      </c>
      <c r="M403">
        <f>IF(K403="","",K403-B403)</f>
        <v/>
      </c>
    </row>
    <row r="404">
      <c r="A404" t="inlineStr">
        <is>
          <t>E-00082</t>
        </is>
      </c>
      <c r="B404" s="4" t="n">
        <v>46112</v>
      </c>
      <c r="C404" t="inlineStr">
        <is>
          <t>Various</t>
        </is>
      </c>
      <c r="D404" t="inlineStr">
        <is>
          <t>EXPENSE</t>
        </is>
      </c>
      <c r="E404" t="inlineStr">
        <is>
          <t>Transport</t>
        </is>
      </c>
      <c r="F404" s="5" t="n">
        <v>6823.7</v>
      </c>
      <c r="G404" t="n">
        <v>5</v>
      </c>
      <c r="H404" s="5" t="n">
        <v>341.19</v>
      </c>
      <c r="I404" s="5" t="n">
        <v>7164.89</v>
      </c>
      <c r="J404" s="5" t="n">
        <v>7164.89</v>
      </c>
      <c r="K404" s="4" t="n">
        <v>46114</v>
      </c>
      <c r="L404" s="5">
        <f>IF(I404="","",I404-J404)</f>
        <v/>
      </c>
      <c r="M404">
        <f>IF(K404="","",K404-B404)</f>
        <v/>
      </c>
    </row>
    <row r="405">
      <c r="A405" t="inlineStr">
        <is>
          <t>E-00083</t>
        </is>
      </c>
      <c r="B405" s="4" t="n">
        <v>46098</v>
      </c>
      <c r="C405" t="inlineStr">
        <is>
          <t>Various</t>
        </is>
      </c>
      <c r="D405" t="inlineStr">
        <is>
          <t>EXPENSE</t>
        </is>
      </c>
      <c r="E405" t="inlineStr">
        <is>
          <t>Transport</t>
        </is>
      </c>
      <c r="F405" s="5" t="n">
        <v>6060.78</v>
      </c>
      <c r="G405" t="n">
        <v>5</v>
      </c>
      <c r="H405" s="5" t="n">
        <v>303.04</v>
      </c>
      <c r="I405" s="5" t="n">
        <v>6363.82</v>
      </c>
      <c r="J405" s="5" t="n">
        <v>6363.82</v>
      </c>
      <c r="K405" s="4" t="n">
        <v>46099</v>
      </c>
      <c r="L405" s="5">
        <f>IF(I405="","",I405-J405)</f>
        <v/>
      </c>
      <c r="M405">
        <f>IF(K405="","",K405-B405)</f>
        <v/>
      </c>
    </row>
    <row r="406">
      <c r="A406" t="inlineStr">
        <is>
          <t>E-00084</t>
        </is>
      </c>
      <c r="B406" s="4" t="n">
        <v>46088</v>
      </c>
      <c r="C406" t="inlineStr">
        <is>
          <t>Various</t>
        </is>
      </c>
      <c r="D406" t="inlineStr">
        <is>
          <t>EXPENSE</t>
        </is>
      </c>
      <c r="E406" t="inlineStr">
        <is>
          <t>Transport</t>
        </is>
      </c>
      <c r="F406" s="5" t="n">
        <v>3269.39</v>
      </c>
      <c r="G406" t="n">
        <v>5</v>
      </c>
      <c r="H406" s="5" t="n">
        <v>163.47</v>
      </c>
      <c r="I406" s="5" t="n">
        <v>3432.86</v>
      </c>
      <c r="J406" s="5" t="n">
        <v>3432.86</v>
      </c>
      <c r="K406" s="4" t="n">
        <v>46090</v>
      </c>
      <c r="L406" s="5">
        <f>IF(I406="","",I406-J406)</f>
        <v/>
      </c>
      <c r="M406">
        <f>IF(K406="","",K406-B406)</f>
        <v/>
      </c>
    </row>
    <row r="407">
      <c r="A407" t="inlineStr">
        <is>
          <t>E-00085</t>
        </is>
      </c>
      <c r="B407" s="4" t="n">
        <v>46100</v>
      </c>
      <c r="C407" t="inlineStr">
        <is>
          <t>Various</t>
        </is>
      </c>
      <c r="D407" t="inlineStr">
        <is>
          <t>EXPENSE</t>
        </is>
      </c>
      <c r="E407" t="inlineStr">
        <is>
          <t>Marketing</t>
        </is>
      </c>
      <c r="F407" s="5" t="n">
        <v>12711.87</v>
      </c>
      <c r="G407" t="n">
        <v>18</v>
      </c>
      <c r="H407" s="5" t="n">
        <v>2288.14</v>
      </c>
      <c r="I407" s="5" t="n">
        <v>15000.01</v>
      </c>
      <c r="J407" s="5" t="n">
        <v>15000.01</v>
      </c>
      <c r="K407" s="4" t="n">
        <v>46105</v>
      </c>
      <c r="L407" s="5">
        <f>IF(I407="","",I407-J407)</f>
        <v/>
      </c>
      <c r="M407">
        <f>IF(K407="","",K407-B407)</f>
        <v/>
      </c>
    </row>
    <row r="408">
      <c r="A408" t="inlineStr">
        <is>
          <t>E-00086</t>
        </is>
      </c>
      <c r="B408" s="4" t="n">
        <v>46105</v>
      </c>
      <c r="C408" t="inlineStr">
        <is>
          <t>Various</t>
        </is>
      </c>
      <c r="D408" t="inlineStr">
        <is>
          <t>EXPENSE</t>
        </is>
      </c>
      <c r="E408" t="inlineStr">
        <is>
          <t>Marketing</t>
        </is>
      </c>
      <c r="F408" s="5" t="n">
        <v>11628.11</v>
      </c>
      <c r="G408" t="n">
        <v>18</v>
      </c>
      <c r="H408" s="5" t="n">
        <v>2093.06</v>
      </c>
      <c r="I408" s="5" t="n">
        <v>13721.17</v>
      </c>
      <c r="J408" s="5" t="n">
        <v>13721.17</v>
      </c>
      <c r="K408" s="4" t="n">
        <v>46107</v>
      </c>
      <c r="L408" s="5">
        <f>IF(I408="","",I408-J408)</f>
        <v/>
      </c>
      <c r="M408">
        <f>IF(K408="","",K408-B408)</f>
        <v/>
      </c>
    </row>
    <row r="409">
      <c r="A409" t="inlineStr">
        <is>
          <t>E-00087</t>
        </is>
      </c>
      <c r="B409" s="4" t="n">
        <v>46096</v>
      </c>
      <c r="C409" t="inlineStr">
        <is>
          <t>Various</t>
        </is>
      </c>
      <c r="D409" t="inlineStr">
        <is>
          <t>EXPENSE</t>
        </is>
      </c>
      <c r="E409" t="inlineStr">
        <is>
          <t>Professional fees</t>
        </is>
      </c>
      <c r="F409" s="5" t="n">
        <v>10703.95</v>
      </c>
      <c r="G409" t="n">
        <v>18</v>
      </c>
      <c r="H409" s="5" t="n">
        <v>1926.71</v>
      </c>
      <c r="I409" s="5" t="n">
        <v>12630.66</v>
      </c>
      <c r="J409" s="5" t="n">
        <v>12630.66</v>
      </c>
      <c r="K409" s="4" t="n">
        <v>46103</v>
      </c>
      <c r="L409" s="5">
        <f>IF(I409="","",I409-J409)</f>
        <v/>
      </c>
      <c r="M409">
        <f>IF(K409="","",K409-B409)</f>
        <v/>
      </c>
    </row>
    <row r="410">
      <c r="A410" t="inlineStr">
        <is>
          <t>E-00088</t>
        </is>
      </c>
      <c r="B410" s="4" t="n">
        <v>46096</v>
      </c>
      <c r="C410" t="inlineStr">
        <is>
          <t>Various</t>
        </is>
      </c>
      <c r="D410" t="inlineStr">
        <is>
          <t>EXPENSE</t>
        </is>
      </c>
      <c r="E410" t="inlineStr">
        <is>
          <t>Misc</t>
        </is>
      </c>
      <c r="F410" s="5" t="n">
        <v>5772.77</v>
      </c>
      <c r="G410" t="n">
        <v>18</v>
      </c>
      <c r="H410" s="5" t="n">
        <v>1039.1</v>
      </c>
      <c r="I410" s="5" t="n">
        <v>6811.87</v>
      </c>
      <c r="J410" s="5" t="n">
        <v>6811.87</v>
      </c>
      <c r="K410" s="4" t="n">
        <v>46099</v>
      </c>
      <c r="L410" s="5">
        <f>IF(I410="","",I410-J410)</f>
        <v/>
      </c>
      <c r="M410">
        <f>IF(K410="","",K410-B410)</f>
        <v/>
      </c>
    </row>
    <row r="411">
      <c r="A411" t="inlineStr">
        <is>
          <t>E-00089</t>
        </is>
      </c>
      <c r="B411" s="4" t="n">
        <v>46091</v>
      </c>
      <c r="C411" t="inlineStr">
        <is>
          <t>Various</t>
        </is>
      </c>
      <c r="D411" t="inlineStr">
        <is>
          <t>EXPENSE</t>
        </is>
      </c>
      <c r="E411" t="inlineStr">
        <is>
          <t>Misc</t>
        </is>
      </c>
      <c r="F411" s="5" t="n">
        <v>5282.45</v>
      </c>
      <c r="G411" t="n">
        <v>18</v>
      </c>
      <c r="H411" s="5" t="n">
        <v>950.84</v>
      </c>
      <c r="I411" s="5" t="n">
        <v>6233.29</v>
      </c>
      <c r="J411" s="5" t="n">
        <v>6233.29</v>
      </c>
      <c r="K411" s="4" t="n">
        <v>46096</v>
      </c>
      <c r="L411" s="5">
        <f>IF(I411="","",I411-J411)</f>
        <v/>
      </c>
      <c r="M411">
        <f>IF(K411="","",K411-B411)</f>
        <v/>
      </c>
    </row>
    <row r="412">
      <c r="A412" t="inlineStr">
        <is>
          <t>E-00090</t>
        </is>
      </c>
      <c r="B412" s="4" t="n">
        <v>46092</v>
      </c>
      <c r="C412" t="inlineStr">
        <is>
          <t>Various</t>
        </is>
      </c>
      <c r="D412" t="inlineStr">
        <is>
          <t>EXPENSE</t>
        </is>
      </c>
      <c r="E412" t="inlineStr">
        <is>
          <t>Misc</t>
        </is>
      </c>
      <c r="F412" s="5" t="n">
        <v>2772.45</v>
      </c>
      <c r="G412" t="n">
        <v>18</v>
      </c>
      <c r="H412" s="5" t="n">
        <v>499.04</v>
      </c>
      <c r="I412" s="5" t="n">
        <v>3271.49</v>
      </c>
      <c r="J412" s="5" t="n">
        <v>3271.49</v>
      </c>
      <c r="K412" s="4" t="n">
        <v>46099</v>
      </c>
      <c r="L412" s="5">
        <f>IF(I412="","",I412-J412)</f>
        <v/>
      </c>
      <c r="M412">
        <f>IF(K412="","",K412-B412)</f>
        <v/>
      </c>
    </row>
    <row r="413">
      <c r="A413" t="inlineStr">
        <is>
          <t>S-00217</t>
        </is>
      </c>
      <c r="B413" s="4" t="n">
        <v>46118</v>
      </c>
      <c r="C413" t="inlineStr">
        <is>
          <t>Purnia Fashion Hub</t>
        </is>
      </c>
      <c r="D413" t="inlineStr">
        <is>
          <t>SALES</t>
        </is>
      </c>
      <c r="E413" t="inlineStr">
        <is>
          <t>Fabrics</t>
        </is>
      </c>
      <c r="F413" s="5" t="n">
        <v>25007.14</v>
      </c>
      <c r="G413" t="n">
        <v>5</v>
      </c>
      <c r="H413" s="5" t="n">
        <v>1250.36</v>
      </c>
      <c r="I413" s="5" t="n">
        <v>26257.5</v>
      </c>
      <c r="J413" s="5" t="n">
        <v>26257.5</v>
      </c>
      <c r="K413" s="4" t="n">
        <v>46169</v>
      </c>
      <c r="L413" s="5">
        <f>IF(I413="","",I413-J413)</f>
        <v/>
      </c>
      <c r="M413">
        <f>IF(K413="","",K413-B413)</f>
        <v/>
      </c>
    </row>
    <row r="414">
      <c r="A414" t="inlineStr">
        <is>
          <t>S-00218</t>
        </is>
      </c>
      <c r="B414" s="4" t="n">
        <v>46139</v>
      </c>
      <c r="C414" t="inlineStr">
        <is>
          <t>Patna Fashion House</t>
        </is>
      </c>
      <c r="D414" t="inlineStr">
        <is>
          <t>SALES</t>
        </is>
      </c>
      <c r="E414" t="inlineStr">
        <is>
          <t>Garments</t>
        </is>
      </c>
      <c r="F414" s="5" t="n">
        <v>9380</v>
      </c>
      <c r="G414" t="n">
        <v>12</v>
      </c>
      <c r="H414" s="5" t="n">
        <v>1125.6</v>
      </c>
      <c r="I414" s="5" t="n">
        <v>10505.6</v>
      </c>
      <c r="J414" s="5" t="n">
        <v>10505.6</v>
      </c>
      <c r="K414" s="4" t="n">
        <v>46150</v>
      </c>
      <c r="L414" s="5">
        <f>IF(I414="","",I414-J414)</f>
        <v/>
      </c>
      <c r="M414">
        <f>IF(K414="","",K414-B414)</f>
        <v/>
      </c>
    </row>
    <row r="415">
      <c r="A415" t="inlineStr">
        <is>
          <t>S-00219</t>
        </is>
      </c>
      <c r="B415" s="4" t="n">
        <v>46142</v>
      </c>
      <c r="C415" t="inlineStr">
        <is>
          <t>Darbhanga Dress Point</t>
        </is>
      </c>
      <c r="D415" t="inlineStr">
        <is>
          <t>SALES</t>
        </is>
      </c>
      <c r="E415" t="inlineStr">
        <is>
          <t>Fabrics</t>
        </is>
      </c>
      <c r="F415" s="5" t="n">
        <v>51511.36</v>
      </c>
      <c r="G415" t="n">
        <v>5</v>
      </c>
      <c r="H415" s="5" t="n">
        <v>2575.57</v>
      </c>
      <c r="I415" s="5" t="n">
        <v>54086.93</v>
      </c>
      <c r="J415" s="5" t="n">
        <v>30601.61</v>
      </c>
      <c r="K415" s="4" t="n">
        <v>46150</v>
      </c>
      <c r="L415" s="5">
        <f>IF(I415="","",I415-J415)</f>
        <v/>
      </c>
      <c r="M415">
        <f>IF(K415="","",K415-B415)</f>
        <v/>
      </c>
    </row>
    <row r="416">
      <c r="A416" t="inlineStr">
        <is>
          <t>S-00220</t>
        </is>
      </c>
      <c r="B416" s="4" t="n">
        <v>46139</v>
      </c>
      <c r="C416" t="inlineStr">
        <is>
          <t>Kumkum Saree Sadan</t>
        </is>
      </c>
      <c r="D416" t="inlineStr">
        <is>
          <t>SALES</t>
        </is>
      </c>
      <c r="E416" t="inlineStr">
        <is>
          <t>Accessories</t>
        </is>
      </c>
      <c r="F416" s="5" t="n">
        <v>60103.79</v>
      </c>
      <c r="G416" t="n">
        <v>12</v>
      </c>
      <c r="H416" s="5" t="n">
        <v>7212.45</v>
      </c>
      <c r="I416" s="5" t="n">
        <v>67316.24000000001</v>
      </c>
      <c r="J416" s="5" t="n">
        <v>67316.24000000001</v>
      </c>
      <c r="K416" s="4" t="n">
        <v>46170</v>
      </c>
      <c r="L416" s="5">
        <f>IF(I416="","",I416-J416)</f>
        <v/>
      </c>
      <c r="M416">
        <f>IF(K416="","",K416-B416)</f>
        <v/>
      </c>
    </row>
    <row r="417">
      <c r="A417" t="inlineStr">
        <is>
          <t>S-00221</t>
        </is>
      </c>
      <c r="B417" s="4" t="n">
        <v>46134</v>
      </c>
      <c r="C417" t="inlineStr">
        <is>
          <t>Trendy Threads</t>
        </is>
      </c>
      <c r="D417" t="inlineStr">
        <is>
          <t>SALES</t>
        </is>
      </c>
      <c r="E417" t="inlineStr">
        <is>
          <t>Fabrics</t>
        </is>
      </c>
      <c r="F417" s="5" t="n">
        <v>25225.81</v>
      </c>
      <c r="G417" t="n">
        <v>5</v>
      </c>
      <c r="H417" s="5" t="n">
        <v>1261.29</v>
      </c>
      <c r="I417" s="5" t="n">
        <v>26487.1</v>
      </c>
      <c r="J417" s="5" t="n">
        <v>0</v>
      </c>
      <c r="K417" s="4" t="inlineStr"/>
      <c r="L417" s="5">
        <f>IF(I417="","",I417-J417)</f>
        <v/>
      </c>
      <c r="M417">
        <f>IF(K417="","",K417-B417)</f>
        <v/>
      </c>
    </row>
    <row r="418">
      <c r="A418" t="inlineStr">
        <is>
          <t>S-00222</t>
        </is>
      </c>
      <c r="B418" s="4" t="n">
        <v>46125</v>
      </c>
      <c r="C418" t="inlineStr">
        <is>
          <t>Kumkum Saree Sadan</t>
        </is>
      </c>
      <c r="D418" t="inlineStr">
        <is>
          <t>SALES</t>
        </is>
      </c>
      <c r="E418" t="inlineStr">
        <is>
          <t>Garments</t>
        </is>
      </c>
      <c r="F418" s="5" t="n">
        <v>35101.95</v>
      </c>
      <c r="G418" t="n">
        <v>12</v>
      </c>
      <c r="H418" s="5" t="n">
        <v>4212.23</v>
      </c>
      <c r="I418" s="5" t="n">
        <v>39314.18</v>
      </c>
      <c r="J418" s="5" t="n">
        <v>39314.18</v>
      </c>
      <c r="K418" s="4" t="n">
        <v>46163</v>
      </c>
      <c r="L418" s="5">
        <f>IF(I418="","",I418-J418)</f>
        <v/>
      </c>
      <c r="M418">
        <f>IF(K418="","",K418-B418)</f>
        <v/>
      </c>
    </row>
    <row r="419">
      <c r="A419" t="inlineStr">
        <is>
          <t>S-00223</t>
        </is>
      </c>
      <c r="B419" s="4" t="n">
        <v>46120</v>
      </c>
      <c r="C419" t="inlineStr">
        <is>
          <t>Gaya Textile Traders</t>
        </is>
      </c>
      <c r="D419" t="inlineStr">
        <is>
          <t>SALES</t>
        </is>
      </c>
      <c r="E419" t="inlineStr">
        <is>
          <t>Garments</t>
        </is>
      </c>
      <c r="F419" s="5" t="n">
        <v>8253.440000000001</v>
      </c>
      <c r="G419" t="n">
        <v>12</v>
      </c>
      <c r="H419" s="5" t="n">
        <v>990.41</v>
      </c>
      <c r="I419" s="5" t="n">
        <v>9243.85</v>
      </c>
      <c r="J419" s="5" t="n">
        <v>9243.85</v>
      </c>
      <c r="K419" s="4" t="n">
        <v>46142</v>
      </c>
      <c r="L419" s="5">
        <f>IF(I419="","",I419-J419)</f>
        <v/>
      </c>
      <c r="M419">
        <f>IF(K419="","",K419-B419)</f>
        <v/>
      </c>
    </row>
    <row r="420">
      <c r="A420" t="inlineStr">
        <is>
          <t>S-00224</t>
        </is>
      </c>
      <c r="B420" s="4" t="n">
        <v>46139</v>
      </c>
      <c r="C420" t="inlineStr">
        <is>
          <t>New Look Garments</t>
        </is>
      </c>
      <c r="D420" t="inlineStr">
        <is>
          <t>SALES</t>
        </is>
      </c>
      <c r="E420" t="inlineStr">
        <is>
          <t>Fabrics</t>
        </is>
      </c>
      <c r="F420" s="5" t="n">
        <v>74837.67</v>
      </c>
      <c r="G420" t="n">
        <v>5</v>
      </c>
      <c r="H420" s="5" t="n">
        <v>3741.88</v>
      </c>
      <c r="I420" s="5" t="n">
        <v>78579.55</v>
      </c>
      <c r="J420" s="5" t="n">
        <v>78579.55</v>
      </c>
      <c r="K420" s="4" t="n">
        <v>46156</v>
      </c>
      <c r="L420" s="5">
        <f>IF(I420="","",I420-J420)</f>
        <v/>
      </c>
      <c r="M420">
        <f>IF(K420="","",K420-B420)</f>
        <v/>
      </c>
    </row>
    <row r="421">
      <c r="A421" t="inlineStr">
        <is>
          <t>S-00225</t>
        </is>
      </c>
      <c r="B421" s="4" t="n">
        <v>46124</v>
      </c>
      <c r="C421" t="inlineStr">
        <is>
          <t>Kumkum Saree Sadan</t>
        </is>
      </c>
      <c r="D421" t="inlineStr">
        <is>
          <t>SALES</t>
        </is>
      </c>
      <c r="E421" t="inlineStr">
        <is>
          <t>Fabrics</t>
        </is>
      </c>
      <c r="F421" s="5" t="n">
        <v>34302.59</v>
      </c>
      <c r="G421" t="n">
        <v>5</v>
      </c>
      <c r="H421" s="5" t="n">
        <v>1715.13</v>
      </c>
      <c r="I421" s="5" t="n">
        <v>36017.72</v>
      </c>
      <c r="J421" s="5" t="n">
        <v>36017.72</v>
      </c>
      <c r="K421" s="4" t="n">
        <v>46174</v>
      </c>
      <c r="L421" s="5">
        <f>IF(I421="","",I421-J421)</f>
        <v/>
      </c>
      <c r="M421">
        <f>IF(K421="","",K421-B421)</f>
        <v/>
      </c>
    </row>
    <row r="422">
      <c r="A422" t="inlineStr">
        <is>
          <t>S-00226</t>
        </is>
      </c>
      <c r="B422" s="4" t="n">
        <v>46118</v>
      </c>
      <c r="C422" t="inlineStr">
        <is>
          <t>Bazaar Collection</t>
        </is>
      </c>
      <c r="D422" t="inlineStr">
        <is>
          <t>SALES</t>
        </is>
      </c>
      <c r="E422" t="inlineStr">
        <is>
          <t>Fabrics</t>
        </is>
      </c>
      <c r="F422" s="5" t="n">
        <v>89004.82000000001</v>
      </c>
      <c r="G422" t="n">
        <v>5</v>
      </c>
      <c r="H422" s="5" t="n">
        <v>4450.24</v>
      </c>
      <c r="I422" s="5" t="n">
        <v>93455.06</v>
      </c>
      <c r="J422" s="5" t="n">
        <v>93455.06</v>
      </c>
      <c r="K422" s="4" t="n">
        <v>46152</v>
      </c>
      <c r="L422" s="5">
        <f>IF(I422="","",I422-J422)</f>
        <v/>
      </c>
      <c r="M422">
        <f>IF(K422="","",K422-B422)</f>
        <v/>
      </c>
    </row>
    <row r="423">
      <c r="A423" t="inlineStr">
        <is>
          <t>S-00227</t>
        </is>
      </c>
      <c r="B423" s="4" t="n">
        <v>46136</v>
      </c>
      <c r="C423" t="inlineStr">
        <is>
          <t>Patna Fashion House</t>
        </is>
      </c>
      <c r="D423" t="inlineStr">
        <is>
          <t>SALES</t>
        </is>
      </c>
      <c r="E423" t="inlineStr">
        <is>
          <t>Fabrics</t>
        </is>
      </c>
      <c r="F423" s="5" t="n">
        <v>10160.69</v>
      </c>
      <c r="G423" t="n">
        <v>5</v>
      </c>
      <c r="H423" s="5" t="n">
        <v>508.03</v>
      </c>
      <c r="I423" s="5" t="n">
        <v>10668.72</v>
      </c>
      <c r="J423" s="5" t="n">
        <v>10668.72</v>
      </c>
      <c r="K423" s="4" t="n">
        <v>46150</v>
      </c>
      <c r="L423" s="5">
        <f>IF(I423="","",I423-J423)</f>
        <v/>
      </c>
      <c r="M423">
        <f>IF(K423="","",K423-B423)</f>
        <v/>
      </c>
    </row>
    <row r="424">
      <c r="A424" t="inlineStr">
        <is>
          <t>S-00228</t>
        </is>
      </c>
      <c r="B424" s="4" t="n">
        <v>46123</v>
      </c>
      <c r="C424" t="inlineStr">
        <is>
          <t>Darbhanga Dress Point</t>
        </is>
      </c>
      <c r="D424" t="inlineStr">
        <is>
          <t>SALES</t>
        </is>
      </c>
      <c r="E424" t="inlineStr">
        <is>
          <t>Accessories</t>
        </is>
      </c>
      <c r="F424" s="5" t="n">
        <v>56663.92</v>
      </c>
      <c r="G424" t="n">
        <v>12</v>
      </c>
      <c r="H424" s="5" t="n">
        <v>6799.67</v>
      </c>
      <c r="I424" s="5" t="n">
        <v>63463.59</v>
      </c>
      <c r="J424" s="5" t="n">
        <v>63463.59</v>
      </c>
      <c r="K424" s="4" t="n">
        <v>46171</v>
      </c>
      <c r="L424" s="5">
        <f>IF(I424="","",I424-J424)</f>
        <v/>
      </c>
      <c r="M424">
        <f>IF(K424="","",K424-B424)</f>
        <v/>
      </c>
    </row>
    <row r="425">
      <c r="A425" t="inlineStr">
        <is>
          <t>S-00229</t>
        </is>
      </c>
      <c r="B425" s="4" t="n">
        <v>46130</v>
      </c>
      <c r="C425" t="inlineStr">
        <is>
          <t>Darbhanga Dress Point</t>
        </is>
      </c>
      <c r="D425" t="inlineStr">
        <is>
          <t>SALES</t>
        </is>
      </c>
      <c r="E425" t="inlineStr">
        <is>
          <t>Garments</t>
        </is>
      </c>
      <c r="F425" s="5" t="n">
        <v>13993.86</v>
      </c>
      <c r="G425" t="n">
        <v>12</v>
      </c>
      <c r="H425" s="5" t="n">
        <v>1679.26</v>
      </c>
      <c r="I425" s="5" t="n">
        <v>15673.12</v>
      </c>
      <c r="J425" s="5" t="n">
        <v>15673.12</v>
      </c>
      <c r="K425" s="4" t="n">
        <v>46192</v>
      </c>
      <c r="L425" s="5">
        <f>IF(I425="","",I425-J425)</f>
        <v/>
      </c>
      <c r="M425">
        <f>IF(K425="","",K425-B425)</f>
        <v/>
      </c>
    </row>
    <row r="426">
      <c r="A426" t="inlineStr">
        <is>
          <t>S-00230</t>
        </is>
      </c>
      <c r="B426" s="4" t="n">
        <v>46122</v>
      </c>
      <c r="C426" t="inlineStr">
        <is>
          <t>City Centre Apparel</t>
        </is>
      </c>
      <c r="D426" t="inlineStr">
        <is>
          <t>SALES</t>
        </is>
      </c>
      <c r="E426" t="inlineStr">
        <is>
          <t>Fabrics</t>
        </is>
      </c>
      <c r="F426" s="5" t="n">
        <v>37607.44</v>
      </c>
      <c r="G426" t="n">
        <v>5</v>
      </c>
      <c r="H426" s="5" t="n">
        <v>1880.37</v>
      </c>
      <c r="I426" s="5" t="n">
        <v>39487.81</v>
      </c>
      <c r="J426" s="5" t="n">
        <v>39487.81</v>
      </c>
      <c r="K426" s="4" t="n">
        <v>46134</v>
      </c>
      <c r="L426" s="5">
        <f>IF(I426="","",I426-J426)</f>
        <v/>
      </c>
      <c r="M426">
        <f>IF(K426="","",K426-B426)</f>
        <v/>
      </c>
    </row>
    <row r="427">
      <c r="A427" t="inlineStr">
        <is>
          <t>S-00231</t>
        </is>
      </c>
      <c r="B427" s="4" t="n">
        <v>46137</v>
      </c>
      <c r="C427" t="inlineStr">
        <is>
          <t>City Centre Apparel</t>
        </is>
      </c>
      <c r="D427" t="inlineStr">
        <is>
          <t>SALES</t>
        </is>
      </c>
      <c r="E427" t="inlineStr">
        <is>
          <t>Garments</t>
        </is>
      </c>
      <c r="F427" s="5" t="n">
        <v>16675.95</v>
      </c>
      <c r="G427" t="n">
        <v>12</v>
      </c>
      <c r="H427" s="5" t="n">
        <v>2001.11</v>
      </c>
      <c r="I427" s="5" t="n">
        <v>18677.06</v>
      </c>
      <c r="J427" s="5" t="n">
        <v>18677.06</v>
      </c>
      <c r="K427" s="4" t="n">
        <v>46156</v>
      </c>
      <c r="L427" s="5">
        <f>IF(I427="","",I427-J427)</f>
        <v/>
      </c>
      <c r="M427">
        <f>IF(K427="","",K427-B427)</f>
        <v/>
      </c>
    </row>
    <row r="428">
      <c r="A428" t="inlineStr">
        <is>
          <t>S-00232</t>
        </is>
      </c>
      <c r="B428" s="4" t="n">
        <v>46116</v>
      </c>
      <c r="C428" t="inlineStr">
        <is>
          <t>Darbhanga Dress Point</t>
        </is>
      </c>
      <c r="D428" t="inlineStr">
        <is>
          <t>SALES</t>
        </is>
      </c>
      <c r="E428" t="inlineStr">
        <is>
          <t>Garments</t>
        </is>
      </c>
      <c r="F428" s="5" t="n">
        <v>65941.50999999999</v>
      </c>
      <c r="G428" t="n">
        <v>12</v>
      </c>
      <c r="H428" s="5" t="n">
        <v>7912.98</v>
      </c>
      <c r="I428" s="5" t="n">
        <v>73854.49000000001</v>
      </c>
      <c r="J428" s="5" t="n">
        <v>73854.49000000001</v>
      </c>
      <c r="K428" s="4" t="n">
        <v>46144</v>
      </c>
      <c r="L428" s="5">
        <f>IF(I428="","",I428-J428)</f>
        <v/>
      </c>
      <c r="M428">
        <f>IF(K428="","",K428-B428)</f>
        <v/>
      </c>
    </row>
    <row r="429">
      <c r="A429" t="inlineStr">
        <is>
          <t>S-00233</t>
        </is>
      </c>
      <c r="B429" s="4" t="n">
        <v>46134</v>
      </c>
      <c r="C429" t="inlineStr">
        <is>
          <t>Darbhanga Dress Point</t>
        </is>
      </c>
      <c r="D429" t="inlineStr">
        <is>
          <t>SALES</t>
        </is>
      </c>
      <c r="E429" t="inlineStr">
        <is>
          <t>Fabrics</t>
        </is>
      </c>
      <c r="F429" s="5" t="n">
        <v>92510.10000000001</v>
      </c>
      <c r="G429" t="n">
        <v>5</v>
      </c>
      <c r="H429" s="5" t="n">
        <v>4625.51</v>
      </c>
      <c r="I429" s="5" t="n">
        <v>97135.61</v>
      </c>
      <c r="J429" s="5" t="n">
        <v>97135.61</v>
      </c>
      <c r="K429" s="4" t="n">
        <v>46164</v>
      </c>
      <c r="L429" s="5">
        <f>IF(I429="","",I429-J429)</f>
        <v/>
      </c>
      <c r="M429">
        <f>IF(K429="","",K429-B429)</f>
        <v/>
      </c>
    </row>
    <row r="430">
      <c r="A430" t="inlineStr">
        <is>
          <t>S-00234</t>
        </is>
      </c>
      <c r="B430" s="4" t="n">
        <v>46138</v>
      </c>
      <c r="C430" t="inlineStr">
        <is>
          <t>Kumkum Saree Sadan</t>
        </is>
      </c>
      <c r="D430" t="inlineStr">
        <is>
          <t>SALES</t>
        </is>
      </c>
      <c r="E430" t="inlineStr">
        <is>
          <t>Accessories</t>
        </is>
      </c>
      <c r="F430" s="5" t="n">
        <v>78946.21000000001</v>
      </c>
      <c r="G430" t="n">
        <v>12</v>
      </c>
      <c r="H430" s="5" t="n">
        <v>9473.549999999999</v>
      </c>
      <c r="I430" s="5" t="n">
        <v>88419.75999999999</v>
      </c>
      <c r="J430" s="5" t="n">
        <v>88419.75999999999</v>
      </c>
      <c r="K430" s="4" t="n">
        <v>46156</v>
      </c>
      <c r="L430" s="5">
        <f>IF(I430="","",I430-J430)</f>
        <v/>
      </c>
      <c r="M430">
        <f>IF(K430="","",K430-B430)</f>
        <v/>
      </c>
    </row>
    <row r="431">
      <c r="A431" t="inlineStr">
        <is>
          <t>S-00235</t>
        </is>
      </c>
      <c r="B431" s="4" t="n">
        <v>46116</v>
      </c>
      <c r="C431" t="inlineStr">
        <is>
          <t>City Centre Apparel</t>
        </is>
      </c>
      <c r="D431" t="inlineStr">
        <is>
          <t>SALES</t>
        </is>
      </c>
      <c r="E431" t="inlineStr">
        <is>
          <t>Accessories</t>
        </is>
      </c>
      <c r="F431" s="5" t="n">
        <v>44077.29</v>
      </c>
      <c r="G431" t="n">
        <v>12</v>
      </c>
      <c r="H431" s="5" t="n">
        <v>5289.27</v>
      </c>
      <c r="I431" s="5" t="n">
        <v>49366.56</v>
      </c>
      <c r="J431" s="5" t="n">
        <v>49366.56</v>
      </c>
      <c r="K431" s="4" t="n">
        <v>46143</v>
      </c>
      <c r="L431" s="5">
        <f>IF(I431="","",I431-J431)</f>
        <v/>
      </c>
      <c r="M431">
        <f>IF(K431="","",K431-B431)</f>
        <v/>
      </c>
    </row>
    <row r="432">
      <c r="A432" t="inlineStr">
        <is>
          <t>S-00236</t>
        </is>
      </c>
      <c r="B432" s="4" t="n">
        <v>46139</v>
      </c>
      <c r="C432" t="inlineStr">
        <is>
          <t>Purnia Fashion Hub</t>
        </is>
      </c>
      <c r="D432" t="inlineStr">
        <is>
          <t>SALES</t>
        </is>
      </c>
      <c r="E432" t="inlineStr">
        <is>
          <t>Fabrics</t>
        </is>
      </c>
      <c r="F432" s="5" t="n">
        <v>58218.36</v>
      </c>
      <c r="G432" t="n">
        <v>5</v>
      </c>
      <c r="H432" s="5" t="n">
        <v>2910.92</v>
      </c>
      <c r="I432" s="5" t="n">
        <v>61129.28</v>
      </c>
      <c r="J432" s="5" t="n">
        <v>61129.28</v>
      </c>
      <c r="K432" s="4" t="n">
        <v>46191</v>
      </c>
      <c r="L432" s="5">
        <f>IF(I432="","",I432-J432)</f>
        <v/>
      </c>
      <c r="M432">
        <f>IF(K432="","",K432-B432)</f>
        <v/>
      </c>
    </row>
    <row r="433">
      <c r="A433" t="inlineStr">
        <is>
          <t>S-00237</t>
        </is>
      </c>
      <c r="B433" s="4" t="n">
        <v>46130</v>
      </c>
      <c r="C433" t="inlineStr">
        <is>
          <t>City Centre Apparel</t>
        </is>
      </c>
      <c r="D433" t="inlineStr">
        <is>
          <t>SALES</t>
        </is>
      </c>
      <c r="E433" t="inlineStr">
        <is>
          <t>Garments</t>
        </is>
      </c>
      <c r="F433" s="5" t="n">
        <v>92618.71000000001</v>
      </c>
      <c r="G433" t="n">
        <v>12</v>
      </c>
      <c r="H433" s="5" t="n">
        <v>11114.25</v>
      </c>
      <c r="I433" s="5" t="n">
        <v>103732.96</v>
      </c>
      <c r="J433" s="5" t="n">
        <v>103732.96</v>
      </c>
      <c r="K433" s="4" t="n">
        <v>46177</v>
      </c>
      <c r="L433" s="5">
        <f>IF(I433="","",I433-J433)</f>
        <v/>
      </c>
      <c r="M433">
        <f>IF(K433="","",K433-B433)</f>
        <v/>
      </c>
    </row>
    <row r="434">
      <c r="A434" t="inlineStr">
        <is>
          <t>S-00238</t>
        </is>
      </c>
      <c r="B434" s="4" t="n">
        <v>46117</v>
      </c>
      <c r="C434" t="inlineStr">
        <is>
          <t>Bhagalpur Silk Centre</t>
        </is>
      </c>
      <c r="D434" t="inlineStr">
        <is>
          <t>SALES</t>
        </is>
      </c>
      <c r="E434" t="inlineStr">
        <is>
          <t>Fabrics</t>
        </is>
      </c>
      <c r="F434" s="5" t="n">
        <v>91340.49000000001</v>
      </c>
      <c r="G434" t="n">
        <v>5</v>
      </c>
      <c r="H434" s="5" t="n">
        <v>4567.02</v>
      </c>
      <c r="I434" s="5" t="n">
        <v>95907.50999999999</v>
      </c>
      <c r="J434" s="5" t="n">
        <v>95907.50999999999</v>
      </c>
      <c r="K434" s="4" t="n">
        <v>46133</v>
      </c>
      <c r="L434" s="5">
        <f>IF(I434="","",I434-J434)</f>
        <v/>
      </c>
      <c r="M434">
        <f>IF(K434="","",K434-B434)</f>
        <v/>
      </c>
    </row>
    <row r="435">
      <c r="A435" t="inlineStr">
        <is>
          <t>S-00239</t>
        </is>
      </c>
      <c r="B435" s="4" t="n">
        <v>46131</v>
      </c>
      <c r="C435" t="inlineStr">
        <is>
          <t>Patna Fashion House</t>
        </is>
      </c>
      <c r="D435" t="inlineStr">
        <is>
          <t>SALES</t>
        </is>
      </c>
      <c r="E435" t="inlineStr">
        <is>
          <t>Garments</t>
        </is>
      </c>
      <c r="F435" s="5" t="n">
        <v>90911.89</v>
      </c>
      <c r="G435" t="n">
        <v>12</v>
      </c>
      <c r="H435" s="5" t="n">
        <v>10909.43</v>
      </c>
      <c r="I435" s="5" t="n">
        <v>101821.32</v>
      </c>
      <c r="J435" s="5" t="n">
        <v>101821.32</v>
      </c>
      <c r="K435" s="4" t="n">
        <v>46153</v>
      </c>
      <c r="L435" s="5">
        <f>IF(I435="","",I435-J435)</f>
        <v/>
      </c>
      <c r="M435">
        <f>IF(K435="","",K435-B435)</f>
        <v/>
      </c>
    </row>
    <row r="436">
      <c r="A436" t="inlineStr">
        <is>
          <t>S-00240</t>
        </is>
      </c>
      <c r="B436" s="4" t="n">
        <v>46139</v>
      </c>
      <c r="C436" t="inlineStr">
        <is>
          <t>Vishal Mega Mart (franchise)</t>
        </is>
      </c>
      <c r="D436" t="inlineStr">
        <is>
          <t>SALES</t>
        </is>
      </c>
      <c r="E436" t="inlineStr">
        <is>
          <t>Garments</t>
        </is>
      </c>
      <c r="F436" s="5" t="n">
        <v>61121.62</v>
      </c>
      <c r="G436" t="n">
        <v>12</v>
      </c>
      <c r="H436" s="5" t="n">
        <v>7334.59</v>
      </c>
      <c r="I436" s="5" t="n">
        <v>68456.21000000001</v>
      </c>
      <c r="J436" s="5" t="n">
        <v>68456.21000000001</v>
      </c>
      <c r="K436" s="4" t="n">
        <v>46166</v>
      </c>
      <c r="L436" s="5">
        <f>IF(I436="","",I436-J436)</f>
        <v/>
      </c>
      <c r="M436">
        <f>IF(K436="","",K436-B436)</f>
        <v/>
      </c>
    </row>
    <row r="437">
      <c r="A437" t="inlineStr">
        <is>
          <t>S-00241</t>
        </is>
      </c>
      <c r="B437" s="4" t="n">
        <v>46130</v>
      </c>
      <c r="C437" t="inlineStr">
        <is>
          <t>Trendy Threads</t>
        </is>
      </c>
      <c r="D437" t="inlineStr">
        <is>
          <t>SALES</t>
        </is>
      </c>
      <c r="E437" t="inlineStr">
        <is>
          <t>Garments</t>
        </is>
      </c>
      <c r="F437" s="5" t="n">
        <v>10746</v>
      </c>
      <c r="G437" t="n">
        <v>12</v>
      </c>
      <c r="H437" s="5" t="n">
        <v>1289.52</v>
      </c>
      <c r="I437" s="5" t="n">
        <v>12035.52</v>
      </c>
      <c r="J437" s="5" t="n">
        <v>9618.780000000001</v>
      </c>
      <c r="K437" s="4" t="n">
        <v>46158</v>
      </c>
      <c r="L437" s="5">
        <f>IF(I437="","",I437-J437)</f>
        <v/>
      </c>
      <c r="M437">
        <f>IF(K437="","",K437-B437)</f>
        <v/>
      </c>
    </row>
    <row r="438">
      <c r="A438" t="inlineStr">
        <is>
          <t>S-00242</t>
        </is>
      </c>
      <c r="B438" s="4" t="n">
        <v>46139</v>
      </c>
      <c r="C438" t="inlineStr">
        <is>
          <t>Patna Fashion House</t>
        </is>
      </c>
      <c r="D438" t="inlineStr">
        <is>
          <t>SALES</t>
        </is>
      </c>
      <c r="E438" t="inlineStr">
        <is>
          <t>Garments</t>
        </is>
      </c>
      <c r="F438" s="5" t="n">
        <v>80149.67</v>
      </c>
      <c r="G438" t="n">
        <v>12</v>
      </c>
      <c r="H438" s="5" t="n">
        <v>9617.959999999999</v>
      </c>
      <c r="I438" s="5" t="n">
        <v>89767.63</v>
      </c>
      <c r="J438" s="5" t="n">
        <v>89767.63</v>
      </c>
      <c r="K438" s="4" t="n">
        <v>46172</v>
      </c>
      <c r="L438" s="5">
        <f>IF(I438="","",I438-J438)</f>
        <v/>
      </c>
      <c r="M438">
        <f>IF(K438="","",K438-B438)</f>
        <v/>
      </c>
    </row>
    <row r="439">
      <c r="A439" t="inlineStr">
        <is>
          <t>S-00243</t>
        </is>
      </c>
      <c r="B439" s="4" t="n">
        <v>46117</v>
      </c>
      <c r="C439" t="inlineStr">
        <is>
          <t>Arrah Garment Plaza</t>
        </is>
      </c>
      <c r="D439" t="inlineStr">
        <is>
          <t>SALES</t>
        </is>
      </c>
      <c r="E439" t="inlineStr">
        <is>
          <t>Fabrics</t>
        </is>
      </c>
      <c r="F439" s="5" t="n">
        <v>82423.31</v>
      </c>
      <c r="G439" t="n">
        <v>5</v>
      </c>
      <c r="H439" s="5" t="n">
        <v>4121.17</v>
      </c>
      <c r="I439" s="5" t="n">
        <v>86544.48</v>
      </c>
      <c r="J439" s="5" t="n">
        <v>86544.48</v>
      </c>
      <c r="K439" s="4" t="n">
        <v>46133</v>
      </c>
      <c r="L439" s="5">
        <f>IF(I439="","",I439-J439)</f>
        <v/>
      </c>
      <c r="M439">
        <f>IF(K439="","",K439-B439)</f>
        <v/>
      </c>
    </row>
    <row r="440">
      <c r="A440" t="inlineStr">
        <is>
          <t>S-00244</t>
        </is>
      </c>
      <c r="B440" s="4" t="n">
        <v>46127</v>
      </c>
      <c r="C440" t="inlineStr">
        <is>
          <t>Patna Fashion House</t>
        </is>
      </c>
      <c r="D440" t="inlineStr">
        <is>
          <t>SALES</t>
        </is>
      </c>
      <c r="E440" t="inlineStr">
        <is>
          <t>Garments</t>
        </is>
      </c>
      <c r="F440" s="5" t="n">
        <v>33734.46</v>
      </c>
      <c r="G440" t="n">
        <v>12</v>
      </c>
      <c r="H440" s="5" t="n">
        <v>4048.14</v>
      </c>
      <c r="I440" s="5" t="n">
        <v>37782.6</v>
      </c>
      <c r="J440" s="5" t="n">
        <v>0</v>
      </c>
      <c r="K440" s="4" t="inlineStr"/>
      <c r="L440" s="5">
        <f>IF(I440="","",I440-J440)</f>
        <v/>
      </c>
      <c r="M440">
        <f>IF(K440="","",K440-B440)</f>
        <v/>
      </c>
    </row>
    <row r="441">
      <c r="A441" t="inlineStr">
        <is>
          <t>S-00245</t>
        </is>
      </c>
      <c r="B441" s="4" t="n">
        <v>46131</v>
      </c>
      <c r="C441" t="inlineStr">
        <is>
          <t>Purnia Fashion Hub</t>
        </is>
      </c>
      <c r="D441" t="inlineStr">
        <is>
          <t>SALES</t>
        </is>
      </c>
      <c r="E441" t="inlineStr">
        <is>
          <t>Fabrics</t>
        </is>
      </c>
      <c r="F441" s="5" t="n">
        <v>59644.91</v>
      </c>
      <c r="G441" t="n">
        <v>5</v>
      </c>
      <c r="H441" s="5" t="n">
        <v>2982.25</v>
      </c>
      <c r="I441" s="5" t="n">
        <v>62627.16</v>
      </c>
      <c r="J441" s="5" t="n">
        <v>62627.16</v>
      </c>
      <c r="K441" s="4" t="n">
        <v>46160</v>
      </c>
      <c r="L441" s="5">
        <f>IF(I441="","",I441-J441)</f>
        <v/>
      </c>
      <c r="M441">
        <f>IF(K441="","",K441-B441)</f>
        <v/>
      </c>
    </row>
    <row r="442">
      <c r="A442" t="inlineStr">
        <is>
          <t>P-00106</t>
        </is>
      </c>
      <c r="B442" s="4" t="n">
        <v>46140</v>
      </c>
      <c r="C442" t="inlineStr">
        <is>
          <t>Surat Textile Mills</t>
        </is>
      </c>
      <c r="D442" t="inlineStr">
        <is>
          <t>PURCHASE</t>
        </is>
      </c>
      <c r="E442" t="inlineStr">
        <is>
          <t>Inventory purchases</t>
        </is>
      </c>
      <c r="F442" s="5" t="n">
        <v>93574.59</v>
      </c>
      <c r="G442" t="n">
        <v>5</v>
      </c>
      <c r="H442" s="5" t="n">
        <v>4678.73</v>
      </c>
      <c r="I442" s="5" t="n">
        <v>98253.32000000001</v>
      </c>
      <c r="J442" s="5" t="n">
        <v>98253.32000000001</v>
      </c>
      <c r="K442" s="4" t="n">
        <v>46158</v>
      </c>
      <c r="L442" s="5">
        <f>IF(I442="","",I442-J442)</f>
        <v/>
      </c>
      <c r="M442">
        <f>IF(K442="","",K442-B442)</f>
        <v/>
      </c>
    </row>
    <row r="443">
      <c r="A443" t="inlineStr">
        <is>
          <t>P-00107</t>
        </is>
      </c>
      <c r="B443" s="4" t="n">
        <v>46129</v>
      </c>
      <c r="C443" t="inlineStr">
        <is>
          <t>Ludhiana Knitwear Co</t>
        </is>
      </c>
      <c r="D443" t="inlineStr">
        <is>
          <t>PURCHASE</t>
        </is>
      </c>
      <c r="E443" t="inlineStr">
        <is>
          <t>Inventory purchases</t>
        </is>
      </c>
      <c r="F443" s="5" t="n">
        <v>26960.93</v>
      </c>
      <c r="G443" t="n">
        <v>5</v>
      </c>
      <c r="H443" s="5" t="n">
        <v>1348.05</v>
      </c>
      <c r="I443" s="5" t="n">
        <v>28308.98</v>
      </c>
      <c r="J443" s="5" t="n">
        <v>28308.98</v>
      </c>
      <c r="K443" s="4" t="n">
        <v>46145</v>
      </c>
      <c r="L443" s="5">
        <f>IF(I443="","",I443-J443)</f>
        <v/>
      </c>
      <c r="M443">
        <f>IF(K443="","",K443-B443)</f>
        <v/>
      </c>
    </row>
    <row r="444">
      <c r="A444" t="inlineStr">
        <is>
          <t>P-00108</t>
        </is>
      </c>
      <c r="B444" s="4" t="n">
        <v>46115</v>
      </c>
      <c r="C444" t="inlineStr">
        <is>
          <t>Delhi Fabric Suppliers</t>
        </is>
      </c>
      <c r="D444" t="inlineStr">
        <is>
          <t>PURCHASE</t>
        </is>
      </c>
      <c r="E444" t="inlineStr">
        <is>
          <t>Inventory purchases</t>
        </is>
      </c>
      <c r="F444" s="5" t="n">
        <v>108424.32</v>
      </c>
      <c r="G444" t="n">
        <v>5</v>
      </c>
      <c r="H444" s="5" t="n">
        <v>5421.22</v>
      </c>
      <c r="I444" s="5" t="n">
        <v>113845.54</v>
      </c>
      <c r="J444" s="5" t="n">
        <v>113845.54</v>
      </c>
      <c r="K444" s="4" t="n">
        <v>46148</v>
      </c>
      <c r="L444" s="5">
        <f>IF(I444="","",I444-J444)</f>
        <v/>
      </c>
      <c r="M444">
        <f>IF(K444="","",K444-B444)</f>
        <v/>
      </c>
    </row>
    <row r="445">
      <c r="A445" t="inlineStr">
        <is>
          <t>P-00109</t>
        </is>
      </c>
      <c r="B445" s="4" t="n">
        <v>46124</v>
      </c>
      <c r="C445" t="inlineStr">
        <is>
          <t>Ludhiana Knitwear Co</t>
        </is>
      </c>
      <c r="D445" t="inlineStr">
        <is>
          <t>PURCHASE</t>
        </is>
      </c>
      <c r="E445" t="inlineStr">
        <is>
          <t>Inventory purchases</t>
        </is>
      </c>
      <c r="F445" s="5" t="n">
        <v>96104.03</v>
      </c>
      <c r="G445" t="n">
        <v>5</v>
      </c>
      <c r="H445" s="5" t="n">
        <v>4805.2</v>
      </c>
      <c r="I445" s="5" t="n">
        <v>100909.23</v>
      </c>
      <c r="J445" s="5" t="n">
        <v>100909.23</v>
      </c>
      <c r="K445" s="4" t="n">
        <v>46133</v>
      </c>
      <c r="L445" s="5">
        <f>IF(I445="","",I445-J445)</f>
        <v/>
      </c>
      <c r="M445">
        <f>IF(K445="","",K445-B445)</f>
        <v/>
      </c>
    </row>
    <row r="446">
      <c r="A446" t="inlineStr">
        <is>
          <t>P-00110</t>
        </is>
      </c>
      <c r="B446" s="4" t="n">
        <v>46113</v>
      </c>
      <c r="C446" t="inlineStr">
        <is>
          <t>Ludhiana Knitwear Co</t>
        </is>
      </c>
      <c r="D446" t="inlineStr">
        <is>
          <t>PURCHASE</t>
        </is>
      </c>
      <c r="E446" t="inlineStr">
        <is>
          <t>Inventory purchases</t>
        </is>
      </c>
      <c r="F446" s="5" t="n">
        <v>53824.95</v>
      </c>
      <c r="G446" t="n">
        <v>5</v>
      </c>
      <c r="H446" s="5" t="n">
        <v>2691.25</v>
      </c>
      <c r="I446" s="5" t="n">
        <v>56516.2</v>
      </c>
      <c r="J446" s="5" t="n">
        <v>56516.2</v>
      </c>
      <c r="K446" s="4" t="n">
        <v>46140</v>
      </c>
      <c r="L446" s="5">
        <f>IF(I446="","",I446-J446)</f>
        <v/>
      </c>
      <c r="M446">
        <f>IF(K446="","",K446-B446)</f>
        <v/>
      </c>
    </row>
    <row r="447">
      <c r="A447" t="inlineStr">
        <is>
          <t>P-00111</t>
        </is>
      </c>
      <c r="B447" s="4" t="n">
        <v>46113</v>
      </c>
      <c r="C447" t="inlineStr">
        <is>
          <t>Tiruppur Garment Works</t>
        </is>
      </c>
      <c r="D447" t="inlineStr">
        <is>
          <t>PURCHASE</t>
        </is>
      </c>
      <c r="E447" t="inlineStr">
        <is>
          <t>Inventory purchases</t>
        </is>
      </c>
      <c r="F447" s="5" t="n">
        <v>39365.24</v>
      </c>
      <c r="G447" t="n">
        <v>5</v>
      </c>
      <c r="H447" s="5" t="n">
        <v>1968.26</v>
      </c>
      <c r="I447" s="5" t="n">
        <v>41333.5</v>
      </c>
      <c r="J447" s="5" t="n">
        <v>41333.5</v>
      </c>
      <c r="K447" s="4" t="n">
        <v>46134</v>
      </c>
      <c r="L447" s="5">
        <f>IF(I447="","",I447-J447)</f>
        <v/>
      </c>
      <c r="M447">
        <f>IF(K447="","",K447-B447)</f>
        <v/>
      </c>
    </row>
    <row r="448">
      <c r="A448" t="inlineStr">
        <is>
          <t>P-00112</t>
        </is>
      </c>
      <c r="B448" s="4" t="n">
        <v>46129</v>
      </c>
      <c r="C448" t="inlineStr">
        <is>
          <t>Tiruppur Garment Works</t>
        </is>
      </c>
      <c r="D448" t="inlineStr">
        <is>
          <t>PURCHASE</t>
        </is>
      </c>
      <c r="E448" t="inlineStr">
        <is>
          <t>Inventory purchases</t>
        </is>
      </c>
      <c r="F448" s="5" t="n">
        <v>42010.62</v>
      </c>
      <c r="G448" t="n">
        <v>5</v>
      </c>
      <c r="H448" s="5" t="n">
        <v>2100.53</v>
      </c>
      <c r="I448" s="5" t="n">
        <v>44111.15</v>
      </c>
      <c r="J448" s="5" t="n">
        <v>44111.15</v>
      </c>
      <c r="K448" s="4" t="n">
        <v>46144</v>
      </c>
      <c r="L448" s="5">
        <f>IF(I448="","",I448-J448)</f>
        <v/>
      </c>
      <c r="M448">
        <f>IF(K448="","",K448-B448)</f>
        <v/>
      </c>
    </row>
    <row r="449">
      <c r="A449" t="inlineStr">
        <is>
          <t>P-00113</t>
        </is>
      </c>
      <c r="B449" s="4" t="n">
        <v>46118</v>
      </c>
      <c r="C449" t="inlineStr">
        <is>
          <t>Surat Textile Mills</t>
        </is>
      </c>
      <c r="D449" t="inlineStr">
        <is>
          <t>PURCHASE</t>
        </is>
      </c>
      <c r="E449" t="inlineStr">
        <is>
          <t>Inventory purchases</t>
        </is>
      </c>
      <c r="F449" s="5" t="n">
        <v>96619.45</v>
      </c>
      <c r="G449" t="n">
        <v>5</v>
      </c>
      <c r="H449" s="5" t="n">
        <v>4830.97</v>
      </c>
      <c r="I449" s="5" t="n">
        <v>101450.42</v>
      </c>
      <c r="J449" s="5" t="n">
        <v>101450.42</v>
      </c>
      <c r="K449" s="4" t="n">
        <v>46137</v>
      </c>
      <c r="L449" s="5">
        <f>IF(I449="","",I449-J449)</f>
        <v/>
      </c>
      <c r="M449">
        <f>IF(K449="","",K449-B449)</f>
        <v/>
      </c>
    </row>
    <row r="450">
      <c r="A450" t="inlineStr">
        <is>
          <t>P-00114</t>
        </is>
      </c>
      <c r="B450" s="4" t="n">
        <v>46135</v>
      </c>
      <c r="C450" t="inlineStr">
        <is>
          <t>Jaipur Print Works</t>
        </is>
      </c>
      <c r="D450" t="inlineStr">
        <is>
          <t>PURCHASE</t>
        </is>
      </c>
      <c r="E450" t="inlineStr">
        <is>
          <t>Inventory purchases</t>
        </is>
      </c>
      <c r="F450" s="5" t="n">
        <v>23424.39</v>
      </c>
      <c r="G450" t="n">
        <v>5</v>
      </c>
      <c r="H450" s="5" t="n">
        <v>1171.22</v>
      </c>
      <c r="I450" s="5" t="n">
        <v>24595.61</v>
      </c>
      <c r="J450" s="5" t="n">
        <v>24595.61</v>
      </c>
      <c r="K450" s="4" t="n">
        <v>46144</v>
      </c>
      <c r="L450" s="5">
        <f>IF(I450="","",I450-J450)</f>
        <v/>
      </c>
      <c r="M450">
        <f>IF(K450="","",K450-B450)</f>
        <v/>
      </c>
    </row>
    <row r="451">
      <c r="A451" t="inlineStr">
        <is>
          <t>P-00115</t>
        </is>
      </c>
      <c r="B451" s="4" t="n">
        <v>46128</v>
      </c>
      <c r="C451" t="inlineStr">
        <is>
          <t>Delhi Fabric Suppliers</t>
        </is>
      </c>
      <c r="D451" t="inlineStr">
        <is>
          <t>PURCHASE</t>
        </is>
      </c>
      <c r="E451" t="inlineStr">
        <is>
          <t>Inventory purchases</t>
        </is>
      </c>
      <c r="F451" s="5" t="n">
        <v>28576.02</v>
      </c>
      <c r="G451" t="n">
        <v>5</v>
      </c>
      <c r="H451" s="5" t="n">
        <v>1428.8</v>
      </c>
      <c r="I451" s="5" t="n">
        <v>30004.82</v>
      </c>
      <c r="J451" s="5" t="n">
        <v>30004.82</v>
      </c>
      <c r="K451" s="4" t="n">
        <v>46158</v>
      </c>
      <c r="L451" s="5">
        <f>IF(I451="","",I451-J451)</f>
        <v/>
      </c>
      <c r="M451">
        <f>IF(K451="","",K451-B451)</f>
        <v/>
      </c>
    </row>
    <row r="452">
      <c r="A452" t="inlineStr">
        <is>
          <t>P-00116</t>
        </is>
      </c>
      <c r="B452" s="4" t="n">
        <v>46142</v>
      </c>
      <c r="C452" t="inlineStr">
        <is>
          <t>Jaipur Print Works</t>
        </is>
      </c>
      <c r="D452" t="inlineStr">
        <is>
          <t>PURCHASE</t>
        </is>
      </c>
      <c r="E452" t="inlineStr">
        <is>
          <t>Inventory purchases</t>
        </is>
      </c>
      <c r="F452" s="5" t="n">
        <v>19453.48</v>
      </c>
      <c r="G452" t="n">
        <v>5</v>
      </c>
      <c r="H452" s="5" t="n">
        <v>972.67</v>
      </c>
      <c r="I452" s="5" t="n">
        <v>20426.15</v>
      </c>
      <c r="J452" s="5" t="n">
        <v>10571.99</v>
      </c>
      <c r="K452" s="4" t="n">
        <v>46149</v>
      </c>
      <c r="L452" s="5">
        <f>IF(I452="","",I452-J452)</f>
        <v/>
      </c>
      <c r="M452">
        <f>IF(K452="","",K452-B452)</f>
        <v/>
      </c>
    </row>
    <row r="453">
      <c r="A453" t="inlineStr">
        <is>
          <t>P-00117</t>
        </is>
      </c>
      <c r="B453" s="4" t="n">
        <v>46122</v>
      </c>
      <c r="C453" t="inlineStr">
        <is>
          <t>Delhi Fabric Suppliers</t>
        </is>
      </c>
      <c r="D453" t="inlineStr">
        <is>
          <t>PURCHASE</t>
        </is>
      </c>
      <c r="E453" t="inlineStr">
        <is>
          <t>Inventory purchases</t>
        </is>
      </c>
      <c r="F453" s="5" t="n">
        <v>57708.54</v>
      </c>
      <c r="G453" t="n">
        <v>5</v>
      </c>
      <c r="H453" s="5" t="n">
        <v>2885.43</v>
      </c>
      <c r="I453" s="5" t="n">
        <v>60593.97</v>
      </c>
      <c r="J453" s="5" t="n">
        <v>60593.97</v>
      </c>
      <c r="K453" s="4" t="n">
        <v>46130</v>
      </c>
      <c r="L453" s="5">
        <f>IF(I453="","",I453-J453)</f>
        <v/>
      </c>
      <c r="M453">
        <f>IF(K453="","",K453-B453)</f>
        <v/>
      </c>
    </row>
    <row r="454">
      <c r="A454" t="inlineStr">
        <is>
          <t>P-00118</t>
        </is>
      </c>
      <c r="B454" s="4" t="n">
        <v>46133</v>
      </c>
      <c r="C454" t="inlineStr">
        <is>
          <t>Kolkata Hosiery House</t>
        </is>
      </c>
      <c r="D454" t="inlineStr">
        <is>
          <t>PURCHASE</t>
        </is>
      </c>
      <c r="E454" t="inlineStr">
        <is>
          <t>Inventory purchases</t>
        </is>
      </c>
      <c r="F454" s="5" t="n">
        <v>100126.27</v>
      </c>
      <c r="G454" t="n">
        <v>5</v>
      </c>
      <c r="H454" s="5" t="n">
        <v>5006.31</v>
      </c>
      <c r="I454" s="5" t="n">
        <v>105132.58</v>
      </c>
      <c r="J454" s="5" t="n">
        <v>105132.58</v>
      </c>
      <c r="K454" s="4" t="n">
        <v>46151</v>
      </c>
      <c r="L454" s="5">
        <f>IF(I454="","",I454-J454)</f>
        <v/>
      </c>
      <c r="M454">
        <f>IF(K454="","",K454-B454)</f>
        <v/>
      </c>
    </row>
    <row r="455">
      <c r="A455" t="inlineStr">
        <is>
          <t>P-00119</t>
        </is>
      </c>
      <c r="B455" s="4" t="n">
        <v>46125</v>
      </c>
      <c r="C455" t="inlineStr">
        <is>
          <t>Ludhiana Knitwear Co</t>
        </is>
      </c>
      <c r="D455" t="inlineStr">
        <is>
          <t>PURCHASE</t>
        </is>
      </c>
      <c r="E455" t="inlineStr">
        <is>
          <t>Inventory purchases</t>
        </is>
      </c>
      <c r="F455" s="5" t="n">
        <v>11287.89</v>
      </c>
      <c r="G455" t="n">
        <v>5</v>
      </c>
      <c r="H455" s="5" t="n">
        <v>564.39</v>
      </c>
      <c r="I455" s="5" t="n">
        <v>11852.28</v>
      </c>
      <c r="J455" s="5" t="n">
        <v>11852.28</v>
      </c>
      <c r="K455" s="4" t="n">
        <v>46146</v>
      </c>
      <c r="L455" s="5">
        <f>IF(I455="","",I455-J455)</f>
        <v/>
      </c>
      <c r="M455">
        <f>IF(K455="","",K455-B455)</f>
        <v/>
      </c>
    </row>
    <row r="456">
      <c r="A456" t="inlineStr">
        <is>
          <t>P-00120</t>
        </is>
      </c>
      <c r="B456" s="4" t="n">
        <v>46138</v>
      </c>
      <c r="C456" t="inlineStr">
        <is>
          <t>Surat Textile Mills</t>
        </is>
      </c>
      <c r="D456" t="inlineStr">
        <is>
          <t>PURCHASE</t>
        </is>
      </c>
      <c r="E456" t="inlineStr">
        <is>
          <t>Inventory purchases</t>
        </is>
      </c>
      <c r="F456" s="5" t="n">
        <v>57934.91</v>
      </c>
      <c r="G456" t="n">
        <v>5</v>
      </c>
      <c r="H456" s="5" t="n">
        <v>2896.75</v>
      </c>
      <c r="I456" s="5" t="n">
        <v>60831.66</v>
      </c>
      <c r="J456" s="5" t="n">
        <v>60831.66</v>
      </c>
      <c r="K456" s="4" t="n">
        <v>46153</v>
      </c>
      <c r="L456" s="5">
        <f>IF(I456="","",I456-J456)</f>
        <v/>
      </c>
      <c r="M456">
        <f>IF(K456="","",K456-B456)</f>
        <v/>
      </c>
    </row>
    <row r="457">
      <c r="A457" t="inlineStr">
        <is>
          <t>E-00091</t>
        </is>
      </c>
      <c r="B457" s="4" t="n">
        <v>46130</v>
      </c>
      <c r="C457" t="inlineStr">
        <is>
          <t>Various</t>
        </is>
      </c>
      <c r="D457" t="inlineStr">
        <is>
          <t>EXPENSE</t>
        </is>
      </c>
      <c r="E457" t="inlineStr">
        <is>
          <t>Rent</t>
        </is>
      </c>
      <c r="F457" s="5" t="n">
        <v>25259.93</v>
      </c>
      <c r="G457" t="n">
        <v>18</v>
      </c>
      <c r="H457" s="5" t="n">
        <v>4546.79</v>
      </c>
      <c r="I457" s="5" t="n">
        <v>29806.72</v>
      </c>
      <c r="J457" s="5" t="n">
        <v>29806.72</v>
      </c>
      <c r="K457" s="4" t="n">
        <v>46134</v>
      </c>
      <c r="L457" s="5">
        <f>IF(I457="","",I457-J457)</f>
        <v/>
      </c>
      <c r="M457">
        <f>IF(K457="","",K457-B457)</f>
        <v/>
      </c>
    </row>
    <row r="458">
      <c r="A458" t="inlineStr">
        <is>
          <t>E-00092</t>
        </is>
      </c>
      <c r="B458" s="4" t="n">
        <v>46131</v>
      </c>
      <c r="C458" t="inlineStr">
        <is>
          <t>Various</t>
        </is>
      </c>
      <c r="D458" t="inlineStr">
        <is>
          <t>EXPENSE</t>
        </is>
      </c>
      <c r="E458" t="inlineStr">
        <is>
          <t>Salaries</t>
        </is>
      </c>
      <c r="F458" s="5" t="n">
        <v>84177.06</v>
      </c>
      <c r="G458" t="n">
        <v>0</v>
      </c>
      <c r="H458" s="5" t="n">
        <v>0</v>
      </c>
      <c r="I458" s="5" t="n">
        <v>84177.06</v>
      </c>
      <c r="J458" s="5" t="n">
        <v>84177.06</v>
      </c>
      <c r="K458" s="4" t="n">
        <v>46133</v>
      </c>
      <c r="L458" s="5">
        <f>IF(I458="","",I458-J458)</f>
        <v/>
      </c>
      <c r="M458">
        <f>IF(K458="","",K458-B458)</f>
        <v/>
      </c>
    </row>
    <row r="459">
      <c r="A459" t="inlineStr">
        <is>
          <t>E-00093</t>
        </is>
      </c>
      <c r="B459" s="4" t="n">
        <v>46123</v>
      </c>
      <c r="C459" t="inlineStr">
        <is>
          <t>Various</t>
        </is>
      </c>
      <c r="D459" t="inlineStr">
        <is>
          <t>EXPENSE</t>
        </is>
      </c>
      <c r="E459" t="inlineStr">
        <is>
          <t>Utilities</t>
        </is>
      </c>
      <c r="F459" s="5" t="n">
        <v>6626.05</v>
      </c>
      <c r="G459" t="n">
        <v>18</v>
      </c>
      <c r="H459" s="5" t="n">
        <v>1192.69</v>
      </c>
      <c r="I459" s="5" t="n">
        <v>7818.74</v>
      </c>
      <c r="J459" s="5" t="n">
        <v>7818.74</v>
      </c>
      <c r="K459" s="4" t="n">
        <v>46128</v>
      </c>
      <c r="L459" s="5">
        <f>IF(I459="","",I459-J459)</f>
        <v/>
      </c>
      <c r="M459">
        <f>IF(K459="","",K459-B459)</f>
        <v/>
      </c>
    </row>
    <row r="460">
      <c r="A460" t="inlineStr">
        <is>
          <t>E-00094</t>
        </is>
      </c>
      <c r="B460" s="4" t="n">
        <v>46130</v>
      </c>
      <c r="C460" t="inlineStr">
        <is>
          <t>Various</t>
        </is>
      </c>
      <c r="D460" t="inlineStr">
        <is>
          <t>EXPENSE</t>
        </is>
      </c>
      <c r="E460" t="inlineStr">
        <is>
          <t>Transport</t>
        </is>
      </c>
      <c r="F460" s="5" t="n">
        <v>7937.13</v>
      </c>
      <c r="G460" t="n">
        <v>5</v>
      </c>
      <c r="H460" s="5" t="n">
        <v>396.86</v>
      </c>
      <c r="I460" s="5" t="n">
        <v>8333.99</v>
      </c>
      <c r="J460" s="5" t="n">
        <v>8333.99</v>
      </c>
      <c r="K460" s="4" t="n">
        <v>46133</v>
      </c>
      <c r="L460" s="5">
        <f>IF(I460="","",I460-J460)</f>
        <v/>
      </c>
      <c r="M460">
        <f>IF(K460="","",K460-B460)</f>
        <v/>
      </c>
    </row>
    <row r="461">
      <c r="A461" t="inlineStr">
        <is>
          <t>E-00095</t>
        </is>
      </c>
      <c r="B461" s="4" t="n">
        <v>46114</v>
      </c>
      <c r="C461" t="inlineStr">
        <is>
          <t>Various</t>
        </is>
      </c>
      <c r="D461" t="inlineStr">
        <is>
          <t>EXPENSE</t>
        </is>
      </c>
      <c r="E461" t="inlineStr">
        <is>
          <t>Transport</t>
        </is>
      </c>
      <c r="F461" s="5" t="n">
        <v>5782.74</v>
      </c>
      <c r="G461" t="n">
        <v>5</v>
      </c>
      <c r="H461" s="5" t="n">
        <v>289.14</v>
      </c>
      <c r="I461" s="5" t="n">
        <v>6071.88</v>
      </c>
      <c r="J461" s="5" t="n">
        <v>6071.88</v>
      </c>
      <c r="K461" s="4" t="n">
        <v>46117</v>
      </c>
      <c r="L461" s="5">
        <f>IF(I461="","",I461-J461)</f>
        <v/>
      </c>
      <c r="M461">
        <f>IF(K461="","",K461-B461)</f>
        <v/>
      </c>
    </row>
    <row r="462">
      <c r="A462" t="inlineStr">
        <is>
          <t>E-00096</t>
        </is>
      </c>
      <c r="B462" s="4" t="n">
        <v>46138</v>
      </c>
      <c r="C462" t="inlineStr">
        <is>
          <t>Various</t>
        </is>
      </c>
      <c r="D462" t="inlineStr">
        <is>
          <t>EXPENSE</t>
        </is>
      </c>
      <c r="E462" t="inlineStr">
        <is>
          <t>Transport</t>
        </is>
      </c>
      <c r="F462" s="5" t="n">
        <v>1200.14</v>
      </c>
      <c r="G462" t="n">
        <v>5</v>
      </c>
      <c r="H462" s="5" t="n">
        <v>60.01</v>
      </c>
      <c r="I462" s="5" t="n">
        <v>1260.15</v>
      </c>
      <c r="J462" s="5" t="n">
        <v>1260.15</v>
      </c>
      <c r="K462" s="4" t="n">
        <v>46145</v>
      </c>
      <c r="L462" s="5">
        <f>IF(I462="","",I462-J462)</f>
        <v/>
      </c>
      <c r="M462">
        <f>IF(K462="","",K462-B462)</f>
        <v/>
      </c>
    </row>
    <row r="463">
      <c r="A463" t="inlineStr">
        <is>
          <t>E-00097</t>
        </is>
      </c>
      <c r="B463" s="4" t="n">
        <v>46135</v>
      </c>
      <c r="C463" t="inlineStr">
        <is>
          <t>Various</t>
        </is>
      </c>
      <c r="D463" t="inlineStr">
        <is>
          <t>EXPENSE</t>
        </is>
      </c>
      <c r="E463" t="inlineStr">
        <is>
          <t>Transport</t>
        </is>
      </c>
      <c r="F463" s="5" t="n">
        <v>3433.11</v>
      </c>
      <c r="G463" t="n">
        <v>5</v>
      </c>
      <c r="H463" s="5" t="n">
        <v>171.66</v>
      </c>
      <c r="I463" s="5" t="n">
        <v>3604.77</v>
      </c>
      <c r="J463" s="5" t="n">
        <v>3604.77</v>
      </c>
      <c r="K463" s="4" t="n">
        <v>46139</v>
      </c>
      <c r="L463" s="5">
        <f>IF(I463="","",I463-J463)</f>
        <v/>
      </c>
      <c r="M463">
        <f>IF(K463="","",K463-B463)</f>
        <v/>
      </c>
    </row>
    <row r="464">
      <c r="A464" t="inlineStr">
        <is>
          <t>E-00098</t>
        </is>
      </c>
      <c r="B464" s="4" t="n">
        <v>46137</v>
      </c>
      <c r="C464" t="inlineStr">
        <is>
          <t>Various</t>
        </is>
      </c>
      <c r="D464" t="inlineStr">
        <is>
          <t>EXPENSE</t>
        </is>
      </c>
      <c r="E464" t="inlineStr">
        <is>
          <t>Transport</t>
        </is>
      </c>
      <c r="F464" s="5" t="n">
        <v>4833.35</v>
      </c>
      <c r="G464" t="n">
        <v>5</v>
      </c>
      <c r="H464" s="5" t="n">
        <v>241.67</v>
      </c>
      <c r="I464" s="5" t="n">
        <v>5075.02</v>
      </c>
      <c r="J464" s="5" t="n">
        <v>5075.02</v>
      </c>
      <c r="K464" s="4" t="n">
        <v>46139</v>
      </c>
      <c r="L464" s="5">
        <f>IF(I464="","",I464-J464)</f>
        <v/>
      </c>
      <c r="M464">
        <f>IF(K464="","",K464-B464)</f>
        <v/>
      </c>
    </row>
    <row r="465">
      <c r="A465" t="inlineStr">
        <is>
          <t>E-00099</t>
        </is>
      </c>
      <c r="B465" s="4" t="n">
        <v>46114</v>
      </c>
      <c r="C465" t="inlineStr">
        <is>
          <t>Various</t>
        </is>
      </c>
      <c r="D465" t="inlineStr">
        <is>
          <t>EXPENSE</t>
        </is>
      </c>
      <c r="E465" t="inlineStr">
        <is>
          <t>Transport</t>
        </is>
      </c>
      <c r="F465" s="5" t="n">
        <v>1340.81</v>
      </c>
      <c r="G465" t="n">
        <v>5</v>
      </c>
      <c r="H465" s="5" t="n">
        <v>67.04000000000001</v>
      </c>
      <c r="I465" s="5" t="n">
        <v>1407.85</v>
      </c>
      <c r="J465" s="5" t="n">
        <v>1407.85</v>
      </c>
      <c r="K465" s="4" t="n">
        <v>46118</v>
      </c>
      <c r="L465" s="5">
        <f>IF(I465="","",I465-J465)</f>
        <v/>
      </c>
      <c r="M465">
        <f>IF(K465="","",K465-B465)</f>
        <v/>
      </c>
    </row>
    <row r="466">
      <c r="A466" t="inlineStr">
        <is>
          <t>E-00100</t>
        </is>
      </c>
      <c r="B466" s="4" t="n">
        <v>46141</v>
      </c>
      <c r="C466" t="inlineStr">
        <is>
          <t>Various</t>
        </is>
      </c>
      <c r="D466" t="inlineStr">
        <is>
          <t>EXPENSE</t>
        </is>
      </c>
      <c r="E466" t="inlineStr">
        <is>
          <t>Marketing</t>
        </is>
      </c>
      <c r="F466" s="5" t="n">
        <v>13051.42</v>
      </c>
      <c r="G466" t="n">
        <v>18</v>
      </c>
      <c r="H466" s="5" t="n">
        <v>2349.26</v>
      </c>
      <c r="I466" s="5" t="n">
        <v>15400.68</v>
      </c>
      <c r="J466" s="5" t="n">
        <v>15400.68</v>
      </c>
      <c r="K466" s="4" t="n">
        <v>46150</v>
      </c>
      <c r="L466" s="5">
        <f>IF(I466="","",I466-J466)</f>
        <v/>
      </c>
      <c r="M466">
        <f>IF(K466="","",K466-B466)</f>
        <v/>
      </c>
    </row>
    <row r="467">
      <c r="A467" t="inlineStr">
        <is>
          <t>E-00101</t>
        </is>
      </c>
      <c r="B467" s="4" t="n">
        <v>46132</v>
      </c>
      <c r="C467" t="inlineStr">
        <is>
          <t>Various</t>
        </is>
      </c>
      <c r="D467" t="inlineStr">
        <is>
          <t>EXPENSE</t>
        </is>
      </c>
      <c r="E467" t="inlineStr">
        <is>
          <t>Marketing</t>
        </is>
      </c>
      <c r="F467" s="5" t="n">
        <v>12868.26</v>
      </c>
      <c r="G467" t="n">
        <v>18</v>
      </c>
      <c r="H467" s="5" t="n">
        <v>2316.29</v>
      </c>
      <c r="I467" s="5" t="n">
        <v>15184.55</v>
      </c>
      <c r="J467" s="5" t="n">
        <v>15184.55</v>
      </c>
      <c r="K467" s="4" t="n">
        <v>46134</v>
      </c>
      <c r="L467" s="5">
        <f>IF(I467="","",I467-J467)</f>
        <v/>
      </c>
      <c r="M467">
        <f>IF(K467="","",K467-B467)</f>
        <v/>
      </c>
    </row>
    <row r="468">
      <c r="A468" t="inlineStr">
        <is>
          <t>E-00102</t>
        </is>
      </c>
      <c r="B468" s="4" t="n">
        <v>46129</v>
      </c>
      <c r="C468" t="inlineStr">
        <is>
          <t>Various</t>
        </is>
      </c>
      <c r="D468" t="inlineStr">
        <is>
          <t>EXPENSE</t>
        </is>
      </c>
      <c r="E468" t="inlineStr">
        <is>
          <t>Professional fees</t>
        </is>
      </c>
      <c r="F468" s="5" t="n">
        <v>7252.43</v>
      </c>
      <c r="G468" t="n">
        <v>18</v>
      </c>
      <c r="H468" s="5" t="n">
        <v>1305.44</v>
      </c>
      <c r="I468" s="5" t="n">
        <v>8557.870000000001</v>
      </c>
      <c r="J468" s="5" t="n">
        <v>8557.870000000001</v>
      </c>
      <c r="K468" s="4" t="n">
        <v>46131</v>
      </c>
      <c r="L468" s="5">
        <f>IF(I468="","",I468-J468)</f>
        <v/>
      </c>
      <c r="M468">
        <f>IF(K468="","",K468-B468)</f>
        <v/>
      </c>
    </row>
    <row r="469">
      <c r="A469" t="inlineStr">
        <is>
          <t>E-00103</t>
        </is>
      </c>
      <c r="B469" s="4" t="n">
        <v>46138</v>
      </c>
      <c r="C469" t="inlineStr">
        <is>
          <t>Various</t>
        </is>
      </c>
      <c r="D469" t="inlineStr">
        <is>
          <t>EXPENSE</t>
        </is>
      </c>
      <c r="E469" t="inlineStr">
        <is>
          <t>Misc</t>
        </is>
      </c>
      <c r="F469" s="5" t="n">
        <v>1916.4</v>
      </c>
      <c r="G469" t="n">
        <v>18</v>
      </c>
      <c r="H469" s="5" t="n">
        <v>344.95</v>
      </c>
      <c r="I469" s="5" t="n">
        <v>2261.35</v>
      </c>
      <c r="J469" s="5" t="n">
        <v>2261.35</v>
      </c>
      <c r="K469" s="4" t="n">
        <v>46145</v>
      </c>
      <c r="L469" s="5">
        <f>IF(I469="","",I469-J469)</f>
        <v/>
      </c>
      <c r="M469">
        <f>IF(K469="","",K469-B469)</f>
        <v/>
      </c>
    </row>
    <row r="470">
      <c r="A470" t="inlineStr">
        <is>
          <t>E-00104</t>
        </is>
      </c>
      <c r="B470" s="4" t="n">
        <v>46131</v>
      </c>
      <c r="C470" t="inlineStr">
        <is>
          <t>Various</t>
        </is>
      </c>
      <c r="D470" t="inlineStr">
        <is>
          <t>EXPENSE</t>
        </is>
      </c>
      <c r="E470" t="inlineStr">
        <is>
          <t>Misc</t>
        </is>
      </c>
      <c r="F470" s="5" t="n">
        <v>1908.83</v>
      </c>
      <c r="G470" t="n">
        <v>18</v>
      </c>
      <c r="H470" s="5" t="n">
        <v>343.59</v>
      </c>
      <c r="I470" s="5" t="n">
        <v>2252.42</v>
      </c>
      <c r="J470" s="5" t="n">
        <v>2252.42</v>
      </c>
      <c r="K470" s="4" t="n">
        <v>46133</v>
      </c>
      <c r="L470" s="5">
        <f>IF(I470="","",I470-J470)</f>
        <v/>
      </c>
      <c r="M470">
        <f>IF(K470="","",K470-B470)</f>
        <v/>
      </c>
    </row>
    <row r="471">
      <c r="A471" t="inlineStr">
        <is>
          <t>E-00105</t>
        </is>
      </c>
      <c r="B471" s="4" t="n">
        <v>46121</v>
      </c>
      <c r="C471" t="inlineStr">
        <is>
          <t>Various</t>
        </is>
      </c>
      <c r="D471" t="inlineStr">
        <is>
          <t>EXPENSE</t>
        </is>
      </c>
      <c r="E471" t="inlineStr">
        <is>
          <t>Misc</t>
        </is>
      </c>
      <c r="F471" s="5" t="n">
        <v>1141.92</v>
      </c>
      <c r="G471" t="n">
        <v>18</v>
      </c>
      <c r="H471" s="5" t="n">
        <v>205.55</v>
      </c>
      <c r="I471" s="5" t="n">
        <v>1347.47</v>
      </c>
      <c r="J471" s="5" t="n">
        <v>1347.47</v>
      </c>
      <c r="K471" s="4" t="n">
        <v>46123</v>
      </c>
      <c r="L471" s="5">
        <f>IF(I471="","",I471-J471)</f>
        <v/>
      </c>
      <c r="M471">
        <f>IF(K471="","",K471-B471)</f>
        <v/>
      </c>
    </row>
    <row r="472">
      <c r="A472" t="inlineStr">
        <is>
          <t>S-00246</t>
        </is>
      </c>
      <c r="B472" s="4" t="n">
        <v>46173</v>
      </c>
      <c r="C472" t="inlineStr">
        <is>
          <t>Lakshmi Cloth Store</t>
        </is>
      </c>
      <c r="D472" t="inlineStr">
        <is>
          <t>SALES</t>
        </is>
      </c>
      <c r="E472" t="inlineStr">
        <is>
          <t>Fabrics</t>
        </is>
      </c>
      <c r="F472" s="5" t="n">
        <v>13021.27</v>
      </c>
      <c r="G472" t="n">
        <v>5</v>
      </c>
      <c r="H472" s="5" t="n">
        <v>651.0599999999999</v>
      </c>
      <c r="I472" s="5" t="n">
        <v>13672.33</v>
      </c>
      <c r="J472" s="5" t="n">
        <v>13672.33</v>
      </c>
      <c r="K472" s="4" t="n">
        <v>46206</v>
      </c>
      <c r="L472" s="5">
        <f>IF(I472="","",I472-J472)</f>
        <v/>
      </c>
      <c r="M472">
        <f>IF(K472="","",K472-B472)</f>
        <v/>
      </c>
    </row>
    <row r="473">
      <c r="A473" t="inlineStr">
        <is>
          <t>S-00247</t>
        </is>
      </c>
      <c r="B473" s="4" t="n">
        <v>46172</v>
      </c>
      <c r="C473" t="inlineStr">
        <is>
          <t>New Look Garments</t>
        </is>
      </c>
      <c r="D473" t="inlineStr">
        <is>
          <t>SALES</t>
        </is>
      </c>
      <c r="E473" t="inlineStr">
        <is>
          <t>Fabrics</t>
        </is>
      </c>
      <c r="F473" s="5" t="n">
        <v>24683.33</v>
      </c>
      <c r="G473" t="n">
        <v>5</v>
      </c>
      <c r="H473" s="5" t="n">
        <v>1234.17</v>
      </c>
      <c r="I473" s="5" t="n">
        <v>25917.5</v>
      </c>
      <c r="J473" s="5" t="n">
        <v>25917.5</v>
      </c>
      <c r="K473" s="4" t="n">
        <v>46209</v>
      </c>
      <c r="L473" s="5">
        <f>IF(I473="","",I473-J473)</f>
        <v/>
      </c>
      <c r="M473">
        <f>IF(K473="","",K473-B473)</f>
        <v/>
      </c>
    </row>
    <row r="474">
      <c r="A474" t="inlineStr">
        <is>
          <t>S-00248</t>
        </is>
      </c>
      <c r="B474" s="4" t="n">
        <v>46169</v>
      </c>
      <c r="C474" t="inlineStr">
        <is>
          <t>Gaya Textile Traders</t>
        </is>
      </c>
      <c r="D474" t="inlineStr">
        <is>
          <t>SALES</t>
        </is>
      </c>
      <c r="E474" t="inlineStr">
        <is>
          <t>Accessories</t>
        </is>
      </c>
      <c r="F474" s="5" t="n">
        <v>25234.46</v>
      </c>
      <c r="G474" t="n">
        <v>12</v>
      </c>
      <c r="H474" s="5" t="n">
        <v>3028.14</v>
      </c>
      <c r="I474" s="5" t="n">
        <v>28262.6</v>
      </c>
      <c r="J474" s="5" t="n">
        <v>28262.6</v>
      </c>
      <c r="K474" s="4" t="n">
        <v>46182</v>
      </c>
      <c r="L474" s="5">
        <f>IF(I474="","",I474-J474)</f>
        <v/>
      </c>
      <c r="M474">
        <f>IF(K474="","",K474-B474)</f>
        <v/>
      </c>
    </row>
    <row r="475">
      <c r="A475" t="inlineStr">
        <is>
          <t>S-00249</t>
        </is>
      </c>
      <c r="B475" s="4" t="n">
        <v>46167</v>
      </c>
      <c r="C475" t="inlineStr">
        <is>
          <t>Muzaffarpur Cloth House</t>
        </is>
      </c>
      <c r="D475" t="inlineStr">
        <is>
          <t>SALES</t>
        </is>
      </c>
      <c r="E475" t="inlineStr">
        <is>
          <t>Garments</t>
        </is>
      </c>
      <c r="F475" s="5" t="n">
        <v>64736.54</v>
      </c>
      <c r="G475" t="n">
        <v>12</v>
      </c>
      <c r="H475" s="5" t="n">
        <v>7768.38</v>
      </c>
      <c r="I475" s="5" t="n">
        <v>72504.92</v>
      </c>
      <c r="J475" s="5" t="n">
        <v>72504.92</v>
      </c>
      <c r="K475" s="4" t="n">
        <v>46200</v>
      </c>
      <c r="L475" s="5">
        <f>IF(I475="","",I475-J475)</f>
        <v/>
      </c>
      <c r="M475">
        <f>IF(K475="","",K475-B475)</f>
        <v/>
      </c>
    </row>
    <row r="476">
      <c r="A476" t="inlineStr">
        <is>
          <t>S-00250</t>
        </is>
      </c>
      <c r="B476" s="4" t="n">
        <v>46169</v>
      </c>
      <c r="C476" t="inlineStr">
        <is>
          <t>Patna Fashion House</t>
        </is>
      </c>
      <c r="D476" t="inlineStr">
        <is>
          <t>SALES</t>
        </is>
      </c>
      <c r="E476" t="inlineStr">
        <is>
          <t>Accessories</t>
        </is>
      </c>
      <c r="F476" s="5" t="n">
        <v>37741.59</v>
      </c>
      <c r="G476" t="n">
        <v>12</v>
      </c>
      <c r="H476" s="5" t="n">
        <v>4528.99</v>
      </c>
      <c r="I476" s="5" t="n">
        <v>42270.58</v>
      </c>
      <c r="J476" s="5" t="n">
        <v>42270.58</v>
      </c>
      <c r="K476" s="4" t="n">
        <v>46227</v>
      </c>
      <c r="L476" s="5">
        <f>IF(I476="","",I476-J476)</f>
        <v/>
      </c>
      <c r="M476">
        <f>IF(K476="","",K476-B476)</f>
        <v/>
      </c>
    </row>
    <row r="477">
      <c r="A477" t="inlineStr">
        <is>
          <t>S-00251</t>
        </is>
      </c>
      <c r="B477" s="4" t="n">
        <v>46154</v>
      </c>
      <c r="C477" t="inlineStr">
        <is>
          <t>Kumkum Saree Sadan</t>
        </is>
      </c>
      <c r="D477" t="inlineStr">
        <is>
          <t>SALES</t>
        </is>
      </c>
      <c r="E477" t="inlineStr">
        <is>
          <t>Fabrics</t>
        </is>
      </c>
      <c r="F477" s="5" t="n">
        <v>66235.22</v>
      </c>
      <c r="G477" t="n">
        <v>5</v>
      </c>
      <c r="H477" s="5" t="n">
        <v>3311.76</v>
      </c>
      <c r="I477" s="5" t="n">
        <v>69546.98</v>
      </c>
      <c r="J477" s="5" t="n">
        <v>48340.39</v>
      </c>
      <c r="K477" s="4" t="n">
        <v>46200</v>
      </c>
      <c r="L477" s="5">
        <f>IF(I477="","",I477-J477)</f>
        <v/>
      </c>
      <c r="M477">
        <f>IF(K477="","",K477-B477)</f>
        <v/>
      </c>
    </row>
    <row r="478">
      <c r="A478" t="inlineStr">
        <is>
          <t>S-00252</t>
        </is>
      </c>
      <c r="B478" s="4" t="n">
        <v>46151</v>
      </c>
      <c r="C478" t="inlineStr">
        <is>
          <t>Trendy Threads</t>
        </is>
      </c>
      <c r="D478" t="inlineStr">
        <is>
          <t>SALES</t>
        </is>
      </c>
      <c r="E478" t="inlineStr">
        <is>
          <t>Garments</t>
        </is>
      </c>
      <c r="F478" s="5" t="n">
        <v>83372.86</v>
      </c>
      <c r="G478" t="n">
        <v>12</v>
      </c>
      <c r="H478" s="5" t="n">
        <v>10004.74</v>
      </c>
      <c r="I478" s="5" t="n">
        <v>93377.60000000001</v>
      </c>
      <c r="J478" s="5" t="n">
        <v>93377.60000000001</v>
      </c>
      <c r="K478" s="4" t="n">
        <v>46211</v>
      </c>
      <c r="L478" s="5">
        <f>IF(I478="","",I478-J478)</f>
        <v/>
      </c>
      <c r="M478">
        <f>IF(K478="","",K478-B478)</f>
        <v/>
      </c>
    </row>
    <row r="479">
      <c r="A479" t="inlineStr">
        <is>
          <t>S-00253</t>
        </is>
      </c>
      <c r="B479" s="4" t="n">
        <v>46152</v>
      </c>
      <c r="C479" t="inlineStr">
        <is>
          <t>Trendy Threads</t>
        </is>
      </c>
      <c r="D479" t="inlineStr">
        <is>
          <t>SALES</t>
        </is>
      </c>
      <c r="E479" t="inlineStr">
        <is>
          <t>Garments</t>
        </is>
      </c>
      <c r="F479" s="5" t="n">
        <v>49461.89</v>
      </c>
      <c r="G479" t="n">
        <v>12</v>
      </c>
      <c r="H479" s="5" t="n">
        <v>5935.43</v>
      </c>
      <c r="I479" s="5" t="n">
        <v>55397.32</v>
      </c>
      <c r="J479" s="5" t="n">
        <v>0</v>
      </c>
      <c r="K479" s="4" t="inlineStr"/>
      <c r="L479" s="5">
        <f>IF(I479="","",I479-J479)</f>
        <v/>
      </c>
      <c r="M479">
        <f>IF(K479="","",K479-B479)</f>
        <v/>
      </c>
    </row>
    <row r="480">
      <c r="A480" t="inlineStr">
        <is>
          <t>S-00254</t>
        </is>
      </c>
      <c r="B480" s="4" t="n">
        <v>46148</v>
      </c>
      <c r="C480" t="inlineStr">
        <is>
          <t>Darbhanga Dress Point</t>
        </is>
      </c>
      <c r="D480" t="inlineStr">
        <is>
          <t>SALES</t>
        </is>
      </c>
      <c r="E480" t="inlineStr">
        <is>
          <t>Garments</t>
        </is>
      </c>
      <c r="F480" s="5" t="n">
        <v>55145.04</v>
      </c>
      <c r="G480" t="n">
        <v>12</v>
      </c>
      <c r="H480" s="5" t="n">
        <v>6617.4</v>
      </c>
      <c r="I480" s="5" t="n">
        <v>61762.44</v>
      </c>
      <c r="J480" s="5" t="n">
        <v>61762.44</v>
      </c>
      <c r="K480" s="4" t="n">
        <v>46183</v>
      </c>
      <c r="L480" s="5">
        <f>IF(I480="","",I480-J480)</f>
        <v/>
      </c>
      <c r="M480">
        <f>IF(K480="","",K480-B480)</f>
        <v/>
      </c>
    </row>
    <row r="481">
      <c r="A481" t="inlineStr">
        <is>
          <t>S-00255</t>
        </is>
      </c>
      <c r="B481" s="4" t="n">
        <v>46157</v>
      </c>
      <c r="C481" t="inlineStr">
        <is>
          <t>City Centre Apparel</t>
        </is>
      </c>
      <c r="D481" t="inlineStr">
        <is>
          <t>SALES</t>
        </is>
      </c>
      <c r="E481" t="inlineStr">
        <is>
          <t>Fabrics</t>
        </is>
      </c>
      <c r="F481" s="5" t="n">
        <v>35709.71</v>
      </c>
      <c r="G481" t="n">
        <v>5</v>
      </c>
      <c r="H481" s="5" t="n">
        <v>1785.49</v>
      </c>
      <c r="I481" s="5" t="n">
        <v>37495.2</v>
      </c>
      <c r="J481" s="5" t="n">
        <v>37495.2</v>
      </c>
      <c r="K481" s="4" t="n">
        <v>46176</v>
      </c>
      <c r="L481" s="5">
        <f>IF(I481="","",I481-J481)</f>
        <v/>
      </c>
      <c r="M481">
        <f>IF(K481="","",K481-B481)</f>
        <v/>
      </c>
    </row>
    <row r="482">
      <c r="A482" t="inlineStr">
        <is>
          <t>S-00256</t>
        </is>
      </c>
      <c r="B482" s="4" t="n">
        <v>46152</v>
      </c>
      <c r="C482" t="inlineStr">
        <is>
          <t>Darbhanga Dress Point</t>
        </is>
      </c>
      <c r="D482" t="inlineStr">
        <is>
          <t>SALES</t>
        </is>
      </c>
      <c r="E482" t="inlineStr">
        <is>
          <t>Garments</t>
        </is>
      </c>
      <c r="F482" s="5" t="n">
        <v>62907.52</v>
      </c>
      <c r="G482" t="n">
        <v>12</v>
      </c>
      <c r="H482" s="5" t="n">
        <v>7548.9</v>
      </c>
      <c r="I482" s="5" t="n">
        <v>70456.42</v>
      </c>
      <c r="J482" s="5" t="n">
        <v>70456.42</v>
      </c>
      <c r="K482" s="4" t="n">
        <v>46182</v>
      </c>
      <c r="L482" s="5">
        <f>IF(I482="","",I482-J482)</f>
        <v/>
      </c>
      <c r="M482">
        <f>IF(K482="","",K482-B482)</f>
        <v/>
      </c>
    </row>
    <row r="483">
      <c r="A483" t="inlineStr">
        <is>
          <t>S-00257</t>
        </is>
      </c>
      <c r="B483" s="4" t="n">
        <v>46157</v>
      </c>
      <c r="C483" t="inlineStr">
        <is>
          <t>Arrah Garment Plaza</t>
        </is>
      </c>
      <c r="D483" t="inlineStr">
        <is>
          <t>SALES</t>
        </is>
      </c>
      <c r="E483" t="inlineStr">
        <is>
          <t>Fabrics</t>
        </is>
      </c>
      <c r="F483" s="5" t="n">
        <v>20714.94</v>
      </c>
      <c r="G483" t="n">
        <v>5</v>
      </c>
      <c r="H483" s="5" t="n">
        <v>1035.75</v>
      </c>
      <c r="I483" s="5" t="n">
        <v>21750.69</v>
      </c>
      <c r="J483" s="5" t="n">
        <v>0</v>
      </c>
      <c r="K483" s="4" t="inlineStr"/>
      <c r="L483" s="5">
        <f>IF(I483="","",I483-J483)</f>
        <v/>
      </c>
      <c r="M483">
        <f>IF(K483="","",K483-B483)</f>
        <v/>
      </c>
    </row>
    <row r="484">
      <c r="A484" t="inlineStr">
        <is>
          <t>S-00258</t>
        </is>
      </c>
      <c r="B484" s="4" t="n">
        <v>46152</v>
      </c>
      <c r="C484" t="inlineStr">
        <is>
          <t>Vishal Mega Mart (franchise)</t>
        </is>
      </c>
      <c r="D484" t="inlineStr">
        <is>
          <t>SALES</t>
        </is>
      </c>
      <c r="E484" t="inlineStr">
        <is>
          <t>Accessories</t>
        </is>
      </c>
      <c r="F484" s="5" t="n">
        <v>26289.36</v>
      </c>
      <c r="G484" t="n">
        <v>12</v>
      </c>
      <c r="H484" s="5" t="n">
        <v>3154.72</v>
      </c>
      <c r="I484" s="5" t="n">
        <v>29444.08</v>
      </c>
      <c r="J484" s="5" t="n">
        <v>0</v>
      </c>
      <c r="K484" s="4" t="inlineStr"/>
      <c r="L484" s="5">
        <f>IF(I484="","",I484-J484)</f>
        <v/>
      </c>
      <c r="M484">
        <f>IF(K484="","",K484-B484)</f>
        <v/>
      </c>
    </row>
    <row r="485">
      <c r="A485" t="inlineStr">
        <is>
          <t>S-00259</t>
        </is>
      </c>
      <c r="B485" s="4" t="n">
        <v>46173</v>
      </c>
      <c r="C485" t="inlineStr">
        <is>
          <t>New Look Garments</t>
        </is>
      </c>
      <c r="D485" t="inlineStr">
        <is>
          <t>SALES</t>
        </is>
      </c>
      <c r="E485" t="inlineStr">
        <is>
          <t>Garments</t>
        </is>
      </c>
      <c r="F485" s="5" t="n">
        <v>57005.12</v>
      </c>
      <c r="G485" t="n">
        <v>12</v>
      </c>
      <c r="H485" s="5" t="n">
        <v>6840.61</v>
      </c>
      <c r="I485" s="5" t="n">
        <v>63845.73</v>
      </c>
      <c r="J485" s="5" t="n">
        <v>63845.73</v>
      </c>
      <c r="K485" s="4" t="n">
        <v>46192</v>
      </c>
      <c r="L485" s="5">
        <f>IF(I485="","",I485-J485)</f>
        <v/>
      </c>
      <c r="M485">
        <f>IF(K485="","",K485-B485)</f>
        <v/>
      </c>
    </row>
    <row r="486">
      <c r="A486" t="inlineStr">
        <is>
          <t>S-00260</t>
        </is>
      </c>
      <c r="B486" s="4" t="n">
        <v>46158</v>
      </c>
      <c r="C486" t="inlineStr">
        <is>
          <t>Gaya Textile Traders</t>
        </is>
      </c>
      <c r="D486" t="inlineStr">
        <is>
          <t>SALES</t>
        </is>
      </c>
      <c r="E486" t="inlineStr">
        <is>
          <t>Garments</t>
        </is>
      </c>
      <c r="F486" s="5" t="n">
        <v>77749.98</v>
      </c>
      <c r="G486" t="n">
        <v>12</v>
      </c>
      <c r="H486" s="5" t="n">
        <v>9330</v>
      </c>
      <c r="I486" s="5" t="n">
        <v>87079.98</v>
      </c>
      <c r="J486" s="5" t="n">
        <v>87079.98</v>
      </c>
      <c r="K486" s="4" t="n">
        <v>46177</v>
      </c>
      <c r="L486" s="5">
        <f>IF(I486="","",I486-J486)</f>
        <v/>
      </c>
      <c r="M486">
        <f>IF(K486="","",K486-B486)</f>
        <v/>
      </c>
    </row>
    <row r="487">
      <c r="A487" t="inlineStr">
        <is>
          <t>S-00261</t>
        </is>
      </c>
      <c r="B487" s="4" t="n">
        <v>46170</v>
      </c>
      <c r="C487" t="inlineStr">
        <is>
          <t>Bhagalpur Silk Centre</t>
        </is>
      </c>
      <c r="D487" t="inlineStr">
        <is>
          <t>SALES</t>
        </is>
      </c>
      <c r="E487" t="inlineStr">
        <is>
          <t>Fabrics</t>
        </is>
      </c>
      <c r="F487" s="5" t="n">
        <v>19608.8</v>
      </c>
      <c r="G487" t="n">
        <v>5</v>
      </c>
      <c r="H487" s="5" t="n">
        <v>980.4400000000001</v>
      </c>
      <c r="I487" s="5" t="n">
        <v>20589.24</v>
      </c>
      <c r="J487" s="5" t="n">
        <v>15642.22</v>
      </c>
      <c r="K487" s="4" t="n">
        <v>46190</v>
      </c>
      <c r="L487" s="5">
        <f>IF(I487="","",I487-J487)</f>
        <v/>
      </c>
      <c r="M487">
        <f>IF(K487="","",K487-B487)</f>
        <v/>
      </c>
    </row>
    <row r="488">
      <c r="A488" t="inlineStr">
        <is>
          <t>S-00262</t>
        </is>
      </c>
      <c r="B488" s="4" t="n">
        <v>46148</v>
      </c>
      <c r="C488" t="inlineStr">
        <is>
          <t>Bazaar Collection</t>
        </is>
      </c>
      <c r="D488" t="inlineStr">
        <is>
          <t>SALES</t>
        </is>
      </c>
      <c r="E488" t="inlineStr">
        <is>
          <t>Garments</t>
        </is>
      </c>
      <c r="F488" s="5" t="n">
        <v>43798.61</v>
      </c>
      <c r="G488" t="n">
        <v>12</v>
      </c>
      <c r="H488" s="5" t="n">
        <v>5255.83</v>
      </c>
      <c r="I488" s="5" t="n">
        <v>49054.44</v>
      </c>
      <c r="J488" s="5" t="n">
        <v>49054.44</v>
      </c>
      <c r="K488" s="4" t="n">
        <v>46215</v>
      </c>
      <c r="L488" s="5">
        <f>IF(I488="","",I488-J488)</f>
        <v/>
      </c>
      <c r="M488">
        <f>IF(K488="","",K488-B488)</f>
        <v/>
      </c>
    </row>
    <row r="489">
      <c r="A489" t="inlineStr">
        <is>
          <t>S-00263</t>
        </is>
      </c>
      <c r="B489" s="4" t="n">
        <v>46168</v>
      </c>
      <c r="C489" t="inlineStr">
        <is>
          <t>Sharma Retail Store</t>
        </is>
      </c>
      <c r="D489" t="inlineStr">
        <is>
          <t>SALES</t>
        </is>
      </c>
      <c r="E489" t="inlineStr">
        <is>
          <t>Accessories</t>
        </is>
      </c>
      <c r="F489" s="5" t="n">
        <v>64434.65</v>
      </c>
      <c r="G489" t="n">
        <v>12</v>
      </c>
      <c r="H489" s="5" t="n">
        <v>7732.16</v>
      </c>
      <c r="I489" s="5" t="n">
        <v>72166.81</v>
      </c>
      <c r="J489" s="5" t="n">
        <v>72166.81</v>
      </c>
      <c r="K489" s="4" t="n">
        <v>46212</v>
      </c>
      <c r="L489" s="5">
        <f>IF(I489="","",I489-J489)</f>
        <v/>
      </c>
      <c r="M489">
        <f>IF(K489="","",K489-B489)</f>
        <v/>
      </c>
    </row>
    <row r="490">
      <c r="A490" t="inlineStr">
        <is>
          <t>S-00264</t>
        </is>
      </c>
      <c r="B490" s="4" t="n">
        <v>46158</v>
      </c>
      <c r="C490" t="inlineStr">
        <is>
          <t>Sharma Retail Store</t>
        </is>
      </c>
      <c r="D490" t="inlineStr">
        <is>
          <t>SALES</t>
        </is>
      </c>
      <c r="E490" t="inlineStr">
        <is>
          <t>Fabrics</t>
        </is>
      </c>
      <c r="F490" s="5" t="n">
        <v>68783.67</v>
      </c>
      <c r="G490" t="n">
        <v>5</v>
      </c>
      <c r="H490" s="5" t="n">
        <v>3439.18</v>
      </c>
      <c r="I490" s="5" t="n">
        <v>72222.85000000001</v>
      </c>
      <c r="J490" s="5" t="n">
        <v>72222.85000000001</v>
      </c>
      <c r="K490" s="4" t="n">
        <v>46200</v>
      </c>
      <c r="L490" s="5">
        <f>IF(I490="","",I490-J490)</f>
        <v/>
      </c>
      <c r="M490">
        <f>IF(K490="","",K490-B490)</f>
        <v/>
      </c>
    </row>
    <row r="491">
      <c r="A491" t="inlineStr">
        <is>
          <t>S-00265</t>
        </is>
      </c>
      <c r="B491" s="4" t="n">
        <v>46149</v>
      </c>
      <c r="C491" t="inlineStr">
        <is>
          <t>Gaya Textile Traders</t>
        </is>
      </c>
      <c r="D491" t="inlineStr">
        <is>
          <t>SALES</t>
        </is>
      </c>
      <c r="E491" t="inlineStr">
        <is>
          <t>Accessories</t>
        </is>
      </c>
      <c r="F491" s="5" t="n">
        <v>12951.26</v>
      </c>
      <c r="G491" t="n">
        <v>12</v>
      </c>
      <c r="H491" s="5" t="n">
        <v>1554.15</v>
      </c>
      <c r="I491" s="5" t="n">
        <v>14505.41</v>
      </c>
      <c r="J491" s="5" t="n">
        <v>0</v>
      </c>
      <c r="K491" s="4" t="inlineStr"/>
      <c r="L491" s="5">
        <f>IF(I491="","",I491-J491)</f>
        <v/>
      </c>
      <c r="M491">
        <f>IF(K491="","",K491-B491)</f>
        <v/>
      </c>
    </row>
    <row r="492">
      <c r="A492" t="inlineStr">
        <is>
          <t>S-00266</t>
        </is>
      </c>
      <c r="B492" s="4" t="n">
        <v>46150</v>
      </c>
      <c r="C492" t="inlineStr">
        <is>
          <t>Lakshmi Cloth Store</t>
        </is>
      </c>
      <c r="D492" t="inlineStr">
        <is>
          <t>SALES</t>
        </is>
      </c>
      <c r="E492" t="inlineStr">
        <is>
          <t>Garments</t>
        </is>
      </c>
      <c r="F492" s="5" t="n">
        <v>19704.51</v>
      </c>
      <c r="G492" t="n">
        <v>12</v>
      </c>
      <c r="H492" s="5" t="n">
        <v>2364.54</v>
      </c>
      <c r="I492" s="5" t="n">
        <v>22069.05</v>
      </c>
      <c r="J492" s="5" t="n">
        <v>22069.05</v>
      </c>
      <c r="K492" s="4" t="n">
        <v>46202</v>
      </c>
      <c r="L492" s="5">
        <f>IF(I492="","",I492-J492)</f>
        <v/>
      </c>
      <c r="M492">
        <f>IF(K492="","",K492-B492)</f>
        <v/>
      </c>
    </row>
    <row r="493">
      <c r="A493" t="inlineStr">
        <is>
          <t>S-00267</t>
        </is>
      </c>
      <c r="B493" s="4" t="n">
        <v>46170</v>
      </c>
      <c r="C493" t="inlineStr">
        <is>
          <t>Muzaffarpur Cloth House</t>
        </is>
      </c>
      <c r="D493" t="inlineStr">
        <is>
          <t>SALES</t>
        </is>
      </c>
      <c r="E493" t="inlineStr">
        <is>
          <t>Garments</t>
        </is>
      </c>
      <c r="F493" s="5" t="n">
        <v>62278.01</v>
      </c>
      <c r="G493" t="n">
        <v>12</v>
      </c>
      <c r="H493" s="5" t="n">
        <v>7473.36</v>
      </c>
      <c r="I493" s="5" t="n">
        <v>69751.37</v>
      </c>
      <c r="J493" s="5" t="n">
        <v>69751.37</v>
      </c>
      <c r="K493" s="4" t="n">
        <v>46195</v>
      </c>
      <c r="L493" s="5">
        <f>IF(I493="","",I493-J493)</f>
        <v/>
      </c>
      <c r="M493">
        <f>IF(K493="","",K493-B493)</f>
        <v/>
      </c>
    </row>
    <row r="494">
      <c r="A494" t="inlineStr">
        <is>
          <t>S-00268</t>
        </is>
      </c>
      <c r="B494" s="4" t="n">
        <v>46145</v>
      </c>
      <c r="C494" t="inlineStr">
        <is>
          <t>Trendy Threads</t>
        </is>
      </c>
      <c r="D494" t="inlineStr">
        <is>
          <t>SALES</t>
        </is>
      </c>
      <c r="E494" t="inlineStr">
        <is>
          <t>Accessories</t>
        </is>
      </c>
      <c r="F494" s="5" t="n">
        <v>83220.38</v>
      </c>
      <c r="G494" t="n">
        <v>12</v>
      </c>
      <c r="H494" s="5" t="n">
        <v>9986.450000000001</v>
      </c>
      <c r="I494" s="5" t="n">
        <v>93206.83</v>
      </c>
      <c r="J494" s="5" t="n">
        <v>70911.41</v>
      </c>
      <c r="K494" s="4" t="n">
        <v>46169</v>
      </c>
      <c r="L494" s="5">
        <f>IF(I494="","",I494-J494)</f>
        <v/>
      </c>
      <c r="M494">
        <f>IF(K494="","",K494-B494)</f>
        <v/>
      </c>
    </row>
    <row r="495">
      <c r="A495" t="inlineStr">
        <is>
          <t>S-00269</t>
        </is>
      </c>
      <c r="B495" s="4" t="n">
        <v>46149</v>
      </c>
      <c r="C495" t="inlineStr">
        <is>
          <t>Darbhanga Dress Point</t>
        </is>
      </c>
      <c r="D495" t="inlineStr">
        <is>
          <t>SALES</t>
        </is>
      </c>
      <c r="E495" t="inlineStr">
        <is>
          <t>Garments</t>
        </is>
      </c>
      <c r="F495" s="5" t="n">
        <v>60263.4</v>
      </c>
      <c r="G495" t="n">
        <v>12</v>
      </c>
      <c r="H495" s="5" t="n">
        <v>7231.61</v>
      </c>
      <c r="I495" s="5" t="n">
        <v>67495.00999999999</v>
      </c>
      <c r="J495" s="5" t="n">
        <v>67495.00999999999</v>
      </c>
      <c r="K495" s="4" t="n">
        <v>46175</v>
      </c>
      <c r="L495" s="5">
        <f>IF(I495="","",I495-J495)</f>
        <v/>
      </c>
      <c r="M495">
        <f>IF(K495="","",K495-B495)</f>
        <v/>
      </c>
    </row>
    <row r="496">
      <c r="A496" t="inlineStr">
        <is>
          <t>S-00270</t>
        </is>
      </c>
      <c r="B496" s="4" t="n">
        <v>46148</v>
      </c>
      <c r="C496" t="inlineStr">
        <is>
          <t>City Centre Apparel</t>
        </is>
      </c>
      <c r="D496" t="inlineStr">
        <is>
          <t>SALES</t>
        </is>
      </c>
      <c r="E496" t="inlineStr">
        <is>
          <t>Fabrics</t>
        </is>
      </c>
      <c r="F496" s="5" t="n">
        <v>94448.08</v>
      </c>
      <c r="G496" t="n">
        <v>5</v>
      </c>
      <c r="H496" s="5" t="n">
        <v>4722.4</v>
      </c>
      <c r="I496" s="5" t="n">
        <v>99170.48</v>
      </c>
      <c r="J496" s="5" t="n">
        <v>99170.48</v>
      </c>
      <c r="K496" s="4" t="n">
        <v>46168</v>
      </c>
      <c r="L496" s="5">
        <f>IF(I496="","",I496-J496)</f>
        <v/>
      </c>
      <c r="M496">
        <f>IF(K496="","",K496-B496)</f>
        <v/>
      </c>
    </row>
    <row r="497">
      <c r="A497" t="inlineStr">
        <is>
          <t>S-00271</t>
        </is>
      </c>
      <c r="B497" s="4" t="n">
        <v>46147</v>
      </c>
      <c r="C497" t="inlineStr">
        <is>
          <t>Darbhanga Dress Point</t>
        </is>
      </c>
      <c r="D497" t="inlineStr">
        <is>
          <t>SALES</t>
        </is>
      </c>
      <c r="E497" t="inlineStr">
        <is>
          <t>Garments</t>
        </is>
      </c>
      <c r="F497" s="5" t="n">
        <v>56496.52</v>
      </c>
      <c r="G497" t="n">
        <v>12</v>
      </c>
      <c r="H497" s="5" t="n">
        <v>6779.58</v>
      </c>
      <c r="I497" s="5" t="n">
        <v>63276.1</v>
      </c>
      <c r="J497" s="5" t="n">
        <v>63276.1</v>
      </c>
      <c r="K497" s="4" t="n">
        <v>46176</v>
      </c>
      <c r="L497" s="5">
        <f>IF(I497="","",I497-J497)</f>
        <v/>
      </c>
      <c r="M497">
        <f>IF(K497="","",K497-B497)</f>
        <v/>
      </c>
    </row>
    <row r="498">
      <c r="A498" t="inlineStr">
        <is>
          <t>S-00272</t>
        </is>
      </c>
      <c r="B498" s="4" t="n">
        <v>46171</v>
      </c>
      <c r="C498" t="inlineStr">
        <is>
          <t>Bhagalpur Silk Centre</t>
        </is>
      </c>
      <c r="D498" t="inlineStr">
        <is>
          <t>SALES</t>
        </is>
      </c>
      <c r="E498" t="inlineStr">
        <is>
          <t>Fabrics</t>
        </is>
      </c>
      <c r="F498" s="5" t="n">
        <v>82781.14999999999</v>
      </c>
      <c r="G498" t="n">
        <v>5</v>
      </c>
      <c r="H498" s="5" t="n">
        <v>4139.06</v>
      </c>
      <c r="I498" s="5" t="n">
        <v>86920.21000000001</v>
      </c>
      <c r="J498" s="5" t="n">
        <v>86920.21000000001</v>
      </c>
      <c r="K498" s="4" t="n">
        <v>46214</v>
      </c>
      <c r="L498" s="5">
        <f>IF(I498="","",I498-J498)</f>
        <v/>
      </c>
      <c r="M498">
        <f>IF(K498="","",K498-B498)</f>
        <v/>
      </c>
    </row>
    <row r="499">
      <c r="A499" t="inlineStr">
        <is>
          <t>P-00121</t>
        </is>
      </c>
      <c r="B499" s="4" t="n">
        <v>46165</v>
      </c>
      <c r="C499" t="inlineStr">
        <is>
          <t>Surat Textile Mills</t>
        </is>
      </c>
      <c r="D499" t="inlineStr">
        <is>
          <t>PURCHASE</t>
        </is>
      </c>
      <c r="E499" t="inlineStr">
        <is>
          <t>Inventory purchases</t>
        </is>
      </c>
      <c r="F499" s="5" t="n">
        <v>80824.17999999999</v>
      </c>
      <c r="G499" t="n">
        <v>5</v>
      </c>
      <c r="H499" s="5" t="n">
        <v>4041.21</v>
      </c>
      <c r="I499" s="5" t="n">
        <v>84865.39</v>
      </c>
      <c r="J499" s="5" t="n">
        <v>37914.25</v>
      </c>
      <c r="K499" s="4" t="n">
        <v>46188</v>
      </c>
      <c r="L499" s="5">
        <f>IF(I499="","",I499-J499)</f>
        <v/>
      </c>
      <c r="M499">
        <f>IF(K499="","",K499-B499)</f>
        <v/>
      </c>
    </row>
    <row r="500">
      <c r="A500" t="inlineStr">
        <is>
          <t>P-00122</t>
        </is>
      </c>
      <c r="B500" s="4" t="n">
        <v>46146</v>
      </c>
      <c r="C500" t="inlineStr">
        <is>
          <t>Ludhiana Knitwear Co</t>
        </is>
      </c>
      <c r="D500" t="inlineStr">
        <is>
          <t>PURCHASE</t>
        </is>
      </c>
      <c r="E500" t="inlineStr">
        <is>
          <t>Inventory purchases</t>
        </is>
      </c>
      <c r="F500" s="5" t="n">
        <v>30755.38</v>
      </c>
      <c r="G500" t="n">
        <v>5</v>
      </c>
      <c r="H500" s="5" t="n">
        <v>1537.77</v>
      </c>
      <c r="I500" s="5" t="n">
        <v>32293.15</v>
      </c>
      <c r="J500" s="5" t="n">
        <v>0</v>
      </c>
      <c r="K500" s="4" t="inlineStr"/>
      <c r="L500" s="5">
        <f>IF(I500="","",I500-J500)</f>
        <v/>
      </c>
      <c r="M500">
        <f>IF(K500="","",K500-B500)</f>
        <v/>
      </c>
    </row>
    <row r="501">
      <c r="A501" t="inlineStr">
        <is>
          <t>P-00123</t>
        </is>
      </c>
      <c r="B501" s="4" t="n">
        <v>46169</v>
      </c>
      <c r="C501" t="inlineStr">
        <is>
          <t>Delhi Fabric Suppliers</t>
        </is>
      </c>
      <c r="D501" t="inlineStr">
        <is>
          <t>PURCHASE</t>
        </is>
      </c>
      <c r="E501" t="inlineStr">
        <is>
          <t>Inventory purchases</t>
        </is>
      </c>
      <c r="F501" s="5" t="n">
        <v>22598.28</v>
      </c>
      <c r="G501" t="n">
        <v>5</v>
      </c>
      <c r="H501" s="5" t="n">
        <v>1129.91</v>
      </c>
      <c r="I501" s="5" t="n">
        <v>23728.19</v>
      </c>
      <c r="J501" s="5" t="n">
        <v>23728.19</v>
      </c>
      <c r="K501" s="4" t="n">
        <v>46189</v>
      </c>
      <c r="L501" s="5">
        <f>IF(I501="","",I501-J501)</f>
        <v/>
      </c>
      <c r="M501">
        <f>IF(K501="","",K501-B501)</f>
        <v/>
      </c>
    </row>
    <row r="502">
      <c r="A502" t="inlineStr">
        <is>
          <t>P-00124</t>
        </is>
      </c>
      <c r="B502" s="4" t="n">
        <v>46146</v>
      </c>
      <c r="C502" t="inlineStr">
        <is>
          <t>Kolkata Hosiery House</t>
        </is>
      </c>
      <c r="D502" t="inlineStr">
        <is>
          <t>PURCHASE</t>
        </is>
      </c>
      <c r="E502" t="inlineStr">
        <is>
          <t>Inventory purchases</t>
        </is>
      </c>
      <c r="F502" s="5" t="n">
        <v>26913.56</v>
      </c>
      <c r="G502" t="n">
        <v>5</v>
      </c>
      <c r="H502" s="5" t="n">
        <v>1345.68</v>
      </c>
      <c r="I502" s="5" t="n">
        <v>28259.24</v>
      </c>
      <c r="J502" s="5" t="n">
        <v>28259.24</v>
      </c>
      <c r="K502" s="4" t="n">
        <v>46160</v>
      </c>
      <c r="L502" s="5">
        <f>IF(I502="","",I502-J502)</f>
        <v/>
      </c>
      <c r="M502">
        <f>IF(K502="","",K502-B502)</f>
        <v/>
      </c>
    </row>
    <row r="503">
      <c r="A503" t="inlineStr">
        <is>
          <t>P-00125</t>
        </is>
      </c>
      <c r="B503" s="4" t="n">
        <v>46166</v>
      </c>
      <c r="C503" t="inlineStr">
        <is>
          <t>Kolkata Hosiery House</t>
        </is>
      </c>
      <c r="D503" t="inlineStr">
        <is>
          <t>PURCHASE</t>
        </is>
      </c>
      <c r="E503" t="inlineStr">
        <is>
          <t>Inventory purchases</t>
        </is>
      </c>
      <c r="F503" s="5" t="n">
        <v>104799.53</v>
      </c>
      <c r="G503" t="n">
        <v>5</v>
      </c>
      <c r="H503" s="5" t="n">
        <v>5239.98</v>
      </c>
      <c r="I503" s="5" t="n">
        <v>110039.51</v>
      </c>
      <c r="J503" s="5" t="n">
        <v>110039.51</v>
      </c>
      <c r="K503" s="4" t="n">
        <v>46185</v>
      </c>
      <c r="L503" s="5">
        <f>IF(I503="","",I503-J503)</f>
        <v/>
      </c>
      <c r="M503">
        <f>IF(K503="","",K503-B503)</f>
        <v/>
      </c>
    </row>
    <row r="504">
      <c r="A504" t="inlineStr">
        <is>
          <t>P-00126</t>
        </is>
      </c>
      <c r="B504" s="4" t="n">
        <v>46171</v>
      </c>
      <c r="C504" t="inlineStr">
        <is>
          <t>Jaipur Print Works</t>
        </is>
      </c>
      <c r="D504" t="inlineStr">
        <is>
          <t>PURCHASE</t>
        </is>
      </c>
      <c r="E504" t="inlineStr">
        <is>
          <t>Inventory purchases</t>
        </is>
      </c>
      <c r="F504" s="5" t="n">
        <v>91242.08</v>
      </c>
      <c r="G504" t="n">
        <v>5</v>
      </c>
      <c r="H504" s="5" t="n">
        <v>4562.1</v>
      </c>
      <c r="I504" s="5" t="n">
        <v>95804.17999999999</v>
      </c>
      <c r="J504" s="5" t="n">
        <v>95804.17999999999</v>
      </c>
      <c r="K504" s="4" t="n">
        <v>46185</v>
      </c>
      <c r="L504" s="5">
        <f>IF(I504="","",I504-J504)</f>
        <v/>
      </c>
      <c r="M504">
        <f>IF(K504="","",K504-B504)</f>
        <v/>
      </c>
    </row>
    <row r="505">
      <c r="A505" t="inlineStr">
        <is>
          <t>P-00127</t>
        </is>
      </c>
      <c r="B505" s="4" t="n">
        <v>46170</v>
      </c>
      <c r="C505" t="inlineStr">
        <is>
          <t>Delhi Fabric Suppliers</t>
        </is>
      </c>
      <c r="D505" t="inlineStr">
        <is>
          <t>PURCHASE</t>
        </is>
      </c>
      <c r="E505" t="inlineStr">
        <is>
          <t>Inventory purchases</t>
        </is>
      </c>
      <c r="F505" s="5" t="n">
        <v>65603.46000000001</v>
      </c>
      <c r="G505" t="n">
        <v>5</v>
      </c>
      <c r="H505" s="5" t="n">
        <v>3280.17</v>
      </c>
      <c r="I505" s="5" t="n">
        <v>68883.63</v>
      </c>
      <c r="J505" s="5" t="n">
        <v>68883.63</v>
      </c>
      <c r="K505" s="4" t="n">
        <v>46202</v>
      </c>
      <c r="L505" s="5">
        <f>IF(I505="","",I505-J505)</f>
        <v/>
      </c>
      <c r="M505">
        <f>IF(K505="","",K505-B505)</f>
        <v/>
      </c>
    </row>
    <row r="506">
      <c r="A506" t="inlineStr">
        <is>
          <t>P-00128</t>
        </is>
      </c>
      <c r="B506" s="4" t="n">
        <v>46145</v>
      </c>
      <c r="C506" t="inlineStr">
        <is>
          <t>Surat Textile Mills</t>
        </is>
      </c>
      <c r="D506" t="inlineStr">
        <is>
          <t>PURCHASE</t>
        </is>
      </c>
      <c r="E506" t="inlineStr">
        <is>
          <t>Inventory purchases</t>
        </is>
      </c>
      <c r="F506" s="5" t="n">
        <v>59916.91</v>
      </c>
      <c r="G506" t="n">
        <v>5</v>
      </c>
      <c r="H506" s="5" t="n">
        <v>2995.85</v>
      </c>
      <c r="I506" s="5" t="n">
        <v>62912.76</v>
      </c>
      <c r="J506" s="5" t="n">
        <v>62912.76</v>
      </c>
      <c r="K506" s="4" t="n">
        <v>46156</v>
      </c>
      <c r="L506" s="5">
        <f>IF(I506="","",I506-J506)</f>
        <v/>
      </c>
      <c r="M506">
        <f>IF(K506="","",K506-B506)</f>
        <v/>
      </c>
    </row>
    <row r="507">
      <c r="A507" t="inlineStr">
        <is>
          <t>P-00129</t>
        </is>
      </c>
      <c r="B507" s="4" t="n">
        <v>46158</v>
      </c>
      <c r="C507" t="inlineStr">
        <is>
          <t>Tiruppur Garment Works</t>
        </is>
      </c>
      <c r="D507" t="inlineStr">
        <is>
          <t>PURCHASE</t>
        </is>
      </c>
      <c r="E507" t="inlineStr">
        <is>
          <t>Inventory purchases</t>
        </is>
      </c>
      <c r="F507" s="5" t="n">
        <v>102893.32</v>
      </c>
      <c r="G507" t="n">
        <v>5</v>
      </c>
      <c r="H507" s="5" t="n">
        <v>5144.67</v>
      </c>
      <c r="I507" s="5" t="n">
        <v>108037.99</v>
      </c>
      <c r="J507" s="5" t="n">
        <v>67383.31</v>
      </c>
      <c r="K507" s="4" t="n">
        <v>46178</v>
      </c>
      <c r="L507" s="5">
        <f>IF(I507="","",I507-J507)</f>
        <v/>
      </c>
      <c r="M507">
        <f>IF(K507="","",K507-B507)</f>
        <v/>
      </c>
    </row>
    <row r="508">
      <c r="A508" t="inlineStr">
        <is>
          <t>P-00130</t>
        </is>
      </c>
      <c r="B508" s="4" t="n">
        <v>46144</v>
      </c>
      <c r="C508" t="inlineStr">
        <is>
          <t>Ludhiana Knitwear Co</t>
        </is>
      </c>
      <c r="D508" t="inlineStr">
        <is>
          <t>PURCHASE</t>
        </is>
      </c>
      <c r="E508" t="inlineStr">
        <is>
          <t>Inventory purchases</t>
        </is>
      </c>
      <c r="F508" s="5" t="n">
        <v>10861.55</v>
      </c>
      <c r="G508" t="n">
        <v>5</v>
      </c>
      <c r="H508" s="5" t="n">
        <v>543.08</v>
      </c>
      <c r="I508" s="5" t="n">
        <v>11404.63</v>
      </c>
      <c r="J508" s="5" t="n">
        <v>11404.63</v>
      </c>
      <c r="K508" s="4" t="n">
        <v>46156</v>
      </c>
      <c r="L508" s="5">
        <f>IF(I508="","",I508-J508)</f>
        <v/>
      </c>
      <c r="M508">
        <f>IF(K508="","",K508-B508)</f>
        <v/>
      </c>
    </row>
    <row r="509">
      <c r="A509" t="inlineStr">
        <is>
          <t>P-00131</t>
        </is>
      </c>
      <c r="B509" s="4" t="n">
        <v>46145</v>
      </c>
      <c r="C509" t="inlineStr">
        <is>
          <t>Surat Textile Mills</t>
        </is>
      </c>
      <c r="D509" t="inlineStr">
        <is>
          <t>PURCHASE</t>
        </is>
      </c>
      <c r="E509" t="inlineStr">
        <is>
          <t>Inventory purchases</t>
        </is>
      </c>
      <c r="F509" s="5" t="n">
        <v>14850.03</v>
      </c>
      <c r="G509" t="n">
        <v>5</v>
      </c>
      <c r="H509" s="5" t="n">
        <v>742.5</v>
      </c>
      <c r="I509" s="5" t="n">
        <v>15592.53</v>
      </c>
      <c r="J509" s="5" t="n">
        <v>15592.53</v>
      </c>
      <c r="K509" s="4" t="n">
        <v>46159</v>
      </c>
      <c r="L509" s="5">
        <f>IF(I509="","",I509-J509)</f>
        <v/>
      </c>
      <c r="M509">
        <f>IF(K509="","",K509-B509)</f>
        <v/>
      </c>
    </row>
    <row r="510">
      <c r="A510" t="inlineStr">
        <is>
          <t>P-00132</t>
        </is>
      </c>
      <c r="B510" s="4" t="n">
        <v>46157</v>
      </c>
      <c r="C510" t="inlineStr">
        <is>
          <t>Jaipur Print Works</t>
        </is>
      </c>
      <c r="D510" t="inlineStr">
        <is>
          <t>PURCHASE</t>
        </is>
      </c>
      <c r="E510" t="inlineStr">
        <is>
          <t>Inventory purchases</t>
        </is>
      </c>
      <c r="F510" s="5" t="n">
        <v>60922.39</v>
      </c>
      <c r="G510" t="n">
        <v>5</v>
      </c>
      <c r="H510" s="5" t="n">
        <v>3046.12</v>
      </c>
      <c r="I510" s="5" t="n">
        <v>63968.51</v>
      </c>
      <c r="J510" s="5" t="n">
        <v>63968.51</v>
      </c>
      <c r="K510" s="4" t="n">
        <v>46180</v>
      </c>
      <c r="L510" s="5">
        <f>IF(I510="","",I510-J510)</f>
        <v/>
      </c>
      <c r="M510">
        <f>IF(K510="","",K510-B510)</f>
        <v/>
      </c>
    </row>
    <row r="511">
      <c r="A511" t="inlineStr">
        <is>
          <t>P-00133</t>
        </is>
      </c>
      <c r="B511" s="4" t="n">
        <v>46169</v>
      </c>
      <c r="C511" t="inlineStr">
        <is>
          <t>Jaipur Print Works</t>
        </is>
      </c>
      <c r="D511" t="inlineStr">
        <is>
          <t>PURCHASE</t>
        </is>
      </c>
      <c r="E511" t="inlineStr">
        <is>
          <t>Inventory purchases</t>
        </is>
      </c>
      <c r="F511" s="5" t="n">
        <v>88316.89999999999</v>
      </c>
      <c r="G511" t="n">
        <v>5</v>
      </c>
      <c r="H511" s="5" t="n">
        <v>4415.85</v>
      </c>
      <c r="I511" s="5" t="n">
        <v>92732.75</v>
      </c>
      <c r="J511" s="5" t="n">
        <v>92732.75</v>
      </c>
      <c r="K511" s="4" t="n">
        <v>46180</v>
      </c>
      <c r="L511" s="5">
        <f>IF(I511="","",I511-J511)</f>
        <v/>
      </c>
      <c r="M511">
        <f>IF(K511="","",K511-B511)</f>
        <v/>
      </c>
    </row>
    <row r="512">
      <c r="A512" t="inlineStr">
        <is>
          <t>P-00134</t>
        </is>
      </c>
      <c r="B512" s="4" t="n">
        <v>46165</v>
      </c>
      <c r="C512" t="inlineStr">
        <is>
          <t>Delhi Fabric Suppliers</t>
        </is>
      </c>
      <c r="D512" t="inlineStr">
        <is>
          <t>PURCHASE</t>
        </is>
      </c>
      <c r="E512" t="inlineStr">
        <is>
          <t>Inventory purchases</t>
        </is>
      </c>
      <c r="F512" s="5" t="n">
        <v>70559.25999999999</v>
      </c>
      <c r="G512" t="n">
        <v>5</v>
      </c>
      <c r="H512" s="5" t="n">
        <v>3527.96</v>
      </c>
      <c r="I512" s="5" t="n">
        <v>74087.22</v>
      </c>
      <c r="J512" s="5" t="n">
        <v>74087.22</v>
      </c>
      <c r="K512" s="4" t="n">
        <v>46178</v>
      </c>
      <c r="L512" s="5">
        <f>IF(I512="","",I512-J512)</f>
        <v/>
      </c>
      <c r="M512">
        <f>IF(K512="","",K512-B512)</f>
        <v/>
      </c>
    </row>
    <row r="513">
      <c r="A513" t="inlineStr">
        <is>
          <t>P-00135</t>
        </is>
      </c>
      <c r="B513" s="4" t="n">
        <v>46160</v>
      </c>
      <c r="C513" t="inlineStr">
        <is>
          <t>Tiruppur Garment Works</t>
        </is>
      </c>
      <c r="D513" t="inlineStr">
        <is>
          <t>PURCHASE</t>
        </is>
      </c>
      <c r="E513" t="inlineStr">
        <is>
          <t>Inventory purchases</t>
        </is>
      </c>
      <c r="F513" s="5" t="n">
        <v>113083.29</v>
      </c>
      <c r="G513" t="n">
        <v>5</v>
      </c>
      <c r="H513" s="5" t="n">
        <v>5654.16</v>
      </c>
      <c r="I513" s="5" t="n">
        <v>118737.45</v>
      </c>
      <c r="J513" s="5" t="n">
        <v>118737.45</v>
      </c>
      <c r="K513" s="4" t="n">
        <v>46171</v>
      </c>
      <c r="L513" s="5">
        <f>IF(I513="","",I513-J513)</f>
        <v/>
      </c>
      <c r="M513">
        <f>IF(K513="","",K513-B513)</f>
        <v/>
      </c>
    </row>
    <row r="514">
      <c r="A514" t="inlineStr">
        <is>
          <t>P-00136</t>
        </is>
      </c>
      <c r="B514" s="4" t="n">
        <v>46156</v>
      </c>
      <c r="C514" t="inlineStr">
        <is>
          <t>Kolkata Hosiery House</t>
        </is>
      </c>
      <c r="D514" t="inlineStr">
        <is>
          <t>PURCHASE</t>
        </is>
      </c>
      <c r="E514" t="inlineStr">
        <is>
          <t>Inventory purchases</t>
        </is>
      </c>
      <c r="F514" s="5" t="n">
        <v>116206.34</v>
      </c>
      <c r="G514" t="n">
        <v>5</v>
      </c>
      <c r="H514" s="5" t="n">
        <v>5810.32</v>
      </c>
      <c r="I514" s="5" t="n">
        <v>122016.66</v>
      </c>
      <c r="J514" s="5" t="n">
        <v>122016.66</v>
      </c>
      <c r="K514" s="4" t="n">
        <v>46164</v>
      </c>
      <c r="L514" s="5">
        <f>IF(I514="","",I514-J514)</f>
        <v/>
      </c>
      <c r="M514">
        <f>IF(K514="","",K514-B514)</f>
        <v/>
      </c>
    </row>
    <row r="515">
      <c r="A515" t="inlineStr">
        <is>
          <t>E-00106</t>
        </is>
      </c>
      <c r="B515" s="4" t="n">
        <v>46159</v>
      </c>
      <c r="C515" t="inlineStr">
        <is>
          <t>Various</t>
        </is>
      </c>
      <c r="D515" t="inlineStr">
        <is>
          <t>EXPENSE</t>
        </is>
      </c>
      <c r="E515" t="inlineStr">
        <is>
          <t>Rent</t>
        </is>
      </c>
      <c r="F515" s="5" t="n">
        <v>24844.08</v>
      </c>
      <c r="G515" t="n">
        <v>18</v>
      </c>
      <c r="H515" s="5" t="n">
        <v>4471.93</v>
      </c>
      <c r="I515" s="5" t="n">
        <v>29316.01</v>
      </c>
      <c r="J515" s="5" t="n">
        <v>29316.01</v>
      </c>
      <c r="K515" s="4" t="n">
        <v>46163</v>
      </c>
      <c r="L515" s="5">
        <f>IF(I515="","",I515-J515)</f>
        <v/>
      </c>
      <c r="M515">
        <f>IF(K515="","",K515-B515)</f>
        <v/>
      </c>
    </row>
    <row r="516">
      <c r="A516" t="inlineStr">
        <is>
          <t>E-00107</t>
        </is>
      </c>
      <c r="B516" s="4" t="n">
        <v>46156</v>
      </c>
      <c r="C516" t="inlineStr">
        <is>
          <t>Various</t>
        </is>
      </c>
      <c r="D516" t="inlineStr">
        <is>
          <t>EXPENSE</t>
        </is>
      </c>
      <c r="E516" t="inlineStr">
        <is>
          <t>Salaries</t>
        </is>
      </c>
      <c r="F516" s="5" t="n">
        <v>85051.72</v>
      </c>
      <c r="G516" t="n">
        <v>0</v>
      </c>
      <c r="H516" s="5" t="n">
        <v>0</v>
      </c>
      <c r="I516" s="5" t="n">
        <v>85051.72</v>
      </c>
      <c r="J516" s="5" t="n">
        <v>85051.72</v>
      </c>
      <c r="K516" s="4" t="n">
        <v>46159</v>
      </c>
      <c r="L516" s="5">
        <f>IF(I516="","",I516-J516)</f>
        <v/>
      </c>
      <c r="M516">
        <f>IF(K516="","",K516-B516)</f>
        <v/>
      </c>
    </row>
    <row r="517">
      <c r="A517" t="inlineStr">
        <is>
          <t>E-00108</t>
        </is>
      </c>
      <c r="B517" s="4" t="n">
        <v>46150</v>
      </c>
      <c r="C517" t="inlineStr">
        <is>
          <t>Various</t>
        </is>
      </c>
      <c r="D517" t="inlineStr">
        <is>
          <t>EXPENSE</t>
        </is>
      </c>
      <c r="E517" t="inlineStr">
        <is>
          <t>Utilities</t>
        </is>
      </c>
      <c r="F517" s="5" t="n">
        <v>6539.9</v>
      </c>
      <c r="G517" t="n">
        <v>18</v>
      </c>
      <c r="H517" s="5" t="n">
        <v>1177.18</v>
      </c>
      <c r="I517" s="5" t="n">
        <v>7717.08</v>
      </c>
      <c r="J517" s="5" t="n">
        <v>7717.08</v>
      </c>
      <c r="K517" s="4" t="n">
        <v>46156</v>
      </c>
      <c r="L517" s="5">
        <f>IF(I517="","",I517-J517)</f>
        <v/>
      </c>
      <c r="M517">
        <f>IF(K517="","",K517-B517)</f>
        <v/>
      </c>
    </row>
    <row r="518">
      <c r="A518" t="inlineStr">
        <is>
          <t>E-00109</t>
        </is>
      </c>
      <c r="B518" s="4" t="n">
        <v>46143</v>
      </c>
      <c r="C518" t="inlineStr">
        <is>
          <t>Various</t>
        </is>
      </c>
      <c r="D518" t="inlineStr">
        <is>
          <t>EXPENSE</t>
        </is>
      </c>
      <c r="E518" t="inlineStr">
        <is>
          <t>Transport</t>
        </is>
      </c>
      <c r="F518" s="5" t="n">
        <v>5061.81</v>
      </c>
      <c r="G518" t="n">
        <v>5</v>
      </c>
      <c r="H518" s="5" t="n">
        <v>253.09</v>
      </c>
      <c r="I518" s="5" t="n">
        <v>5314.9</v>
      </c>
      <c r="J518" s="5" t="n">
        <v>5314.9</v>
      </c>
      <c r="K518" s="4" t="n">
        <v>46148</v>
      </c>
      <c r="L518" s="5">
        <f>IF(I518="","",I518-J518)</f>
        <v/>
      </c>
      <c r="M518">
        <f>IF(K518="","",K518-B518)</f>
        <v/>
      </c>
    </row>
    <row r="519">
      <c r="A519" t="inlineStr">
        <is>
          <t>E-00110</t>
        </is>
      </c>
      <c r="B519" s="4" t="n">
        <v>46173</v>
      </c>
      <c r="C519" t="inlineStr">
        <is>
          <t>Various</t>
        </is>
      </c>
      <c r="D519" t="inlineStr">
        <is>
          <t>EXPENSE</t>
        </is>
      </c>
      <c r="E519" t="inlineStr">
        <is>
          <t>Transport</t>
        </is>
      </c>
      <c r="F519" s="5" t="n">
        <v>7750.5</v>
      </c>
      <c r="G519" t="n">
        <v>5</v>
      </c>
      <c r="H519" s="5" t="n">
        <v>387.52</v>
      </c>
      <c r="I519" s="5" t="n">
        <v>8138.02</v>
      </c>
      <c r="J519" s="5" t="n">
        <v>8138.02</v>
      </c>
      <c r="K519" s="4" t="n">
        <v>46178</v>
      </c>
      <c r="L519" s="5">
        <f>IF(I519="","",I519-J519)</f>
        <v/>
      </c>
      <c r="M519">
        <f>IF(K519="","",K519-B519)</f>
        <v/>
      </c>
    </row>
    <row r="520">
      <c r="A520" t="inlineStr">
        <is>
          <t>E-00111</t>
        </is>
      </c>
      <c r="B520" s="4" t="n">
        <v>46151</v>
      </c>
      <c r="C520" t="inlineStr">
        <is>
          <t>Various</t>
        </is>
      </c>
      <c r="D520" t="inlineStr">
        <is>
          <t>EXPENSE</t>
        </is>
      </c>
      <c r="E520" t="inlineStr">
        <is>
          <t>Transport</t>
        </is>
      </c>
      <c r="F520" s="5" t="n">
        <v>8199.75</v>
      </c>
      <c r="G520" t="n">
        <v>5</v>
      </c>
      <c r="H520" s="5" t="n">
        <v>409.99</v>
      </c>
      <c r="I520" s="5" t="n">
        <v>8609.74</v>
      </c>
      <c r="J520" s="5" t="n">
        <v>8609.74</v>
      </c>
      <c r="K520" s="4" t="n">
        <v>46160</v>
      </c>
      <c r="L520" s="5">
        <f>IF(I520="","",I520-J520)</f>
        <v/>
      </c>
      <c r="M520">
        <f>IF(K520="","",K520-B520)</f>
        <v/>
      </c>
    </row>
    <row r="521">
      <c r="A521" t="inlineStr">
        <is>
          <t>E-00112</t>
        </is>
      </c>
      <c r="B521" s="4" t="n">
        <v>46166</v>
      </c>
      <c r="C521" t="inlineStr">
        <is>
          <t>Various</t>
        </is>
      </c>
      <c r="D521" t="inlineStr">
        <is>
          <t>EXPENSE</t>
        </is>
      </c>
      <c r="E521" t="inlineStr">
        <is>
          <t>Transport</t>
        </is>
      </c>
      <c r="F521" s="5" t="n">
        <v>3422.03</v>
      </c>
      <c r="G521" t="n">
        <v>5</v>
      </c>
      <c r="H521" s="5" t="n">
        <v>171.1</v>
      </c>
      <c r="I521" s="5" t="n">
        <v>3593.13</v>
      </c>
      <c r="J521" s="5" t="n">
        <v>3593.13</v>
      </c>
      <c r="K521" s="4" t="n">
        <v>46169</v>
      </c>
      <c r="L521" s="5">
        <f>IF(I521="","",I521-J521)</f>
        <v/>
      </c>
      <c r="M521">
        <f>IF(K521="","",K521-B521)</f>
        <v/>
      </c>
    </row>
    <row r="522">
      <c r="A522" t="inlineStr">
        <is>
          <t>E-00113</t>
        </is>
      </c>
      <c r="B522" s="4" t="n">
        <v>46168</v>
      </c>
      <c r="C522" t="inlineStr">
        <is>
          <t>Various</t>
        </is>
      </c>
      <c r="D522" t="inlineStr">
        <is>
          <t>EXPENSE</t>
        </is>
      </c>
      <c r="E522" t="inlineStr">
        <is>
          <t>Transport</t>
        </is>
      </c>
      <c r="F522" s="5" t="n">
        <v>4699.52</v>
      </c>
      <c r="G522" t="n">
        <v>5</v>
      </c>
      <c r="H522" s="5" t="n">
        <v>234.98</v>
      </c>
      <c r="I522" s="5" t="n">
        <v>4934.5</v>
      </c>
      <c r="J522" s="5" t="n">
        <v>4934.5</v>
      </c>
      <c r="K522" s="4" t="n">
        <v>46171</v>
      </c>
      <c r="L522" s="5">
        <f>IF(I522="","",I522-J522)</f>
        <v/>
      </c>
      <c r="M522">
        <f>IF(K522="","",K522-B522)</f>
        <v/>
      </c>
    </row>
    <row r="523">
      <c r="A523" t="inlineStr">
        <is>
          <t>E-00114</t>
        </is>
      </c>
      <c r="B523" s="4" t="n">
        <v>46155</v>
      </c>
      <c r="C523" t="inlineStr">
        <is>
          <t>Various</t>
        </is>
      </c>
      <c r="D523" t="inlineStr">
        <is>
          <t>EXPENSE</t>
        </is>
      </c>
      <c r="E523" t="inlineStr">
        <is>
          <t>Transport</t>
        </is>
      </c>
      <c r="F523" s="5" t="n">
        <v>3876.16</v>
      </c>
      <c r="G523" t="n">
        <v>5</v>
      </c>
      <c r="H523" s="5" t="n">
        <v>193.81</v>
      </c>
      <c r="I523" s="5" t="n">
        <v>4069.97</v>
      </c>
      <c r="J523" s="5" t="n">
        <v>4069.97</v>
      </c>
      <c r="K523" s="4" t="n">
        <v>46158</v>
      </c>
      <c r="L523" s="5">
        <f>IF(I523="","",I523-J523)</f>
        <v/>
      </c>
      <c r="M523">
        <f>IF(K523="","",K523-B523)</f>
        <v/>
      </c>
    </row>
    <row r="524">
      <c r="A524" t="inlineStr">
        <is>
          <t>E-00115</t>
        </is>
      </c>
      <c r="B524" s="4" t="n">
        <v>46161</v>
      </c>
      <c r="C524" t="inlineStr">
        <is>
          <t>Various</t>
        </is>
      </c>
      <c r="D524" t="inlineStr">
        <is>
          <t>EXPENSE</t>
        </is>
      </c>
      <c r="E524" t="inlineStr">
        <is>
          <t>Marketing</t>
        </is>
      </c>
      <c r="F524" s="5" t="n">
        <v>11886.34</v>
      </c>
      <c r="G524" t="n">
        <v>18</v>
      </c>
      <c r="H524" s="5" t="n">
        <v>2139.54</v>
      </c>
      <c r="I524" s="5" t="n">
        <v>14025.88</v>
      </c>
      <c r="J524" s="5" t="n">
        <v>14025.88</v>
      </c>
      <c r="K524" s="4" t="n">
        <v>46161</v>
      </c>
      <c r="L524" s="5">
        <f>IF(I524="","",I524-J524)</f>
        <v/>
      </c>
      <c r="M524">
        <f>IF(K524="","",K524-B524)</f>
        <v/>
      </c>
    </row>
    <row r="525">
      <c r="A525" t="inlineStr">
        <is>
          <t>E-00116</t>
        </is>
      </c>
      <c r="B525" s="4" t="n">
        <v>46161</v>
      </c>
      <c r="C525" t="inlineStr">
        <is>
          <t>Various</t>
        </is>
      </c>
      <c r="D525" t="inlineStr">
        <is>
          <t>EXPENSE</t>
        </is>
      </c>
      <c r="E525" t="inlineStr">
        <is>
          <t>Marketing</t>
        </is>
      </c>
      <c r="F525" s="5" t="n">
        <v>10869.07</v>
      </c>
      <c r="G525" t="n">
        <v>18</v>
      </c>
      <c r="H525" s="5" t="n">
        <v>1956.43</v>
      </c>
      <c r="I525" s="5" t="n">
        <v>12825.5</v>
      </c>
      <c r="J525" s="5" t="n">
        <v>12825.5</v>
      </c>
      <c r="K525" s="4" t="n">
        <v>46166</v>
      </c>
      <c r="L525" s="5">
        <f>IF(I525="","",I525-J525)</f>
        <v/>
      </c>
      <c r="M525">
        <f>IF(K525="","",K525-B525)</f>
        <v/>
      </c>
    </row>
    <row r="526">
      <c r="A526" t="inlineStr">
        <is>
          <t>E-00117</t>
        </is>
      </c>
      <c r="B526" s="4" t="n">
        <v>46150</v>
      </c>
      <c r="C526" t="inlineStr">
        <is>
          <t>Various</t>
        </is>
      </c>
      <c r="D526" t="inlineStr">
        <is>
          <t>EXPENSE</t>
        </is>
      </c>
      <c r="E526" t="inlineStr">
        <is>
          <t>Professional fees</t>
        </is>
      </c>
      <c r="F526" s="5" t="n">
        <v>9802.41</v>
      </c>
      <c r="G526" t="n">
        <v>18</v>
      </c>
      <c r="H526" s="5" t="n">
        <v>1764.43</v>
      </c>
      <c r="I526" s="5" t="n">
        <v>11566.84</v>
      </c>
      <c r="J526" s="5" t="n">
        <v>11566.84</v>
      </c>
      <c r="K526" s="4" t="n">
        <v>46152</v>
      </c>
      <c r="L526" s="5">
        <f>IF(I526="","",I526-J526)</f>
        <v/>
      </c>
      <c r="M526">
        <f>IF(K526="","",K526-B526)</f>
        <v/>
      </c>
    </row>
    <row r="527">
      <c r="A527" t="inlineStr">
        <is>
          <t>E-00118</t>
        </is>
      </c>
      <c r="B527" s="4" t="n">
        <v>46156</v>
      </c>
      <c r="C527" t="inlineStr">
        <is>
          <t>Various</t>
        </is>
      </c>
      <c r="D527" t="inlineStr">
        <is>
          <t>EXPENSE</t>
        </is>
      </c>
      <c r="E527" t="inlineStr">
        <is>
          <t>Misc</t>
        </is>
      </c>
      <c r="F527" s="5" t="n">
        <v>1146.17</v>
      </c>
      <c r="G527" t="n">
        <v>18</v>
      </c>
      <c r="H527" s="5" t="n">
        <v>206.31</v>
      </c>
      <c r="I527" s="5" t="n">
        <v>1352.48</v>
      </c>
      <c r="J527" s="5" t="n">
        <v>1352.48</v>
      </c>
      <c r="K527" s="4" t="n">
        <v>46157</v>
      </c>
      <c r="L527" s="5">
        <f>IF(I527="","",I527-J527)</f>
        <v/>
      </c>
      <c r="M527">
        <f>IF(K527="","",K527-B527)</f>
        <v/>
      </c>
    </row>
    <row r="528">
      <c r="A528" t="inlineStr">
        <is>
          <t>E-00119</t>
        </is>
      </c>
      <c r="B528" s="4" t="n">
        <v>46165</v>
      </c>
      <c r="C528" t="inlineStr">
        <is>
          <t>Various</t>
        </is>
      </c>
      <c r="D528" t="inlineStr">
        <is>
          <t>EXPENSE</t>
        </is>
      </c>
      <c r="E528" t="inlineStr">
        <is>
          <t>Misc</t>
        </is>
      </c>
      <c r="F528" s="5" t="n">
        <v>1190.86</v>
      </c>
      <c r="G528" t="n">
        <v>18</v>
      </c>
      <c r="H528" s="5" t="n">
        <v>214.35</v>
      </c>
      <c r="I528" s="5" t="n">
        <v>1405.21</v>
      </c>
      <c r="J528" s="5" t="n">
        <v>1405.21</v>
      </c>
      <c r="K528" s="4" t="n">
        <v>46171</v>
      </c>
      <c r="L528" s="5">
        <f>IF(I528="","",I528-J528)</f>
        <v/>
      </c>
      <c r="M528">
        <f>IF(K528="","",K528-B528)</f>
        <v/>
      </c>
    </row>
    <row r="529">
      <c r="A529" t="inlineStr">
        <is>
          <t>E-00120</t>
        </is>
      </c>
      <c r="B529" s="4" t="n">
        <v>46169</v>
      </c>
      <c r="C529" t="inlineStr">
        <is>
          <t>Various</t>
        </is>
      </c>
      <c r="D529" t="inlineStr">
        <is>
          <t>EXPENSE</t>
        </is>
      </c>
      <c r="E529" t="inlineStr">
        <is>
          <t>Misc</t>
        </is>
      </c>
      <c r="F529" s="5" t="n">
        <v>1055.83</v>
      </c>
      <c r="G529" t="n">
        <v>18</v>
      </c>
      <c r="H529" s="5" t="n">
        <v>190.05</v>
      </c>
      <c r="I529" s="5" t="n">
        <v>1245.88</v>
      </c>
      <c r="J529" s="5" t="n">
        <v>1245.88</v>
      </c>
      <c r="K529" s="4" t="n">
        <v>46172</v>
      </c>
      <c r="L529" s="5">
        <f>IF(I529="","",I529-J529)</f>
        <v/>
      </c>
      <c r="M529">
        <f>IF(K529="","",K529-B529)</f>
        <v/>
      </c>
    </row>
    <row r="530">
      <c r="A530" t="inlineStr">
        <is>
          <t>S-00273</t>
        </is>
      </c>
      <c r="B530" s="4" t="n">
        <v>46196</v>
      </c>
      <c r="C530" t="inlineStr">
        <is>
          <t>Arrah Garment Plaza</t>
        </is>
      </c>
      <c r="D530" t="inlineStr">
        <is>
          <t>SALES</t>
        </is>
      </c>
      <c r="E530" t="inlineStr">
        <is>
          <t>Fabrics</t>
        </is>
      </c>
      <c r="F530" s="5" t="n">
        <v>56702.88</v>
      </c>
      <c r="G530" t="n">
        <v>5</v>
      </c>
      <c r="H530" s="5" t="n">
        <v>2835.14</v>
      </c>
      <c r="I530" s="5" t="n">
        <v>59538.02</v>
      </c>
      <c r="J530" s="5" t="n">
        <v>59538.02</v>
      </c>
      <c r="K530" s="4" t="n">
        <v>46238</v>
      </c>
      <c r="L530" s="5">
        <f>IF(I530="","",I530-J530)</f>
        <v/>
      </c>
      <c r="M530">
        <f>IF(K530="","",K530-B530)</f>
        <v/>
      </c>
    </row>
    <row r="531">
      <c r="A531" t="inlineStr">
        <is>
          <t>S-00274</t>
        </is>
      </c>
      <c r="B531" s="4" t="n">
        <v>46190</v>
      </c>
      <c r="C531" t="inlineStr">
        <is>
          <t>New Look Garments</t>
        </is>
      </c>
      <c r="D531" t="inlineStr">
        <is>
          <t>SALES</t>
        </is>
      </c>
      <c r="E531" t="inlineStr">
        <is>
          <t>Accessories</t>
        </is>
      </c>
      <c r="F531" s="5" t="n">
        <v>43999.32</v>
      </c>
      <c r="G531" t="n">
        <v>12</v>
      </c>
      <c r="H531" s="5" t="n">
        <v>5279.92</v>
      </c>
      <c r="I531" s="5" t="n">
        <v>49279.24</v>
      </c>
      <c r="J531" s="5" t="n">
        <v>49279.24</v>
      </c>
      <c r="K531" s="4" t="n">
        <v>46214</v>
      </c>
      <c r="L531" s="5">
        <f>IF(I531="","",I531-J531)</f>
        <v/>
      </c>
      <c r="M531">
        <f>IF(K531="","",K531-B531)</f>
        <v/>
      </c>
    </row>
    <row r="532">
      <c r="A532" t="inlineStr">
        <is>
          <t>S-00275</t>
        </is>
      </c>
      <c r="B532" s="4" t="n">
        <v>46182</v>
      </c>
      <c r="C532" t="inlineStr">
        <is>
          <t>Gaya Textile Traders</t>
        </is>
      </c>
      <c r="D532" t="inlineStr">
        <is>
          <t>SALES</t>
        </is>
      </c>
      <c r="E532" t="inlineStr">
        <is>
          <t>Garments</t>
        </is>
      </c>
      <c r="F532" s="5" t="n">
        <v>16545.15</v>
      </c>
      <c r="G532" t="n">
        <v>12</v>
      </c>
      <c r="H532" s="5" t="n">
        <v>1985.42</v>
      </c>
      <c r="I532" s="5" t="n">
        <v>18530.57</v>
      </c>
      <c r="J532" s="5" t="n">
        <v>18530.57</v>
      </c>
      <c r="K532" s="4" t="n">
        <v>46208</v>
      </c>
      <c r="L532" s="5">
        <f>IF(I532="","",I532-J532)</f>
        <v/>
      </c>
      <c r="M532">
        <f>IF(K532="","",K532-B532)</f>
        <v/>
      </c>
    </row>
    <row r="533">
      <c r="A533" t="inlineStr">
        <is>
          <t>S-00276</t>
        </is>
      </c>
      <c r="B533" s="4" t="n">
        <v>46180</v>
      </c>
      <c r="C533" t="inlineStr">
        <is>
          <t>Kumkum Saree Sadan</t>
        </is>
      </c>
      <c r="D533" t="inlineStr">
        <is>
          <t>SALES</t>
        </is>
      </c>
      <c r="E533" t="inlineStr">
        <is>
          <t>Fabrics</t>
        </is>
      </c>
      <c r="F533" s="5" t="n">
        <v>55439.26</v>
      </c>
      <c r="G533" t="n">
        <v>5</v>
      </c>
      <c r="H533" s="5" t="n">
        <v>2771.96</v>
      </c>
      <c r="I533" s="5" t="n">
        <v>58211.22</v>
      </c>
      <c r="J533" s="5" t="n">
        <v>58211.22</v>
      </c>
      <c r="K533" s="4" t="n">
        <v>46215</v>
      </c>
      <c r="L533" s="5">
        <f>IF(I533="","",I533-J533)</f>
        <v/>
      </c>
      <c r="M533">
        <f>IF(K533="","",K533-B533)</f>
        <v/>
      </c>
    </row>
    <row r="534">
      <c r="A534" t="inlineStr">
        <is>
          <t>S-00277</t>
        </is>
      </c>
      <c r="B534" s="4" t="n">
        <v>46196</v>
      </c>
      <c r="C534" t="inlineStr">
        <is>
          <t>Trendy Threads</t>
        </is>
      </c>
      <c r="D534" t="inlineStr">
        <is>
          <t>SALES</t>
        </is>
      </c>
      <c r="E534" t="inlineStr">
        <is>
          <t>Fabrics</t>
        </is>
      </c>
      <c r="F534" s="5" t="n">
        <v>61255.78</v>
      </c>
      <c r="G534" t="n">
        <v>5</v>
      </c>
      <c r="H534" s="5" t="n">
        <v>3062.79</v>
      </c>
      <c r="I534" s="5" t="n">
        <v>64318.57</v>
      </c>
      <c r="J534" s="5" t="n">
        <v>48892.69</v>
      </c>
      <c r="K534" s="4" t="n">
        <v>46236</v>
      </c>
      <c r="L534" s="5">
        <f>IF(I534="","",I534-J534)</f>
        <v/>
      </c>
      <c r="M534">
        <f>IF(K534="","",K534-B534)</f>
        <v/>
      </c>
    </row>
    <row r="535">
      <c r="A535" t="inlineStr">
        <is>
          <t>S-00278</t>
        </is>
      </c>
      <c r="B535" s="4" t="n">
        <v>46201</v>
      </c>
      <c r="C535" t="inlineStr">
        <is>
          <t>Kumkum Saree Sadan</t>
        </is>
      </c>
      <c r="D535" t="inlineStr">
        <is>
          <t>SALES</t>
        </is>
      </c>
      <c r="E535" t="inlineStr">
        <is>
          <t>Garments</t>
        </is>
      </c>
      <c r="F535" s="5" t="n">
        <v>11355.88</v>
      </c>
      <c r="G535" t="n">
        <v>12</v>
      </c>
      <c r="H535" s="5" t="n">
        <v>1362.71</v>
      </c>
      <c r="I535" s="5" t="n">
        <v>12718.59</v>
      </c>
      <c r="J535" s="5" t="n">
        <v>12718.59</v>
      </c>
      <c r="K535" s="4" t="n">
        <v>46224</v>
      </c>
      <c r="L535" s="5">
        <f>IF(I535="","",I535-J535)</f>
        <v/>
      </c>
      <c r="M535">
        <f>IF(K535="","",K535-B535)</f>
        <v/>
      </c>
    </row>
    <row r="536">
      <c r="A536" t="inlineStr">
        <is>
          <t>S-00279</t>
        </is>
      </c>
      <c r="B536" s="4" t="n">
        <v>46203</v>
      </c>
      <c r="C536" t="inlineStr">
        <is>
          <t>Bazaar Collection</t>
        </is>
      </c>
      <c r="D536" t="inlineStr">
        <is>
          <t>SALES</t>
        </is>
      </c>
      <c r="E536" t="inlineStr">
        <is>
          <t>Fabrics</t>
        </is>
      </c>
      <c r="F536" s="5" t="n">
        <v>52678.14</v>
      </c>
      <c r="G536" t="n">
        <v>5</v>
      </c>
      <c r="H536" s="5" t="n">
        <v>2633.91</v>
      </c>
      <c r="I536" s="5" t="n">
        <v>55312.05</v>
      </c>
      <c r="J536" s="5" t="n">
        <v>55312.05</v>
      </c>
      <c r="K536" s="4" t="n">
        <v>46218</v>
      </c>
      <c r="L536" s="5">
        <f>IF(I536="","",I536-J536)</f>
        <v/>
      </c>
      <c r="M536">
        <f>IF(K536="","",K536-B536)</f>
        <v/>
      </c>
    </row>
    <row r="537">
      <c r="A537" t="inlineStr">
        <is>
          <t>S-00280</t>
        </is>
      </c>
      <c r="B537" s="4" t="n">
        <v>46192</v>
      </c>
      <c r="C537" t="inlineStr">
        <is>
          <t>Arrah Garment Plaza</t>
        </is>
      </c>
      <c r="D537" t="inlineStr">
        <is>
          <t>SALES</t>
        </is>
      </c>
      <c r="E537" t="inlineStr">
        <is>
          <t>Fabrics</t>
        </is>
      </c>
      <c r="F537" s="5" t="n">
        <v>88335.25999999999</v>
      </c>
      <c r="G537" t="n">
        <v>5</v>
      </c>
      <c r="H537" s="5" t="n">
        <v>4416.76</v>
      </c>
      <c r="I537" s="5" t="n">
        <v>92752.02</v>
      </c>
      <c r="J537" s="5" t="n">
        <v>0</v>
      </c>
      <c r="K537" s="4" t="inlineStr"/>
      <c r="L537" s="5">
        <f>IF(I537="","",I537-J537)</f>
        <v/>
      </c>
      <c r="M537">
        <f>IF(K537="","",K537-B537)</f>
        <v/>
      </c>
    </row>
    <row r="538">
      <c r="A538" t="inlineStr">
        <is>
          <t>S-00281</t>
        </is>
      </c>
      <c r="B538" s="4" t="n">
        <v>46193</v>
      </c>
      <c r="C538" t="inlineStr">
        <is>
          <t>Muzaffarpur Cloth House</t>
        </is>
      </c>
      <c r="D538" t="inlineStr">
        <is>
          <t>SALES</t>
        </is>
      </c>
      <c r="E538" t="inlineStr">
        <is>
          <t>Fabrics</t>
        </is>
      </c>
      <c r="F538" s="5" t="n">
        <v>23323.7</v>
      </c>
      <c r="G538" t="n">
        <v>5</v>
      </c>
      <c r="H538" s="5" t="n">
        <v>1166.18</v>
      </c>
      <c r="I538" s="5" t="n">
        <v>24489.88</v>
      </c>
      <c r="J538" s="5" t="n">
        <v>24489.88</v>
      </c>
      <c r="K538" s="4" t="n">
        <v>46202</v>
      </c>
      <c r="L538" s="5">
        <f>IF(I538="","",I538-J538)</f>
        <v/>
      </c>
      <c r="M538">
        <f>IF(K538="","",K538-B538)</f>
        <v/>
      </c>
    </row>
    <row r="539">
      <c r="A539" t="inlineStr">
        <is>
          <t>S-00282</t>
        </is>
      </c>
      <c r="B539" s="4" t="n">
        <v>46202</v>
      </c>
      <c r="C539" t="inlineStr">
        <is>
          <t>Arrah Garment Plaza</t>
        </is>
      </c>
      <c r="D539" t="inlineStr">
        <is>
          <t>SALES</t>
        </is>
      </c>
      <c r="E539" t="inlineStr">
        <is>
          <t>Garments</t>
        </is>
      </c>
      <c r="F539" s="5" t="n">
        <v>21761.84</v>
      </c>
      <c r="G539" t="n">
        <v>12</v>
      </c>
      <c r="H539" s="5" t="n">
        <v>2611.42</v>
      </c>
      <c r="I539" s="5" t="n">
        <v>24373.26</v>
      </c>
      <c r="J539" s="5" t="n">
        <v>0</v>
      </c>
      <c r="K539" s="4" t="inlineStr"/>
      <c r="L539" s="5">
        <f>IF(I539="","",I539-J539)</f>
        <v/>
      </c>
      <c r="M539">
        <f>IF(K539="","",K539-B539)</f>
        <v/>
      </c>
    </row>
    <row r="540">
      <c r="A540" t="inlineStr">
        <is>
          <t>S-00283</t>
        </is>
      </c>
      <c r="B540" s="4" t="n">
        <v>46175</v>
      </c>
      <c r="C540" t="inlineStr">
        <is>
          <t>Bhagalpur Silk Centre</t>
        </is>
      </c>
      <c r="D540" t="inlineStr">
        <is>
          <t>SALES</t>
        </is>
      </c>
      <c r="E540" t="inlineStr">
        <is>
          <t>Fabrics</t>
        </is>
      </c>
      <c r="F540" s="5" t="n">
        <v>76835.61</v>
      </c>
      <c r="G540" t="n">
        <v>5</v>
      </c>
      <c r="H540" s="5" t="n">
        <v>3841.78</v>
      </c>
      <c r="I540" s="5" t="n">
        <v>80677.39</v>
      </c>
      <c r="J540" s="5" t="n">
        <v>80677.39</v>
      </c>
      <c r="K540" s="4" t="n">
        <v>46193</v>
      </c>
      <c r="L540" s="5">
        <f>IF(I540="","",I540-J540)</f>
        <v/>
      </c>
      <c r="M540">
        <f>IF(K540="","",K540-B540)</f>
        <v/>
      </c>
    </row>
    <row r="541">
      <c r="A541" t="inlineStr">
        <is>
          <t>S-00284</t>
        </is>
      </c>
      <c r="B541" s="4" t="n">
        <v>46194</v>
      </c>
      <c r="C541" t="inlineStr">
        <is>
          <t>Kumkum Saree Sadan</t>
        </is>
      </c>
      <c r="D541" t="inlineStr">
        <is>
          <t>SALES</t>
        </is>
      </c>
      <c r="E541" t="inlineStr">
        <is>
          <t>Fabrics</t>
        </is>
      </c>
      <c r="F541" s="5" t="n">
        <v>64421.66</v>
      </c>
      <c r="G541" t="n">
        <v>5</v>
      </c>
      <c r="H541" s="5" t="n">
        <v>3221.08</v>
      </c>
      <c r="I541" s="5" t="n">
        <v>67642.74000000001</v>
      </c>
      <c r="J541" s="5" t="n">
        <v>67642.74000000001</v>
      </c>
      <c r="K541" s="4" t="n">
        <v>46218</v>
      </c>
      <c r="L541" s="5">
        <f>IF(I541="","",I541-J541)</f>
        <v/>
      </c>
      <c r="M541">
        <f>IF(K541="","",K541-B541)</f>
        <v/>
      </c>
    </row>
    <row r="542">
      <c r="A542" t="inlineStr">
        <is>
          <t>S-00285</t>
        </is>
      </c>
      <c r="B542" s="4" t="n">
        <v>46191</v>
      </c>
      <c r="C542" t="inlineStr">
        <is>
          <t>Purnia Fashion Hub</t>
        </is>
      </c>
      <c r="D542" t="inlineStr">
        <is>
          <t>SALES</t>
        </is>
      </c>
      <c r="E542" t="inlineStr">
        <is>
          <t>Accessories</t>
        </is>
      </c>
      <c r="F542" s="5" t="n">
        <v>55768.7</v>
      </c>
      <c r="G542" t="n">
        <v>12</v>
      </c>
      <c r="H542" s="5" t="n">
        <v>6692.24</v>
      </c>
      <c r="I542" s="5" t="n">
        <v>62460.94</v>
      </c>
      <c r="J542" s="5" t="n">
        <v>62460.94</v>
      </c>
      <c r="K542" s="4" t="n">
        <v>46206</v>
      </c>
      <c r="L542" s="5">
        <f>IF(I542="","",I542-J542)</f>
        <v/>
      </c>
      <c r="M542">
        <f>IF(K542="","",K542-B542)</f>
        <v/>
      </c>
    </row>
    <row r="543">
      <c r="A543" t="inlineStr">
        <is>
          <t>S-00286</t>
        </is>
      </c>
      <c r="B543" s="4" t="n">
        <v>46192</v>
      </c>
      <c r="C543" t="inlineStr">
        <is>
          <t>Lakshmi Cloth Store</t>
        </is>
      </c>
      <c r="D543" t="inlineStr">
        <is>
          <t>SALES</t>
        </is>
      </c>
      <c r="E543" t="inlineStr">
        <is>
          <t>Garments</t>
        </is>
      </c>
      <c r="F543" s="5" t="n">
        <v>28950.44</v>
      </c>
      <c r="G543" t="n">
        <v>12</v>
      </c>
      <c r="H543" s="5" t="n">
        <v>3474.05</v>
      </c>
      <c r="I543" s="5" t="n">
        <v>32424.49</v>
      </c>
      <c r="J543" s="5" t="n">
        <v>32424.49</v>
      </c>
      <c r="K543" s="4" t="n">
        <v>46212</v>
      </c>
      <c r="L543" s="5">
        <f>IF(I543="","",I543-J543)</f>
        <v/>
      </c>
      <c r="M543">
        <f>IF(K543="","",K543-B543)</f>
        <v/>
      </c>
    </row>
    <row r="544">
      <c r="A544" t="inlineStr">
        <is>
          <t>S-00287</t>
        </is>
      </c>
      <c r="B544" s="4" t="n">
        <v>46200</v>
      </c>
      <c r="C544" t="inlineStr">
        <is>
          <t>Kumkum Saree Sadan</t>
        </is>
      </c>
      <c r="D544" t="inlineStr">
        <is>
          <t>SALES</t>
        </is>
      </c>
      <c r="E544" t="inlineStr">
        <is>
          <t>Garments</t>
        </is>
      </c>
      <c r="F544" s="5" t="n">
        <v>75406.98</v>
      </c>
      <c r="G544" t="n">
        <v>12</v>
      </c>
      <c r="H544" s="5" t="n">
        <v>9048.84</v>
      </c>
      <c r="I544" s="5" t="n">
        <v>84455.82000000001</v>
      </c>
      <c r="J544" s="5" t="n">
        <v>84455.82000000001</v>
      </c>
      <c r="K544" s="4" t="n">
        <v>46237</v>
      </c>
      <c r="L544" s="5">
        <f>IF(I544="","",I544-J544)</f>
        <v/>
      </c>
      <c r="M544">
        <f>IF(K544="","",K544-B544)</f>
        <v/>
      </c>
    </row>
    <row r="545">
      <c r="A545" t="inlineStr">
        <is>
          <t>S-00288</t>
        </is>
      </c>
      <c r="B545" s="4" t="n">
        <v>46188</v>
      </c>
      <c r="C545" t="inlineStr">
        <is>
          <t>Bazaar Collection</t>
        </is>
      </c>
      <c r="D545" t="inlineStr">
        <is>
          <t>SALES</t>
        </is>
      </c>
      <c r="E545" t="inlineStr">
        <is>
          <t>Accessories</t>
        </is>
      </c>
      <c r="F545" s="5" t="n">
        <v>60608.52</v>
      </c>
      <c r="G545" t="n">
        <v>12</v>
      </c>
      <c r="H545" s="5" t="n">
        <v>7273.02</v>
      </c>
      <c r="I545" s="5" t="n">
        <v>67881.53999999999</v>
      </c>
      <c r="J545" s="5" t="n">
        <v>47131.55</v>
      </c>
      <c r="K545" s="4" t="n">
        <v>46230</v>
      </c>
      <c r="L545" s="5">
        <f>IF(I545="","",I545-J545)</f>
        <v/>
      </c>
      <c r="M545">
        <f>IF(K545="","",K545-B545)</f>
        <v/>
      </c>
    </row>
    <row r="546">
      <c r="A546" t="inlineStr">
        <is>
          <t>S-00289</t>
        </is>
      </c>
      <c r="B546" s="4" t="n">
        <v>46176</v>
      </c>
      <c r="C546" t="inlineStr">
        <is>
          <t>Arrah Garment Plaza</t>
        </is>
      </c>
      <c r="D546" t="inlineStr">
        <is>
          <t>SALES</t>
        </is>
      </c>
      <c r="E546" t="inlineStr">
        <is>
          <t>Garments</t>
        </is>
      </c>
      <c r="F546" s="5" t="n">
        <v>68339.19</v>
      </c>
      <c r="G546" t="n">
        <v>12</v>
      </c>
      <c r="H546" s="5" t="n">
        <v>8200.700000000001</v>
      </c>
      <c r="I546" s="5" t="n">
        <v>76539.89</v>
      </c>
      <c r="J546" s="5" t="n">
        <v>76539.89</v>
      </c>
      <c r="K546" s="4" t="n">
        <v>46220</v>
      </c>
      <c r="L546" s="5">
        <f>IF(I546="","",I546-J546)</f>
        <v/>
      </c>
      <c r="M546">
        <f>IF(K546="","",K546-B546)</f>
        <v/>
      </c>
    </row>
    <row r="547">
      <c r="A547" t="inlineStr">
        <is>
          <t>S-00290</t>
        </is>
      </c>
      <c r="B547" s="4" t="n">
        <v>46188</v>
      </c>
      <c r="C547" t="inlineStr">
        <is>
          <t>City Centre Apparel</t>
        </is>
      </c>
      <c r="D547" t="inlineStr">
        <is>
          <t>SALES</t>
        </is>
      </c>
      <c r="E547" t="inlineStr">
        <is>
          <t>Fabrics</t>
        </is>
      </c>
      <c r="F547" s="5" t="n">
        <v>43341.89</v>
      </c>
      <c r="G547" t="n">
        <v>5</v>
      </c>
      <c r="H547" s="5" t="n">
        <v>2167.09</v>
      </c>
      <c r="I547" s="5" t="n">
        <v>45508.98</v>
      </c>
      <c r="J547" s="5" t="n">
        <v>45508.98</v>
      </c>
      <c r="K547" s="4" t="n">
        <v>46239</v>
      </c>
      <c r="L547" s="5">
        <f>IF(I547="","",I547-J547)</f>
        <v/>
      </c>
      <c r="M547">
        <f>IF(K547="","",K547-B547)</f>
        <v/>
      </c>
    </row>
    <row r="548">
      <c r="A548" t="inlineStr">
        <is>
          <t>S-00291</t>
        </is>
      </c>
      <c r="B548" s="4" t="n">
        <v>46197</v>
      </c>
      <c r="C548" t="inlineStr">
        <is>
          <t>Vishal Mega Mart (franchise)</t>
        </is>
      </c>
      <c r="D548" t="inlineStr">
        <is>
          <t>SALES</t>
        </is>
      </c>
      <c r="E548" t="inlineStr">
        <is>
          <t>Fabrics</t>
        </is>
      </c>
      <c r="F548" s="5" t="n">
        <v>19588.51</v>
      </c>
      <c r="G548" t="n">
        <v>5</v>
      </c>
      <c r="H548" s="5" t="n">
        <v>979.4299999999999</v>
      </c>
      <c r="I548" s="5" t="n">
        <v>20567.94</v>
      </c>
      <c r="J548" s="5" t="n">
        <v>0</v>
      </c>
      <c r="K548" s="4" t="inlineStr"/>
      <c r="L548" s="5">
        <f>IF(I548="","",I548-J548)</f>
        <v/>
      </c>
      <c r="M548">
        <f>IF(K548="","",K548-B548)</f>
        <v/>
      </c>
    </row>
    <row r="549">
      <c r="A549" t="inlineStr">
        <is>
          <t>S-00292</t>
        </is>
      </c>
      <c r="B549" s="4" t="n">
        <v>46179</v>
      </c>
      <c r="C549" t="inlineStr">
        <is>
          <t>Kumkum Saree Sadan</t>
        </is>
      </c>
      <c r="D549" t="inlineStr">
        <is>
          <t>SALES</t>
        </is>
      </c>
      <c r="E549" t="inlineStr">
        <is>
          <t>Garments</t>
        </is>
      </c>
      <c r="F549" s="5" t="n">
        <v>68990.61</v>
      </c>
      <c r="G549" t="n">
        <v>12</v>
      </c>
      <c r="H549" s="5" t="n">
        <v>8278.870000000001</v>
      </c>
      <c r="I549" s="5" t="n">
        <v>77269.48</v>
      </c>
      <c r="J549" s="5" t="n">
        <v>77269.48</v>
      </c>
      <c r="K549" s="4" t="n">
        <v>46209</v>
      </c>
      <c r="L549" s="5">
        <f>IF(I549="","",I549-J549)</f>
        <v/>
      </c>
      <c r="M549">
        <f>IF(K549="","",K549-B549)</f>
        <v/>
      </c>
    </row>
    <row r="550">
      <c r="A550" t="inlineStr">
        <is>
          <t>S-00293</t>
        </is>
      </c>
      <c r="B550" s="4" t="n">
        <v>46188</v>
      </c>
      <c r="C550" t="inlineStr">
        <is>
          <t>Lakshmi Cloth Store</t>
        </is>
      </c>
      <c r="D550" t="inlineStr">
        <is>
          <t>SALES</t>
        </is>
      </c>
      <c r="E550" t="inlineStr">
        <is>
          <t>Fabrics</t>
        </is>
      </c>
      <c r="F550" s="5" t="n">
        <v>31924.3</v>
      </c>
      <c r="G550" t="n">
        <v>5</v>
      </c>
      <c r="H550" s="5" t="n">
        <v>1596.21</v>
      </c>
      <c r="I550" s="5" t="n">
        <v>33520.51</v>
      </c>
      <c r="J550" s="5" t="n">
        <v>0</v>
      </c>
      <c r="K550" s="4" t="inlineStr"/>
      <c r="L550" s="5">
        <f>IF(I550="","",I550-J550)</f>
        <v/>
      </c>
      <c r="M550">
        <f>IF(K550="","",K550-B550)</f>
        <v/>
      </c>
    </row>
    <row r="551">
      <c r="A551" t="inlineStr">
        <is>
          <t>S-00294</t>
        </is>
      </c>
      <c r="B551" s="4" t="n">
        <v>46194</v>
      </c>
      <c r="C551" t="inlineStr">
        <is>
          <t>Vishal Mega Mart (franchise)</t>
        </is>
      </c>
      <c r="D551" t="inlineStr">
        <is>
          <t>SALES</t>
        </is>
      </c>
      <c r="E551" t="inlineStr">
        <is>
          <t>Garments</t>
        </is>
      </c>
      <c r="F551" s="5" t="n">
        <v>39849.6</v>
      </c>
      <c r="G551" t="n">
        <v>12</v>
      </c>
      <c r="H551" s="5" t="n">
        <v>4781.95</v>
      </c>
      <c r="I551" s="5" t="n">
        <v>44631.55</v>
      </c>
      <c r="J551" s="5" t="n">
        <v>44631.55</v>
      </c>
      <c r="K551" s="4" t="n">
        <v>46225</v>
      </c>
      <c r="L551" s="5">
        <f>IF(I551="","",I551-J551)</f>
        <v/>
      </c>
      <c r="M551">
        <f>IF(K551="","",K551-B551)</f>
        <v/>
      </c>
    </row>
    <row r="552">
      <c r="A552" t="inlineStr">
        <is>
          <t>S-00295</t>
        </is>
      </c>
      <c r="B552" s="4" t="n">
        <v>46198</v>
      </c>
      <c r="C552" t="inlineStr">
        <is>
          <t>Bazaar Collection</t>
        </is>
      </c>
      <c r="D552" t="inlineStr">
        <is>
          <t>SALES</t>
        </is>
      </c>
      <c r="E552" t="inlineStr">
        <is>
          <t>Fabrics</t>
        </is>
      </c>
      <c r="F552" s="5" t="n">
        <v>78547.31</v>
      </c>
      <c r="G552" t="n">
        <v>5</v>
      </c>
      <c r="H552" s="5" t="n">
        <v>3927.37</v>
      </c>
      <c r="I552" s="5" t="n">
        <v>82474.67999999999</v>
      </c>
      <c r="J552" s="5" t="n">
        <v>0</v>
      </c>
      <c r="K552" s="4" t="inlineStr"/>
      <c r="L552" s="5">
        <f>IF(I552="","",I552-J552)</f>
        <v/>
      </c>
      <c r="M552">
        <f>IF(K552="","",K552-B552)</f>
        <v/>
      </c>
    </row>
    <row r="553">
      <c r="A553" t="inlineStr">
        <is>
          <t>S-00296</t>
        </is>
      </c>
      <c r="B553" s="4" t="n">
        <v>46191</v>
      </c>
      <c r="C553" t="inlineStr">
        <is>
          <t>Vishal Mega Mart (franchise)</t>
        </is>
      </c>
      <c r="D553" t="inlineStr">
        <is>
          <t>SALES</t>
        </is>
      </c>
      <c r="E553" t="inlineStr">
        <is>
          <t>Fabrics</t>
        </is>
      </c>
      <c r="F553" s="5" t="n">
        <v>63313.57</v>
      </c>
      <c r="G553" t="n">
        <v>5</v>
      </c>
      <c r="H553" s="5" t="n">
        <v>3165.68</v>
      </c>
      <c r="I553" s="5" t="n">
        <v>66479.25</v>
      </c>
      <c r="J553" s="5" t="n">
        <v>66479.25</v>
      </c>
      <c r="K553" s="4" t="n">
        <v>46204</v>
      </c>
      <c r="L553" s="5">
        <f>IF(I553="","",I553-J553)</f>
        <v/>
      </c>
      <c r="M553">
        <f>IF(K553="","",K553-B553)</f>
        <v/>
      </c>
    </row>
    <row r="554">
      <c r="A554" t="inlineStr">
        <is>
          <t>S-00297</t>
        </is>
      </c>
      <c r="B554" s="4" t="n">
        <v>46184</v>
      </c>
      <c r="C554" t="inlineStr">
        <is>
          <t>Kumkum Saree Sadan</t>
        </is>
      </c>
      <c r="D554" t="inlineStr">
        <is>
          <t>SALES</t>
        </is>
      </c>
      <c r="E554" t="inlineStr">
        <is>
          <t>Garments</t>
        </is>
      </c>
      <c r="F554" s="5" t="n">
        <v>50923.16</v>
      </c>
      <c r="G554" t="n">
        <v>12</v>
      </c>
      <c r="H554" s="5" t="n">
        <v>6110.78</v>
      </c>
      <c r="I554" s="5" t="n">
        <v>57033.94</v>
      </c>
      <c r="J554" s="5" t="n">
        <v>0</v>
      </c>
      <c r="K554" s="4" t="inlineStr"/>
      <c r="L554" s="5">
        <f>IF(I554="","",I554-J554)</f>
        <v/>
      </c>
      <c r="M554">
        <f>IF(K554="","",K554-B554)</f>
        <v/>
      </c>
    </row>
    <row r="555">
      <c r="A555" t="inlineStr">
        <is>
          <t>S-00298</t>
        </is>
      </c>
      <c r="B555" s="4" t="n">
        <v>46181</v>
      </c>
      <c r="C555" t="inlineStr">
        <is>
          <t>Vishal Mega Mart (franchise)</t>
        </is>
      </c>
      <c r="D555" t="inlineStr">
        <is>
          <t>SALES</t>
        </is>
      </c>
      <c r="E555" t="inlineStr">
        <is>
          <t>Garments</t>
        </is>
      </c>
      <c r="F555" s="5" t="n">
        <v>72590.44</v>
      </c>
      <c r="G555" t="n">
        <v>12</v>
      </c>
      <c r="H555" s="5" t="n">
        <v>8710.85</v>
      </c>
      <c r="I555" s="5" t="n">
        <v>81301.28999999999</v>
      </c>
      <c r="J555" s="5" t="n">
        <v>81301.28999999999</v>
      </c>
      <c r="K555" s="4" t="n">
        <v>46206</v>
      </c>
      <c r="L555" s="5">
        <f>IF(I555="","",I555-J555)</f>
        <v/>
      </c>
      <c r="M555">
        <f>IF(K555="","",K555-B555)</f>
        <v/>
      </c>
    </row>
    <row r="556">
      <c r="A556" t="inlineStr">
        <is>
          <t>S-00299</t>
        </is>
      </c>
      <c r="B556" s="4" t="n">
        <v>46201</v>
      </c>
      <c r="C556" t="inlineStr">
        <is>
          <t>Lakshmi Cloth Store</t>
        </is>
      </c>
      <c r="D556" t="inlineStr">
        <is>
          <t>SALES</t>
        </is>
      </c>
      <c r="E556" t="inlineStr">
        <is>
          <t>Fabrics</t>
        </is>
      </c>
      <c r="F556" s="5" t="n">
        <v>52055.23</v>
      </c>
      <c r="G556" t="n">
        <v>5</v>
      </c>
      <c r="H556" s="5" t="n">
        <v>2602.76</v>
      </c>
      <c r="I556" s="5" t="n">
        <v>54657.99</v>
      </c>
      <c r="J556" s="5" t="n">
        <v>0</v>
      </c>
      <c r="K556" s="4" t="inlineStr"/>
      <c r="L556" s="5">
        <f>IF(I556="","",I556-J556)</f>
        <v/>
      </c>
      <c r="M556">
        <f>IF(K556="","",K556-B556)</f>
        <v/>
      </c>
    </row>
    <row r="557">
      <c r="A557" t="inlineStr">
        <is>
          <t>P-00137</t>
        </is>
      </c>
      <c r="B557" s="4" t="n">
        <v>46183</v>
      </c>
      <c r="C557" t="inlineStr">
        <is>
          <t>Jaipur Print Works</t>
        </is>
      </c>
      <c r="D557" t="inlineStr">
        <is>
          <t>PURCHASE</t>
        </is>
      </c>
      <c r="E557" t="inlineStr">
        <is>
          <t>Inventory purchases</t>
        </is>
      </c>
      <c r="F557" s="5" t="n">
        <v>53250.77</v>
      </c>
      <c r="G557" t="n">
        <v>5</v>
      </c>
      <c r="H557" s="5" t="n">
        <v>2662.54</v>
      </c>
      <c r="I557" s="5" t="n">
        <v>55913.31</v>
      </c>
      <c r="J557" s="5" t="n">
        <v>55913.31</v>
      </c>
      <c r="K557" s="4" t="n">
        <v>46212</v>
      </c>
      <c r="L557" s="5">
        <f>IF(I557="","",I557-J557)</f>
        <v/>
      </c>
      <c r="M557">
        <f>IF(K557="","",K557-B557)</f>
        <v/>
      </c>
    </row>
    <row r="558">
      <c r="A558" t="inlineStr">
        <is>
          <t>P-00138</t>
        </is>
      </c>
      <c r="B558" s="4" t="n">
        <v>46201</v>
      </c>
      <c r="C558" t="inlineStr">
        <is>
          <t>Kolkata Hosiery House</t>
        </is>
      </c>
      <c r="D558" t="inlineStr">
        <is>
          <t>PURCHASE</t>
        </is>
      </c>
      <c r="E558" t="inlineStr">
        <is>
          <t>Inventory purchases</t>
        </is>
      </c>
      <c r="F558" s="5" t="n">
        <v>12604.21</v>
      </c>
      <c r="G558" t="n">
        <v>5</v>
      </c>
      <c r="H558" s="5" t="n">
        <v>630.21</v>
      </c>
      <c r="I558" s="5" t="n">
        <v>13234.42</v>
      </c>
      <c r="J558" s="5" t="n">
        <v>13234.42</v>
      </c>
      <c r="K558" s="4" t="n">
        <v>46227</v>
      </c>
      <c r="L558" s="5">
        <f>IF(I558="","",I558-J558)</f>
        <v/>
      </c>
      <c r="M558">
        <f>IF(K558="","",K558-B558)</f>
        <v/>
      </c>
    </row>
    <row r="559">
      <c r="A559" t="inlineStr">
        <is>
          <t>P-00139</t>
        </is>
      </c>
      <c r="B559" s="4" t="n">
        <v>46186</v>
      </c>
      <c r="C559" t="inlineStr">
        <is>
          <t>Delhi Fabric Suppliers</t>
        </is>
      </c>
      <c r="D559" t="inlineStr">
        <is>
          <t>PURCHASE</t>
        </is>
      </c>
      <c r="E559" t="inlineStr">
        <is>
          <t>Inventory purchases</t>
        </is>
      </c>
      <c r="F559" s="5" t="n">
        <v>90059.92999999999</v>
      </c>
      <c r="G559" t="n">
        <v>5</v>
      </c>
      <c r="H559" s="5" t="n">
        <v>4503</v>
      </c>
      <c r="I559" s="5" t="n">
        <v>94562.92999999999</v>
      </c>
      <c r="J559" s="5" t="n">
        <v>94562.92999999999</v>
      </c>
      <c r="K559" s="4" t="n">
        <v>46198</v>
      </c>
      <c r="L559" s="5">
        <f>IF(I559="","",I559-J559)</f>
        <v/>
      </c>
      <c r="M559">
        <f>IF(K559="","",K559-B559)</f>
        <v/>
      </c>
    </row>
    <row r="560">
      <c r="A560" t="inlineStr">
        <is>
          <t>P-00140</t>
        </is>
      </c>
      <c r="B560" s="4" t="n">
        <v>46182</v>
      </c>
      <c r="C560" t="inlineStr">
        <is>
          <t>Tiruppur Garment Works</t>
        </is>
      </c>
      <c r="D560" t="inlineStr">
        <is>
          <t>PURCHASE</t>
        </is>
      </c>
      <c r="E560" t="inlineStr">
        <is>
          <t>Inventory purchases</t>
        </is>
      </c>
      <c r="F560" s="5" t="n">
        <v>64901.91</v>
      </c>
      <c r="G560" t="n">
        <v>5</v>
      </c>
      <c r="H560" s="5" t="n">
        <v>3245.1</v>
      </c>
      <c r="I560" s="5" t="n">
        <v>68147.00999999999</v>
      </c>
      <c r="J560" s="5" t="n">
        <v>68147.00999999999</v>
      </c>
      <c r="K560" s="4" t="n">
        <v>46188</v>
      </c>
      <c r="L560" s="5">
        <f>IF(I560="","",I560-J560)</f>
        <v/>
      </c>
      <c r="M560">
        <f>IF(K560="","",K560-B560)</f>
        <v/>
      </c>
    </row>
    <row r="561">
      <c r="A561" t="inlineStr">
        <is>
          <t>P-00141</t>
        </is>
      </c>
      <c r="B561" s="4" t="n">
        <v>46190</v>
      </c>
      <c r="C561" t="inlineStr">
        <is>
          <t>Delhi Fabric Suppliers</t>
        </is>
      </c>
      <c r="D561" t="inlineStr">
        <is>
          <t>PURCHASE</t>
        </is>
      </c>
      <c r="E561" t="inlineStr">
        <is>
          <t>Inventory purchases</t>
        </is>
      </c>
      <c r="F561" s="5" t="n">
        <v>38275.15</v>
      </c>
      <c r="G561" t="n">
        <v>5</v>
      </c>
      <c r="H561" s="5" t="n">
        <v>1913.76</v>
      </c>
      <c r="I561" s="5" t="n">
        <v>40188.91</v>
      </c>
      <c r="J561" s="5" t="n">
        <v>40188.91</v>
      </c>
      <c r="K561" s="4" t="n">
        <v>46217</v>
      </c>
      <c r="L561" s="5">
        <f>IF(I561="","",I561-J561)</f>
        <v/>
      </c>
      <c r="M561">
        <f>IF(K561="","",K561-B561)</f>
        <v/>
      </c>
    </row>
    <row r="562">
      <c r="A562" t="inlineStr">
        <is>
          <t>P-00142</t>
        </is>
      </c>
      <c r="B562" s="4" t="n">
        <v>46192</v>
      </c>
      <c r="C562" t="inlineStr">
        <is>
          <t>Surat Textile Mills</t>
        </is>
      </c>
      <c r="D562" t="inlineStr">
        <is>
          <t>PURCHASE</t>
        </is>
      </c>
      <c r="E562" t="inlineStr">
        <is>
          <t>Inventory purchases</t>
        </is>
      </c>
      <c r="F562" s="5" t="n">
        <v>42953.51</v>
      </c>
      <c r="G562" t="n">
        <v>5</v>
      </c>
      <c r="H562" s="5" t="n">
        <v>2147.68</v>
      </c>
      <c r="I562" s="5" t="n">
        <v>45101.19</v>
      </c>
      <c r="J562" s="5" t="n">
        <v>45101.19</v>
      </c>
      <c r="K562" s="4" t="n">
        <v>46214</v>
      </c>
      <c r="L562" s="5">
        <f>IF(I562="","",I562-J562)</f>
        <v/>
      </c>
      <c r="M562">
        <f>IF(K562="","",K562-B562)</f>
        <v/>
      </c>
    </row>
    <row r="563">
      <c r="A563" t="inlineStr">
        <is>
          <t>P-00143</t>
        </is>
      </c>
      <c r="B563" s="4" t="n">
        <v>46194</v>
      </c>
      <c r="C563" t="inlineStr">
        <is>
          <t>Tiruppur Garment Works</t>
        </is>
      </c>
      <c r="D563" t="inlineStr">
        <is>
          <t>PURCHASE</t>
        </is>
      </c>
      <c r="E563" t="inlineStr">
        <is>
          <t>Inventory purchases</t>
        </is>
      </c>
      <c r="F563" s="5" t="n">
        <v>95166.16</v>
      </c>
      <c r="G563" t="n">
        <v>5</v>
      </c>
      <c r="H563" s="5" t="n">
        <v>4758.31</v>
      </c>
      <c r="I563" s="5" t="n">
        <v>99924.47</v>
      </c>
      <c r="J563" s="5" t="n">
        <v>99924.47</v>
      </c>
      <c r="K563" s="4" t="n">
        <v>46214</v>
      </c>
      <c r="L563" s="5">
        <f>IF(I563="","",I563-J563)</f>
        <v/>
      </c>
      <c r="M563">
        <f>IF(K563="","",K563-B563)</f>
        <v/>
      </c>
    </row>
    <row r="564">
      <c r="A564" t="inlineStr">
        <is>
          <t>P-00144</t>
        </is>
      </c>
      <c r="B564" s="4" t="n">
        <v>46202</v>
      </c>
      <c r="C564" t="inlineStr">
        <is>
          <t>Kolkata Hosiery House</t>
        </is>
      </c>
      <c r="D564" t="inlineStr">
        <is>
          <t>PURCHASE</t>
        </is>
      </c>
      <c r="E564" t="inlineStr">
        <is>
          <t>Inventory purchases</t>
        </is>
      </c>
      <c r="F564" s="5" t="n">
        <v>64053.66</v>
      </c>
      <c r="G564" t="n">
        <v>5</v>
      </c>
      <c r="H564" s="5" t="n">
        <v>3202.68</v>
      </c>
      <c r="I564" s="5" t="n">
        <v>67256.34</v>
      </c>
      <c r="J564" s="5" t="n">
        <v>67256.34</v>
      </c>
      <c r="K564" s="4" t="n">
        <v>46212</v>
      </c>
      <c r="L564" s="5">
        <f>IF(I564="","",I564-J564)</f>
        <v/>
      </c>
      <c r="M564">
        <f>IF(K564="","",K564-B564)</f>
        <v/>
      </c>
    </row>
    <row r="565">
      <c r="A565" t="inlineStr">
        <is>
          <t>P-00145</t>
        </is>
      </c>
      <c r="B565" s="4" t="n">
        <v>46195</v>
      </c>
      <c r="C565" t="inlineStr">
        <is>
          <t>Surat Textile Mills</t>
        </is>
      </c>
      <c r="D565" t="inlineStr">
        <is>
          <t>PURCHASE</t>
        </is>
      </c>
      <c r="E565" t="inlineStr">
        <is>
          <t>Inventory purchases</t>
        </is>
      </c>
      <c r="F565" s="5" t="n">
        <v>43647.74</v>
      </c>
      <c r="G565" t="n">
        <v>5</v>
      </c>
      <c r="H565" s="5" t="n">
        <v>2182.39</v>
      </c>
      <c r="I565" s="5" t="n">
        <v>45830.13</v>
      </c>
      <c r="J565" s="5" t="n">
        <v>45830.13</v>
      </c>
      <c r="K565" s="4" t="n">
        <v>46214</v>
      </c>
      <c r="L565" s="5">
        <f>IF(I565="","",I565-J565)</f>
        <v/>
      </c>
      <c r="M565">
        <f>IF(K565="","",K565-B565)</f>
        <v/>
      </c>
    </row>
    <row r="566">
      <c r="A566" t="inlineStr">
        <is>
          <t>P-00146</t>
        </is>
      </c>
      <c r="B566" s="4" t="n">
        <v>46197</v>
      </c>
      <c r="C566" t="inlineStr">
        <is>
          <t>Delhi Fabric Suppliers</t>
        </is>
      </c>
      <c r="D566" t="inlineStr">
        <is>
          <t>PURCHASE</t>
        </is>
      </c>
      <c r="E566" t="inlineStr">
        <is>
          <t>Inventory purchases</t>
        </is>
      </c>
      <c r="F566" s="5" t="n">
        <v>64011.87</v>
      </c>
      <c r="G566" t="n">
        <v>5</v>
      </c>
      <c r="H566" s="5" t="n">
        <v>3200.59</v>
      </c>
      <c r="I566" s="5" t="n">
        <v>67212.46000000001</v>
      </c>
      <c r="J566" s="5" t="n">
        <v>67212.46000000001</v>
      </c>
      <c r="K566" s="4" t="n">
        <v>46222</v>
      </c>
      <c r="L566" s="5">
        <f>IF(I566="","",I566-J566)</f>
        <v/>
      </c>
      <c r="M566">
        <f>IF(K566="","",K566-B566)</f>
        <v/>
      </c>
    </row>
    <row r="567">
      <c r="A567" t="inlineStr">
        <is>
          <t>P-00147</t>
        </is>
      </c>
      <c r="B567" s="4" t="n">
        <v>46201</v>
      </c>
      <c r="C567" t="inlineStr">
        <is>
          <t>Kolkata Hosiery House</t>
        </is>
      </c>
      <c r="D567" t="inlineStr">
        <is>
          <t>PURCHASE</t>
        </is>
      </c>
      <c r="E567" t="inlineStr">
        <is>
          <t>Inventory purchases</t>
        </is>
      </c>
      <c r="F567" s="5" t="n">
        <v>34575.73</v>
      </c>
      <c r="G567" t="n">
        <v>5</v>
      </c>
      <c r="H567" s="5" t="n">
        <v>1728.79</v>
      </c>
      <c r="I567" s="5" t="n">
        <v>36304.52</v>
      </c>
      <c r="J567" s="5" t="n">
        <v>36304.52</v>
      </c>
      <c r="K567" s="4" t="n">
        <v>46212</v>
      </c>
      <c r="L567" s="5">
        <f>IF(I567="","",I567-J567)</f>
        <v/>
      </c>
      <c r="M567">
        <f>IF(K567="","",K567-B567)</f>
        <v/>
      </c>
    </row>
    <row r="568">
      <c r="A568" t="inlineStr">
        <is>
          <t>P-00148</t>
        </is>
      </c>
      <c r="B568" s="4" t="n">
        <v>46183</v>
      </c>
      <c r="C568" t="inlineStr">
        <is>
          <t>Delhi Fabric Suppliers</t>
        </is>
      </c>
      <c r="D568" t="inlineStr">
        <is>
          <t>PURCHASE</t>
        </is>
      </c>
      <c r="E568" t="inlineStr">
        <is>
          <t>Inventory purchases</t>
        </is>
      </c>
      <c r="F568" s="5" t="n">
        <v>14993.98</v>
      </c>
      <c r="G568" t="n">
        <v>5</v>
      </c>
      <c r="H568" s="5" t="n">
        <v>749.7</v>
      </c>
      <c r="I568" s="5" t="n">
        <v>15743.68</v>
      </c>
      <c r="J568" s="5" t="n">
        <v>15743.68</v>
      </c>
      <c r="K568" s="4" t="n">
        <v>46214</v>
      </c>
      <c r="L568" s="5">
        <f>IF(I568="","",I568-J568)</f>
        <v/>
      </c>
      <c r="M568">
        <f>IF(K568="","",K568-B568)</f>
        <v/>
      </c>
    </row>
    <row r="569">
      <c r="A569" t="inlineStr">
        <is>
          <t>P-00149</t>
        </is>
      </c>
      <c r="B569" s="4" t="n">
        <v>46196</v>
      </c>
      <c r="C569" t="inlineStr">
        <is>
          <t>Ludhiana Knitwear Co</t>
        </is>
      </c>
      <c r="D569" t="inlineStr">
        <is>
          <t>PURCHASE</t>
        </is>
      </c>
      <c r="E569" t="inlineStr">
        <is>
          <t>Inventory purchases</t>
        </is>
      </c>
      <c r="F569" s="5" t="n">
        <v>103097.79</v>
      </c>
      <c r="G569" t="n">
        <v>5</v>
      </c>
      <c r="H569" s="5" t="n">
        <v>5154.89</v>
      </c>
      <c r="I569" s="5" t="n">
        <v>108252.68</v>
      </c>
      <c r="J569" s="5" t="n">
        <v>68781.61</v>
      </c>
      <c r="K569" s="4" t="n">
        <v>46215</v>
      </c>
      <c r="L569" s="5">
        <f>IF(I569="","",I569-J569)</f>
        <v/>
      </c>
      <c r="M569">
        <f>IF(K569="","",K569-B569)</f>
        <v/>
      </c>
    </row>
    <row r="570">
      <c r="A570" t="inlineStr">
        <is>
          <t>P-00150</t>
        </is>
      </c>
      <c r="B570" s="4" t="n">
        <v>46185</v>
      </c>
      <c r="C570" t="inlineStr">
        <is>
          <t>Surat Textile Mills</t>
        </is>
      </c>
      <c r="D570" t="inlineStr">
        <is>
          <t>PURCHASE</t>
        </is>
      </c>
      <c r="E570" t="inlineStr">
        <is>
          <t>Inventory purchases</t>
        </is>
      </c>
      <c r="F570" s="5" t="n">
        <v>110424.48</v>
      </c>
      <c r="G570" t="n">
        <v>5</v>
      </c>
      <c r="H570" s="5" t="n">
        <v>5521.22</v>
      </c>
      <c r="I570" s="5" t="n">
        <v>115945.7</v>
      </c>
      <c r="J570" s="5" t="n">
        <v>115945.7</v>
      </c>
      <c r="K570" s="4" t="n">
        <v>46193</v>
      </c>
      <c r="L570" s="5">
        <f>IF(I570="","",I570-J570)</f>
        <v/>
      </c>
      <c r="M570">
        <f>IF(K570="","",K570-B570)</f>
        <v/>
      </c>
    </row>
    <row r="571">
      <c r="A571" t="inlineStr">
        <is>
          <t>P-00151</t>
        </is>
      </c>
      <c r="B571" s="4" t="n">
        <v>46201</v>
      </c>
      <c r="C571" t="inlineStr">
        <is>
          <t>Delhi Fabric Suppliers</t>
        </is>
      </c>
      <c r="D571" t="inlineStr">
        <is>
          <t>PURCHASE</t>
        </is>
      </c>
      <c r="E571" t="inlineStr">
        <is>
          <t>Inventory purchases</t>
        </is>
      </c>
      <c r="F571" s="5" t="n">
        <v>65639.57000000001</v>
      </c>
      <c r="G571" t="n">
        <v>5</v>
      </c>
      <c r="H571" s="5" t="n">
        <v>3281.98</v>
      </c>
      <c r="I571" s="5" t="n">
        <v>68921.55</v>
      </c>
      <c r="J571" s="5" t="n">
        <v>68921.55</v>
      </c>
      <c r="K571" s="4" t="n">
        <v>46228</v>
      </c>
      <c r="L571" s="5">
        <f>IF(I571="","",I571-J571)</f>
        <v/>
      </c>
      <c r="M571">
        <f>IF(K571="","",K571-B571)</f>
        <v/>
      </c>
    </row>
    <row r="572">
      <c r="A572" t="inlineStr">
        <is>
          <t>P-00152</t>
        </is>
      </c>
      <c r="B572" s="4" t="n">
        <v>46182</v>
      </c>
      <c r="C572" t="inlineStr">
        <is>
          <t>Tiruppur Garment Works</t>
        </is>
      </c>
      <c r="D572" t="inlineStr">
        <is>
          <t>PURCHASE</t>
        </is>
      </c>
      <c r="E572" t="inlineStr">
        <is>
          <t>Inventory purchases</t>
        </is>
      </c>
      <c r="F572" s="5" t="n">
        <v>91842.71000000001</v>
      </c>
      <c r="G572" t="n">
        <v>5</v>
      </c>
      <c r="H572" s="5" t="n">
        <v>4592.14</v>
      </c>
      <c r="I572" s="5" t="n">
        <v>96434.85000000001</v>
      </c>
      <c r="J572" s="5" t="n">
        <v>96434.85000000001</v>
      </c>
      <c r="K572" s="4" t="n">
        <v>46191</v>
      </c>
      <c r="L572" s="5">
        <f>IF(I572="","",I572-J572)</f>
        <v/>
      </c>
      <c r="M572">
        <f>IF(K572="","",K572-B572)</f>
        <v/>
      </c>
    </row>
    <row r="573">
      <c r="A573" t="inlineStr">
        <is>
          <t>P-00153</t>
        </is>
      </c>
      <c r="B573" s="4" t="n">
        <v>46181</v>
      </c>
      <c r="C573" t="inlineStr">
        <is>
          <t>Kolkata Hosiery House</t>
        </is>
      </c>
      <c r="D573" t="inlineStr">
        <is>
          <t>PURCHASE</t>
        </is>
      </c>
      <c r="E573" t="inlineStr">
        <is>
          <t>Inventory purchases</t>
        </is>
      </c>
      <c r="F573" s="5" t="n">
        <v>57217.94</v>
      </c>
      <c r="G573" t="n">
        <v>5</v>
      </c>
      <c r="H573" s="5" t="n">
        <v>2860.9</v>
      </c>
      <c r="I573" s="5" t="n">
        <v>60078.84</v>
      </c>
      <c r="J573" s="5" t="n">
        <v>60078.84</v>
      </c>
      <c r="K573" s="4" t="n">
        <v>46205</v>
      </c>
      <c r="L573" s="5">
        <f>IF(I573="","",I573-J573)</f>
        <v/>
      </c>
      <c r="M573">
        <f>IF(K573="","",K573-B573)</f>
        <v/>
      </c>
    </row>
    <row r="574">
      <c r="A574" t="inlineStr">
        <is>
          <t>P-00154</t>
        </is>
      </c>
      <c r="B574" s="4" t="n">
        <v>46203</v>
      </c>
      <c r="C574" t="inlineStr">
        <is>
          <t>Surat Textile Mills</t>
        </is>
      </c>
      <c r="D574" t="inlineStr">
        <is>
          <t>PURCHASE</t>
        </is>
      </c>
      <c r="E574" t="inlineStr">
        <is>
          <t>Inventory purchases</t>
        </is>
      </c>
      <c r="F574" s="5" t="n">
        <v>48895.09</v>
      </c>
      <c r="G574" t="n">
        <v>5</v>
      </c>
      <c r="H574" s="5" t="n">
        <v>2444.75</v>
      </c>
      <c r="I574" s="5" t="n">
        <v>51339.84</v>
      </c>
      <c r="J574" s="5" t="n">
        <v>51339.84</v>
      </c>
      <c r="K574" s="4" t="n">
        <v>46211</v>
      </c>
      <c r="L574" s="5">
        <f>IF(I574="","",I574-J574)</f>
        <v/>
      </c>
      <c r="M574">
        <f>IF(K574="","",K574-B574)</f>
        <v/>
      </c>
    </row>
    <row r="575">
      <c r="A575" t="inlineStr">
        <is>
          <t>E-00121</t>
        </is>
      </c>
      <c r="B575" s="4" t="n">
        <v>46201</v>
      </c>
      <c r="C575" t="inlineStr">
        <is>
          <t>Various</t>
        </is>
      </c>
      <c r="D575" t="inlineStr">
        <is>
          <t>EXPENSE</t>
        </is>
      </c>
      <c r="E575" t="inlineStr">
        <is>
          <t>Rent</t>
        </is>
      </c>
      <c r="F575" s="5" t="n">
        <v>25151.55</v>
      </c>
      <c r="G575" t="n">
        <v>18</v>
      </c>
      <c r="H575" s="5" t="n">
        <v>4527.28</v>
      </c>
      <c r="I575" s="5" t="n">
        <v>29678.83</v>
      </c>
      <c r="J575" s="5" t="n">
        <v>29678.83</v>
      </c>
      <c r="K575" s="4" t="n">
        <v>46204</v>
      </c>
      <c r="L575" s="5">
        <f>IF(I575="","",I575-J575)</f>
        <v/>
      </c>
      <c r="M575">
        <f>IF(K575="","",K575-B575)</f>
        <v/>
      </c>
    </row>
    <row r="576">
      <c r="A576" t="inlineStr">
        <is>
          <t>E-00122</t>
        </is>
      </c>
      <c r="B576" s="4" t="n">
        <v>46188</v>
      </c>
      <c r="C576" t="inlineStr">
        <is>
          <t>Various</t>
        </is>
      </c>
      <c r="D576" t="inlineStr">
        <is>
          <t>EXPENSE</t>
        </is>
      </c>
      <c r="E576" t="inlineStr">
        <is>
          <t>Salaries</t>
        </is>
      </c>
      <c r="F576" s="5" t="n">
        <v>84829.63</v>
      </c>
      <c r="G576" t="n">
        <v>0</v>
      </c>
      <c r="H576" s="5" t="n">
        <v>0</v>
      </c>
      <c r="I576" s="5" t="n">
        <v>84829.63</v>
      </c>
      <c r="J576" s="5" t="n">
        <v>84829.63</v>
      </c>
      <c r="K576" s="4" t="n">
        <v>46190</v>
      </c>
      <c r="L576" s="5">
        <f>IF(I576="","",I576-J576)</f>
        <v/>
      </c>
      <c r="M576">
        <f>IF(K576="","",K576-B576)</f>
        <v/>
      </c>
    </row>
    <row r="577">
      <c r="A577" t="inlineStr">
        <is>
          <t>E-00123</t>
        </is>
      </c>
      <c r="B577" s="4" t="n">
        <v>46182</v>
      </c>
      <c r="C577" t="inlineStr">
        <is>
          <t>Various</t>
        </is>
      </c>
      <c r="D577" t="inlineStr">
        <is>
          <t>EXPENSE</t>
        </is>
      </c>
      <c r="E577" t="inlineStr">
        <is>
          <t>Utilities</t>
        </is>
      </c>
      <c r="F577" s="5" t="n">
        <v>6626.21</v>
      </c>
      <c r="G577" t="n">
        <v>18</v>
      </c>
      <c r="H577" s="5" t="n">
        <v>1192.72</v>
      </c>
      <c r="I577" s="5" t="n">
        <v>7818.93</v>
      </c>
      <c r="J577" s="5" t="n">
        <v>7818.93</v>
      </c>
      <c r="K577" s="4" t="n">
        <v>46184</v>
      </c>
      <c r="L577" s="5">
        <f>IF(I577="","",I577-J577)</f>
        <v/>
      </c>
      <c r="M577">
        <f>IF(K577="","",K577-B577)</f>
        <v/>
      </c>
    </row>
    <row r="578">
      <c r="A578" t="inlineStr">
        <is>
          <t>E-00124</t>
        </is>
      </c>
      <c r="B578" s="4" t="n">
        <v>46175</v>
      </c>
      <c r="C578" t="inlineStr">
        <is>
          <t>Various</t>
        </is>
      </c>
      <c r="D578" t="inlineStr">
        <is>
          <t>EXPENSE</t>
        </is>
      </c>
      <c r="E578" t="inlineStr">
        <is>
          <t>Transport</t>
        </is>
      </c>
      <c r="F578" s="5" t="n">
        <v>4408.24</v>
      </c>
      <c r="G578" t="n">
        <v>5</v>
      </c>
      <c r="H578" s="5" t="n">
        <v>220.41</v>
      </c>
      <c r="I578" s="5" t="n">
        <v>4628.65</v>
      </c>
      <c r="J578" s="5" t="n">
        <v>4628.65</v>
      </c>
      <c r="K578" s="4" t="n">
        <v>46176</v>
      </c>
      <c r="L578" s="5">
        <f>IF(I578="","",I578-J578)</f>
        <v/>
      </c>
      <c r="M578">
        <f>IF(K578="","",K578-B578)</f>
        <v/>
      </c>
    </row>
    <row r="579">
      <c r="A579" t="inlineStr">
        <is>
          <t>E-00125</t>
        </is>
      </c>
      <c r="B579" s="4" t="n">
        <v>46180</v>
      </c>
      <c r="C579" t="inlineStr">
        <is>
          <t>Various</t>
        </is>
      </c>
      <c r="D579" t="inlineStr">
        <is>
          <t>EXPENSE</t>
        </is>
      </c>
      <c r="E579" t="inlineStr">
        <is>
          <t>Transport</t>
        </is>
      </c>
      <c r="F579" s="5" t="n">
        <v>3013.55</v>
      </c>
      <c r="G579" t="n">
        <v>5</v>
      </c>
      <c r="H579" s="5" t="n">
        <v>150.68</v>
      </c>
      <c r="I579" s="5" t="n">
        <v>3164.23</v>
      </c>
      <c r="J579" s="5" t="n">
        <v>3164.23</v>
      </c>
      <c r="K579" s="4" t="n">
        <v>46182</v>
      </c>
      <c r="L579" s="5">
        <f>IF(I579="","",I579-J579)</f>
        <v/>
      </c>
      <c r="M579">
        <f>IF(K579="","",K579-B579)</f>
        <v/>
      </c>
    </row>
    <row r="580">
      <c r="A580" t="inlineStr">
        <is>
          <t>E-00126</t>
        </is>
      </c>
      <c r="B580" s="4" t="n">
        <v>46184</v>
      </c>
      <c r="C580" t="inlineStr">
        <is>
          <t>Various</t>
        </is>
      </c>
      <c r="D580" t="inlineStr">
        <is>
          <t>EXPENSE</t>
        </is>
      </c>
      <c r="E580" t="inlineStr">
        <is>
          <t>Transport</t>
        </is>
      </c>
      <c r="F580" s="5" t="n">
        <v>4190.36</v>
      </c>
      <c r="G580" t="n">
        <v>5</v>
      </c>
      <c r="H580" s="5" t="n">
        <v>209.52</v>
      </c>
      <c r="I580" s="5" t="n">
        <v>4399.88</v>
      </c>
      <c r="J580" s="5" t="n">
        <v>4399.88</v>
      </c>
      <c r="K580" s="4" t="n">
        <v>46186</v>
      </c>
      <c r="L580" s="5">
        <f>IF(I580="","",I580-J580)</f>
        <v/>
      </c>
      <c r="M580">
        <f>IF(K580="","",K580-B580)</f>
        <v/>
      </c>
    </row>
    <row r="581">
      <c r="A581" t="inlineStr">
        <is>
          <t>E-00127</t>
        </is>
      </c>
      <c r="B581" s="4" t="n">
        <v>46203</v>
      </c>
      <c r="C581" t="inlineStr">
        <is>
          <t>Various</t>
        </is>
      </c>
      <c r="D581" t="inlineStr">
        <is>
          <t>EXPENSE</t>
        </is>
      </c>
      <c r="E581" t="inlineStr">
        <is>
          <t>Transport</t>
        </is>
      </c>
      <c r="F581" s="5" t="n">
        <v>2625.22</v>
      </c>
      <c r="G581" t="n">
        <v>5</v>
      </c>
      <c r="H581" s="5" t="n">
        <v>131.26</v>
      </c>
      <c r="I581" s="5" t="n">
        <v>2756.48</v>
      </c>
      <c r="J581" s="5" t="n">
        <v>2756.48</v>
      </c>
      <c r="K581" s="4" t="n">
        <v>46208</v>
      </c>
      <c r="L581" s="5">
        <f>IF(I581="","",I581-J581)</f>
        <v/>
      </c>
      <c r="M581">
        <f>IF(K581="","",K581-B581)</f>
        <v/>
      </c>
    </row>
    <row r="582">
      <c r="A582" t="inlineStr">
        <is>
          <t>E-00128</t>
        </is>
      </c>
      <c r="B582" s="4" t="n">
        <v>46191</v>
      </c>
      <c r="C582" t="inlineStr">
        <is>
          <t>Various</t>
        </is>
      </c>
      <c r="D582" t="inlineStr">
        <is>
          <t>EXPENSE</t>
        </is>
      </c>
      <c r="E582" t="inlineStr">
        <is>
          <t>Transport</t>
        </is>
      </c>
      <c r="F582" s="5" t="n">
        <v>6945.66</v>
      </c>
      <c r="G582" t="n">
        <v>5</v>
      </c>
      <c r="H582" s="5" t="n">
        <v>347.28</v>
      </c>
      <c r="I582" s="5" t="n">
        <v>7292.94</v>
      </c>
      <c r="J582" s="5" t="n">
        <v>7292.94</v>
      </c>
      <c r="K582" s="4" t="n">
        <v>46198</v>
      </c>
      <c r="L582" s="5">
        <f>IF(I582="","",I582-J582)</f>
        <v/>
      </c>
      <c r="M582">
        <f>IF(K582="","",K582-B582)</f>
        <v/>
      </c>
    </row>
    <row r="583">
      <c r="A583" t="inlineStr">
        <is>
          <t>E-00129</t>
        </is>
      </c>
      <c r="B583" s="4" t="n">
        <v>46197</v>
      </c>
      <c r="C583" t="inlineStr">
        <is>
          <t>Various</t>
        </is>
      </c>
      <c r="D583" t="inlineStr">
        <is>
          <t>EXPENSE</t>
        </is>
      </c>
      <c r="E583" t="inlineStr">
        <is>
          <t>Transport</t>
        </is>
      </c>
      <c r="F583" s="5" t="n">
        <v>4173.03</v>
      </c>
      <c r="G583" t="n">
        <v>5</v>
      </c>
      <c r="H583" s="5" t="n">
        <v>208.65</v>
      </c>
      <c r="I583" s="5" t="n">
        <v>4381.68</v>
      </c>
      <c r="J583" s="5" t="n">
        <v>0</v>
      </c>
      <c r="K583" s="4" t="inlineStr"/>
      <c r="L583" s="5">
        <f>IF(I583="","",I583-J583)</f>
        <v/>
      </c>
      <c r="M583">
        <f>IF(K583="","",K583-B583)</f>
        <v/>
      </c>
    </row>
    <row r="584">
      <c r="A584" t="inlineStr">
        <is>
          <t>E-00130</t>
        </is>
      </c>
      <c r="B584" s="4" t="n">
        <v>46198</v>
      </c>
      <c r="C584" t="inlineStr">
        <is>
          <t>Various</t>
        </is>
      </c>
      <c r="D584" t="inlineStr">
        <is>
          <t>EXPENSE</t>
        </is>
      </c>
      <c r="E584" t="inlineStr">
        <is>
          <t>Marketing</t>
        </is>
      </c>
      <c r="F584" s="5" t="n">
        <v>12893.45</v>
      </c>
      <c r="G584" t="n">
        <v>18</v>
      </c>
      <c r="H584" s="5" t="n">
        <v>2320.82</v>
      </c>
      <c r="I584" s="5" t="n">
        <v>15214.27</v>
      </c>
      <c r="J584" s="5" t="n">
        <v>15214.27</v>
      </c>
      <c r="K584" s="4" t="n">
        <v>46203</v>
      </c>
      <c r="L584" s="5">
        <f>IF(I584="","",I584-J584)</f>
        <v/>
      </c>
      <c r="M584">
        <f>IF(K584="","",K584-B584)</f>
        <v/>
      </c>
    </row>
    <row r="585">
      <c r="A585" t="inlineStr">
        <is>
          <t>E-00131</t>
        </is>
      </c>
      <c r="B585" s="4" t="n">
        <v>46189</v>
      </c>
      <c r="C585" t="inlineStr">
        <is>
          <t>Various</t>
        </is>
      </c>
      <c r="D585" t="inlineStr">
        <is>
          <t>EXPENSE</t>
        </is>
      </c>
      <c r="E585" t="inlineStr">
        <is>
          <t>Marketing</t>
        </is>
      </c>
      <c r="F585" s="5" t="n">
        <v>24603.95</v>
      </c>
      <c r="G585" t="n">
        <v>18</v>
      </c>
      <c r="H585" s="5" t="n">
        <v>4428.71</v>
      </c>
      <c r="I585" s="5" t="n">
        <v>29032.66</v>
      </c>
      <c r="J585" s="5" t="n">
        <v>29032.66</v>
      </c>
      <c r="K585" s="4" t="n">
        <v>46197</v>
      </c>
      <c r="L585" s="5">
        <f>IF(I585="","",I585-J585)</f>
        <v/>
      </c>
      <c r="M585">
        <f>IF(K585="","",K585-B585)</f>
        <v/>
      </c>
    </row>
    <row r="586">
      <c r="A586" t="inlineStr">
        <is>
          <t>E-00132</t>
        </is>
      </c>
      <c r="B586" s="4" t="n">
        <v>46182</v>
      </c>
      <c r="C586" t="inlineStr">
        <is>
          <t>Various</t>
        </is>
      </c>
      <c r="D586" t="inlineStr">
        <is>
          <t>EXPENSE</t>
        </is>
      </c>
      <c r="E586" t="inlineStr">
        <is>
          <t>Professional fees</t>
        </is>
      </c>
      <c r="F586" s="5" t="n">
        <v>6959.68</v>
      </c>
      <c r="G586" t="n">
        <v>18</v>
      </c>
      <c r="H586" s="5" t="n">
        <v>1252.74</v>
      </c>
      <c r="I586" s="5" t="n">
        <v>8212.42</v>
      </c>
      <c r="J586" s="5" t="n">
        <v>8212.42</v>
      </c>
      <c r="K586" s="4" t="n">
        <v>46185</v>
      </c>
      <c r="L586" s="5">
        <f>IF(I586="","",I586-J586)</f>
        <v/>
      </c>
      <c r="M586">
        <f>IF(K586="","",K586-B586)</f>
        <v/>
      </c>
    </row>
    <row r="587">
      <c r="A587" t="inlineStr">
        <is>
          <t>E-00133</t>
        </is>
      </c>
      <c r="B587" s="4" t="n">
        <v>46203</v>
      </c>
      <c r="C587" t="inlineStr">
        <is>
          <t>Various</t>
        </is>
      </c>
      <c r="D587" t="inlineStr">
        <is>
          <t>EXPENSE</t>
        </is>
      </c>
      <c r="E587" t="inlineStr">
        <is>
          <t>Misc</t>
        </is>
      </c>
      <c r="F587" s="5" t="n">
        <v>5656.9</v>
      </c>
      <c r="G587" t="n">
        <v>18</v>
      </c>
      <c r="H587" s="5" t="n">
        <v>1018.24</v>
      </c>
      <c r="I587" s="5" t="n">
        <v>6675.14</v>
      </c>
      <c r="J587" s="5" t="n">
        <v>6675.14</v>
      </c>
      <c r="K587" s="4" t="n">
        <v>46210</v>
      </c>
      <c r="L587" s="5">
        <f>IF(I587="","",I587-J587)</f>
        <v/>
      </c>
      <c r="M587">
        <f>IF(K587="","",K587-B587)</f>
        <v/>
      </c>
    </row>
    <row r="588">
      <c r="A588" t="inlineStr">
        <is>
          <t>E-00134</t>
        </is>
      </c>
      <c r="B588" s="4" t="n">
        <v>46194</v>
      </c>
      <c r="C588" t="inlineStr">
        <is>
          <t>Various</t>
        </is>
      </c>
      <c r="D588" t="inlineStr">
        <is>
          <t>EXPENSE</t>
        </is>
      </c>
      <c r="E588" t="inlineStr">
        <is>
          <t>Misc</t>
        </is>
      </c>
      <c r="F588" s="5" t="n">
        <v>3374.05</v>
      </c>
      <c r="G588" t="n">
        <v>18</v>
      </c>
      <c r="H588" s="5" t="n">
        <v>607.33</v>
      </c>
      <c r="I588" s="5" t="n">
        <v>3981.38</v>
      </c>
      <c r="J588" s="5" t="n">
        <v>3981.38</v>
      </c>
      <c r="K588" s="4" t="n">
        <v>46196</v>
      </c>
      <c r="L588" s="5">
        <f>IF(I588="","",I588-J588)</f>
        <v/>
      </c>
      <c r="M588">
        <f>IF(K588="","",K588-B588)</f>
        <v/>
      </c>
    </row>
    <row r="589">
      <c r="A589" t="inlineStr">
        <is>
          <t>E-00135</t>
        </is>
      </c>
      <c r="B589" s="4" t="n">
        <v>46185</v>
      </c>
      <c r="C589" t="inlineStr">
        <is>
          <t>Various</t>
        </is>
      </c>
      <c r="D589" t="inlineStr">
        <is>
          <t>EXPENSE</t>
        </is>
      </c>
      <c r="E589" t="inlineStr">
        <is>
          <t>Misc</t>
        </is>
      </c>
      <c r="F589" s="5" t="n">
        <v>1481.92</v>
      </c>
      <c r="G589" t="n">
        <v>18</v>
      </c>
      <c r="H589" s="5" t="n">
        <v>266.75</v>
      </c>
      <c r="I589" s="5" t="n">
        <v>1748.67</v>
      </c>
      <c r="J589" s="5" t="n">
        <v>0</v>
      </c>
      <c r="K589" s="4" t="inlineStr"/>
      <c r="L589" s="5">
        <f>IF(I589="","",I589-J589)</f>
        <v/>
      </c>
      <c r="M589">
        <f>IF(K589="","",K589-B589)</f>
        <v/>
      </c>
    </row>
    <row r="590">
      <c r="A590" t="inlineStr">
        <is>
          <t>S-00300</t>
        </is>
      </c>
      <c r="B590" s="4" t="n">
        <v>46233</v>
      </c>
      <c r="C590" t="inlineStr">
        <is>
          <t>Vishal Mega Mart (franchise)</t>
        </is>
      </c>
      <c r="D590" t="inlineStr">
        <is>
          <t>SALES</t>
        </is>
      </c>
      <c r="E590" t="inlineStr">
        <is>
          <t>Accessories</t>
        </is>
      </c>
      <c r="F590" s="5" t="n">
        <v>76795.74000000001</v>
      </c>
      <c r="G590" t="n">
        <v>12</v>
      </c>
      <c r="H590" s="5" t="n">
        <v>9215.49</v>
      </c>
      <c r="I590" s="5" t="n">
        <v>86011.23</v>
      </c>
      <c r="J590" s="5" t="n">
        <v>0</v>
      </c>
      <c r="K590" s="4" t="inlineStr"/>
      <c r="L590" s="5">
        <f>IF(I590="","",I590-J590)</f>
        <v/>
      </c>
      <c r="M590">
        <f>IF(K590="","",K590-B590)</f>
        <v/>
      </c>
    </row>
    <row r="591">
      <c r="A591" t="inlineStr">
        <is>
          <t>S-00301</t>
        </is>
      </c>
      <c r="B591" s="4" t="n">
        <v>46218</v>
      </c>
      <c r="C591" t="inlineStr">
        <is>
          <t>Patna Fashion House</t>
        </is>
      </c>
      <c r="D591" t="inlineStr">
        <is>
          <t>SALES</t>
        </is>
      </c>
      <c r="E591" t="inlineStr">
        <is>
          <t>Accessories</t>
        </is>
      </c>
      <c r="F591" s="5" t="n">
        <v>93449.61</v>
      </c>
      <c r="G591" t="n">
        <v>12</v>
      </c>
      <c r="H591" s="5" t="n">
        <v>11213.95</v>
      </c>
      <c r="I591" s="5" t="n">
        <v>104663.56</v>
      </c>
      <c r="J591" s="5" t="n">
        <v>104663.56</v>
      </c>
      <c r="K591" s="4" t="n">
        <v>46252</v>
      </c>
      <c r="L591" s="5">
        <f>IF(I591="","",I591-J591)</f>
        <v/>
      </c>
      <c r="M591">
        <f>IF(K591="","",K591-B591)</f>
        <v/>
      </c>
    </row>
    <row r="592">
      <c r="A592" t="inlineStr">
        <is>
          <t>S-00302</t>
        </is>
      </c>
      <c r="B592" s="4" t="n">
        <v>46205</v>
      </c>
      <c r="C592" t="inlineStr">
        <is>
          <t>Lakshmi Cloth Store</t>
        </is>
      </c>
      <c r="D592" t="inlineStr">
        <is>
          <t>SALES</t>
        </is>
      </c>
      <c r="E592" t="inlineStr">
        <is>
          <t>Garments</t>
        </is>
      </c>
      <c r="F592" s="5" t="n">
        <v>51882.85</v>
      </c>
      <c r="G592" t="n">
        <v>12</v>
      </c>
      <c r="H592" s="5" t="n">
        <v>6225.94</v>
      </c>
      <c r="I592" s="5" t="n">
        <v>58108.79</v>
      </c>
      <c r="J592" s="5" t="n">
        <v>58108.79</v>
      </c>
      <c r="K592" s="4" t="n">
        <v>46241</v>
      </c>
      <c r="L592" s="5">
        <f>IF(I592="","",I592-J592)</f>
        <v/>
      </c>
      <c r="M592">
        <f>IF(K592="","",K592-B592)</f>
        <v/>
      </c>
    </row>
    <row r="593">
      <c r="A593" t="inlineStr">
        <is>
          <t>S-00303</t>
        </is>
      </c>
      <c r="B593" s="4" t="n">
        <v>46204</v>
      </c>
      <c r="C593" t="inlineStr">
        <is>
          <t>Darbhanga Dress Point</t>
        </is>
      </c>
      <c r="D593" t="inlineStr">
        <is>
          <t>SALES</t>
        </is>
      </c>
      <c r="E593" t="inlineStr">
        <is>
          <t>Garments</t>
        </is>
      </c>
      <c r="F593" s="5" t="n">
        <v>20374.7</v>
      </c>
      <c r="G593" t="n">
        <v>12</v>
      </c>
      <c r="H593" s="5" t="n">
        <v>2444.96</v>
      </c>
      <c r="I593" s="5" t="n">
        <v>22819.66</v>
      </c>
      <c r="J593" s="5" t="n">
        <v>0</v>
      </c>
      <c r="K593" s="4" t="inlineStr"/>
      <c r="L593" s="5">
        <f>IF(I593="","",I593-J593)</f>
        <v/>
      </c>
      <c r="M593">
        <f>IF(K593="","",K593-B593)</f>
        <v/>
      </c>
    </row>
    <row r="594">
      <c r="A594" t="inlineStr">
        <is>
          <t>S-00304</t>
        </is>
      </c>
      <c r="B594" s="4" t="n">
        <v>46225</v>
      </c>
      <c r="C594" t="inlineStr">
        <is>
          <t>Trendy Threads</t>
        </is>
      </c>
      <c r="D594" t="inlineStr">
        <is>
          <t>SALES</t>
        </is>
      </c>
      <c r="E594" t="inlineStr">
        <is>
          <t>Garments</t>
        </is>
      </c>
      <c r="F594" s="5" t="n">
        <v>40339.52</v>
      </c>
      <c r="G594" t="n">
        <v>12</v>
      </c>
      <c r="H594" s="5" t="n">
        <v>4840.74</v>
      </c>
      <c r="I594" s="5" t="n">
        <v>45180.26</v>
      </c>
      <c r="J594" s="5" t="n">
        <v>45180.26</v>
      </c>
      <c r="K594" s="4" t="n">
        <v>46260</v>
      </c>
      <c r="L594" s="5">
        <f>IF(I594="","",I594-J594)</f>
        <v/>
      </c>
      <c r="M594">
        <f>IF(K594="","",K594-B594)</f>
        <v/>
      </c>
    </row>
    <row r="595">
      <c r="A595" t="inlineStr">
        <is>
          <t>S-00305</t>
        </is>
      </c>
      <c r="B595" s="4" t="n">
        <v>46225</v>
      </c>
      <c r="C595" t="inlineStr">
        <is>
          <t>Sharma Retail Store</t>
        </is>
      </c>
      <c r="D595" t="inlineStr">
        <is>
          <t>SALES</t>
        </is>
      </c>
      <c r="E595" t="inlineStr">
        <is>
          <t>Garments</t>
        </is>
      </c>
      <c r="F595" s="5" t="n">
        <v>55460.79</v>
      </c>
      <c r="G595" t="n">
        <v>12</v>
      </c>
      <c r="H595" s="5" t="n">
        <v>6655.29</v>
      </c>
      <c r="I595" s="5" t="n">
        <v>62116.08</v>
      </c>
      <c r="J595" s="5" t="n">
        <v>62116.08</v>
      </c>
      <c r="K595" s="4" t="n">
        <v>46239</v>
      </c>
      <c r="L595" s="5">
        <f>IF(I595="","",I595-J595)</f>
        <v/>
      </c>
      <c r="M595">
        <f>IF(K595="","",K595-B595)</f>
        <v/>
      </c>
    </row>
    <row r="596">
      <c r="A596" t="inlineStr">
        <is>
          <t>S-00306</t>
        </is>
      </c>
      <c r="B596" s="4" t="n">
        <v>46208</v>
      </c>
      <c r="C596" t="inlineStr">
        <is>
          <t>Darbhanga Dress Point</t>
        </is>
      </c>
      <c r="D596" t="inlineStr">
        <is>
          <t>SALES</t>
        </is>
      </c>
      <c r="E596" t="inlineStr">
        <is>
          <t>Garments</t>
        </is>
      </c>
      <c r="F596" s="5" t="n">
        <v>62306.37</v>
      </c>
      <c r="G596" t="n">
        <v>12</v>
      </c>
      <c r="H596" s="5" t="n">
        <v>7476.76</v>
      </c>
      <c r="I596" s="5" t="n">
        <v>69783.13</v>
      </c>
      <c r="J596" s="5" t="n">
        <v>69783.13</v>
      </c>
      <c r="K596" s="4" t="n">
        <v>46251</v>
      </c>
      <c r="L596" s="5">
        <f>IF(I596="","",I596-J596)</f>
        <v/>
      </c>
      <c r="M596">
        <f>IF(K596="","",K596-B596)</f>
        <v/>
      </c>
    </row>
    <row r="597">
      <c r="A597" t="inlineStr">
        <is>
          <t>S-00307</t>
        </is>
      </c>
      <c r="B597" s="4" t="n">
        <v>46233</v>
      </c>
      <c r="C597" t="inlineStr">
        <is>
          <t>Trendy Threads</t>
        </is>
      </c>
      <c r="D597" t="inlineStr">
        <is>
          <t>SALES</t>
        </is>
      </c>
      <c r="E597" t="inlineStr">
        <is>
          <t>Accessories</t>
        </is>
      </c>
      <c r="F597" s="5" t="n">
        <v>67413.19</v>
      </c>
      <c r="G597" t="n">
        <v>12</v>
      </c>
      <c r="H597" s="5" t="n">
        <v>8089.58</v>
      </c>
      <c r="I597" s="5" t="n">
        <v>75502.77</v>
      </c>
      <c r="J597" s="5" t="n">
        <v>0</v>
      </c>
      <c r="K597" s="4" t="inlineStr"/>
      <c r="L597" s="5">
        <f>IF(I597="","",I597-J597)</f>
        <v/>
      </c>
      <c r="M597">
        <f>IF(K597="","",K597-B597)</f>
        <v/>
      </c>
    </row>
    <row r="598">
      <c r="A598" t="inlineStr">
        <is>
          <t>S-00308</t>
        </is>
      </c>
      <c r="B598" s="4" t="n">
        <v>46213</v>
      </c>
      <c r="C598" t="inlineStr">
        <is>
          <t>Bhagalpur Silk Centre</t>
        </is>
      </c>
      <c r="D598" t="inlineStr">
        <is>
          <t>SALES</t>
        </is>
      </c>
      <c r="E598" t="inlineStr">
        <is>
          <t>Fabrics</t>
        </is>
      </c>
      <c r="F598" s="5" t="n">
        <v>22371.5</v>
      </c>
      <c r="G598" t="n">
        <v>5</v>
      </c>
      <c r="H598" s="5" t="n">
        <v>1118.58</v>
      </c>
      <c r="I598" s="5" t="n">
        <v>23490.08</v>
      </c>
      <c r="J598" s="5" t="n">
        <v>23490.08</v>
      </c>
      <c r="K598" s="4" t="n">
        <v>46241</v>
      </c>
      <c r="L598" s="5">
        <f>IF(I598="","",I598-J598)</f>
        <v/>
      </c>
      <c r="M598">
        <f>IF(K598="","",K598-B598)</f>
        <v/>
      </c>
    </row>
    <row r="599">
      <c r="A599" t="inlineStr">
        <is>
          <t>S-00309</t>
        </is>
      </c>
      <c r="B599" s="4" t="n">
        <v>46220</v>
      </c>
      <c r="C599" t="inlineStr">
        <is>
          <t>Purnia Fashion Hub</t>
        </is>
      </c>
      <c r="D599" t="inlineStr">
        <is>
          <t>SALES</t>
        </is>
      </c>
      <c r="E599" t="inlineStr">
        <is>
          <t>Accessories</t>
        </is>
      </c>
      <c r="F599" s="5" t="n">
        <v>33736.83</v>
      </c>
      <c r="G599" t="n">
        <v>12</v>
      </c>
      <c r="H599" s="5" t="n">
        <v>4048.42</v>
      </c>
      <c r="I599" s="5" t="n">
        <v>37785.25</v>
      </c>
      <c r="J599" s="5" t="n">
        <v>37785.25</v>
      </c>
      <c r="K599" s="4" t="n">
        <v>46273</v>
      </c>
      <c r="L599" s="5">
        <f>IF(I599="","",I599-J599)</f>
        <v/>
      </c>
      <c r="M599">
        <f>IF(K599="","",K599-B599)</f>
        <v/>
      </c>
    </row>
    <row r="600">
      <c r="A600" t="inlineStr">
        <is>
          <t>S-00310</t>
        </is>
      </c>
      <c r="B600" s="4" t="n">
        <v>46204</v>
      </c>
      <c r="C600" t="inlineStr">
        <is>
          <t>Lakshmi Cloth Store</t>
        </is>
      </c>
      <c r="D600" t="inlineStr">
        <is>
          <t>SALES</t>
        </is>
      </c>
      <c r="E600" t="inlineStr">
        <is>
          <t>Fabrics</t>
        </is>
      </c>
      <c r="F600" s="5" t="n">
        <v>42410.7</v>
      </c>
      <c r="G600" t="n">
        <v>5</v>
      </c>
      <c r="H600" s="5" t="n">
        <v>2120.53</v>
      </c>
      <c r="I600" s="5" t="n">
        <v>44531.23</v>
      </c>
      <c r="J600" s="5" t="n">
        <v>0</v>
      </c>
      <c r="K600" s="4" t="inlineStr"/>
      <c r="L600" s="5">
        <f>IF(I600="","",I600-J600)</f>
        <v/>
      </c>
      <c r="M600">
        <f>IF(K600="","",K600-B600)</f>
        <v/>
      </c>
    </row>
    <row r="601">
      <c r="A601" t="inlineStr">
        <is>
          <t>S-00311</t>
        </is>
      </c>
      <c r="B601" s="4" t="n">
        <v>46233</v>
      </c>
      <c r="C601" t="inlineStr">
        <is>
          <t>New Look Garments</t>
        </is>
      </c>
      <c r="D601" t="inlineStr">
        <is>
          <t>SALES</t>
        </is>
      </c>
      <c r="E601" t="inlineStr">
        <is>
          <t>Fabrics</t>
        </is>
      </c>
      <c r="F601" s="5" t="n">
        <v>92265.62</v>
      </c>
      <c r="G601" t="n">
        <v>5</v>
      </c>
      <c r="H601" s="5" t="n">
        <v>4613.28</v>
      </c>
      <c r="I601" s="5" t="n">
        <v>96878.89999999999</v>
      </c>
      <c r="J601" s="5" t="n">
        <v>96878.89999999999</v>
      </c>
      <c r="K601" s="4" t="n">
        <v>46252</v>
      </c>
      <c r="L601" s="5">
        <f>IF(I601="","",I601-J601)</f>
        <v/>
      </c>
      <c r="M601">
        <f>IF(K601="","",K601-B601)</f>
        <v/>
      </c>
    </row>
    <row r="602">
      <c r="A602" t="inlineStr">
        <is>
          <t>S-00312</t>
        </is>
      </c>
      <c r="B602" s="4" t="n">
        <v>46227</v>
      </c>
      <c r="C602" t="inlineStr">
        <is>
          <t>City Centre Apparel</t>
        </is>
      </c>
      <c r="D602" t="inlineStr">
        <is>
          <t>SALES</t>
        </is>
      </c>
      <c r="E602" t="inlineStr">
        <is>
          <t>Garments</t>
        </is>
      </c>
      <c r="F602" s="5" t="n">
        <v>20535.02</v>
      </c>
      <c r="G602" t="n">
        <v>12</v>
      </c>
      <c r="H602" s="5" t="n">
        <v>2464.2</v>
      </c>
      <c r="I602" s="5" t="n">
        <v>22999.22</v>
      </c>
      <c r="J602" s="5" t="n">
        <v>22999.22</v>
      </c>
      <c r="K602" s="4" t="n">
        <v>46276</v>
      </c>
      <c r="L602" s="5">
        <f>IF(I602="","",I602-J602)</f>
        <v/>
      </c>
      <c r="M602">
        <f>IF(K602="","",K602-B602)</f>
        <v/>
      </c>
    </row>
    <row r="603">
      <c r="A603" t="inlineStr">
        <is>
          <t>S-00313</t>
        </is>
      </c>
      <c r="B603" s="4" t="n">
        <v>46212</v>
      </c>
      <c r="C603" t="inlineStr">
        <is>
          <t>Arrah Garment Plaza</t>
        </is>
      </c>
      <c r="D603" t="inlineStr">
        <is>
          <t>SALES</t>
        </is>
      </c>
      <c r="E603" t="inlineStr">
        <is>
          <t>Fabrics</t>
        </is>
      </c>
      <c r="F603" s="5" t="n">
        <v>15494.24</v>
      </c>
      <c r="G603" t="n">
        <v>5</v>
      </c>
      <c r="H603" s="5" t="n">
        <v>774.71</v>
      </c>
      <c r="I603" s="5" t="n">
        <v>16268.95</v>
      </c>
      <c r="J603" s="5" t="n">
        <v>8467.57</v>
      </c>
      <c r="K603" s="4" t="n">
        <v>46237</v>
      </c>
      <c r="L603" s="5">
        <f>IF(I603="","",I603-J603)</f>
        <v/>
      </c>
      <c r="M603">
        <f>IF(K603="","",K603-B603)</f>
        <v/>
      </c>
    </row>
    <row r="604">
      <c r="A604" t="inlineStr">
        <is>
          <t>S-00314</t>
        </is>
      </c>
      <c r="B604" s="4" t="n">
        <v>46216</v>
      </c>
      <c r="C604" t="inlineStr">
        <is>
          <t>New Look Garments</t>
        </is>
      </c>
      <c r="D604" t="inlineStr">
        <is>
          <t>SALES</t>
        </is>
      </c>
      <c r="E604" t="inlineStr">
        <is>
          <t>Accessories</t>
        </is>
      </c>
      <c r="F604" s="5" t="n">
        <v>15339.36</v>
      </c>
      <c r="G604" t="n">
        <v>12</v>
      </c>
      <c r="H604" s="5" t="n">
        <v>1840.72</v>
      </c>
      <c r="I604" s="5" t="n">
        <v>17180.08</v>
      </c>
      <c r="J604" s="5" t="n">
        <v>17180.08</v>
      </c>
      <c r="K604" s="4" t="n">
        <v>46281</v>
      </c>
      <c r="L604" s="5">
        <f>IF(I604="","",I604-J604)</f>
        <v/>
      </c>
      <c r="M604">
        <f>IF(K604="","",K604-B604)</f>
        <v/>
      </c>
    </row>
    <row r="605">
      <c r="A605" t="inlineStr">
        <is>
          <t>S-00315</t>
        </is>
      </c>
      <c r="B605" s="4" t="n">
        <v>46217</v>
      </c>
      <c r="C605" t="inlineStr">
        <is>
          <t>Darbhanga Dress Point</t>
        </is>
      </c>
      <c r="D605" t="inlineStr">
        <is>
          <t>SALES</t>
        </is>
      </c>
      <c r="E605" t="inlineStr">
        <is>
          <t>Garments</t>
        </is>
      </c>
      <c r="F605" s="5" t="n">
        <v>16199.52</v>
      </c>
      <c r="G605" t="n">
        <v>12</v>
      </c>
      <c r="H605" s="5" t="n">
        <v>1943.94</v>
      </c>
      <c r="I605" s="5" t="n">
        <v>18143.46</v>
      </c>
      <c r="J605" s="5" t="n">
        <v>18143.46</v>
      </c>
      <c r="K605" s="4" t="n">
        <v>46251</v>
      </c>
      <c r="L605" s="5">
        <f>IF(I605="","",I605-J605)</f>
        <v/>
      </c>
      <c r="M605">
        <f>IF(K605="","",K605-B605)</f>
        <v/>
      </c>
    </row>
    <row r="606">
      <c r="A606" t="inlineStr">
        <is>
          <t>S-00316</t>
        </is>
      </c>
      <c r="B606" s="4" t="n">
        <v>46212</v>
      </c>
      <c r="C606" t="inlineStr">
        <is>
          <t>Lakshmi Cloth Store</t>
        </is>
      </c>
      <c r="D606" t="inlineStr">
        <is>
          <t>SALES</t>
        </is>
      </c>
      <c r="E606" t="inlineStr">
        <is>
          <t>Garments</t>
        </is>
      </c>
      <c r="F606" s="5" t="n">
        <v>67401.22</v>
      </c>
      <c r="G606" t="n">
        <v>12</v>
      </c>
      <c r="H606" s="5" t="n">
        <v>8088.15</v>
      </c>
      <c r="I606" s="5" t="n">
        <v>75489.37</v>
      </c>
      <c r="J606" s="5" t="n">
        <v>75489.37</v>
      </c>
      <c r="K606" s="4" t="n">
        <v>46261</v>
      </c>
      <c r="L606" s="5">
        <f>IF(I606="","",I606-J606)</f>
        <v/>
      </c>
      <c r="M606">
        <f>IF(K606="","",K606-B606)</f>
        <v/>
      </c>
    </row>
    <row r="607">
      <c r="A607" t="inlineStr">
        <is>
          <t>S-00317</t>
        </is>
      </c>
      <c r="B607" s="4" t="n">
        <v>46216</v>
      </c>
      <c r="C607" t="inlineStr">
        <is>
          <t>Patna Fashion House</t>
        </is>
      </c>
      <c r="D607" t="inlineStr">
        <is>
          <t>SALES</t>
        </is>
      </c>
      <c r="E607" t="inlineStr">
        <is>
          <t>Fabrics</t>
        </is>
      </c>
      <c r="F607" s="5" t="n">
        <v>29505.08</v>
      </c>
      <c r="G607" t="n">
        <v>5</v>
      </c>
      <c r="H607" s="5" t="n">
        <v>1475.25</v>
      </c>
      <c r="I607" s="5" t="n">
        <v>30980.33</v>
      </c>
      <c r="J607" s="5" t="n">
        <v>15753.98</v>
      </c>
      <c r="K607" s="4" t="n">
        <v>46232</v>
      </c>
      <c r="L607" s="5">
        <f>IF(I607="","",I607-J607)</f>
        <v/>
      </c>
      <c r="M607">
        <f>IF(K607="","",K607-B607)</f>
        <v/>
      </c>
    </row>
    <row r="608">
      <c r="A608" t="inlineStr">
        <is>
          <t>S-00318</t>
        </is>
      </c>
      <c r="B608" s="4" t="n">
        <v>46205</v>
      </c>
      <c r="C608" t="inlineStr">
        <is>
          <t>Gaya Textile Traders</t>
        </is>
      </c>
      <c r="D608" t="inlineStr">
        <is>
          <t>SALES</t>
        </is>
      </c>
      <c r="E608" t="inlineStr">
        <is>
          <t>Garments</t>
        </is>
      </c>
      <c r="F608" s="5" t="n">
        <v>29505.56</v>
      </c>
      <c r="G608" t="n">
        <v>12</v>
      </c>
      <c r="H608" s="5" t="n">
        <v>3540.67</v>
      </c>
      <c r="I608" s="5" t="n">
        <v>33046.23</v>
      </c>
      <c r="J608" s="5" t="n">
        <v>33046.23</v>
      </c>
      <c r="K608" s="4" t="n">
        <v>46226</v>
      </c>
      <c r="L608" s="5">
        <f>IF(I608="","",I608-J608)</f>
        <v/>
      </c>
      <c r="M608">
        <f>IF(K608="","",K608-B608)</f>
        <v/>
      </c>
    </row>
    <row r="609">
      <c r="A609" t="inlineStr">
        <is>
          <t>S-00319</t>
        </is>
      </c>
      <c r="B609" s="4" t="n">
        <v>46207</v>
      </c>
      <c r="C609" t="inlineStr">
        <is>
          <t>Darbhanga Dress Point</t>
        </is>
      </c>
      <c r="D609" t="inlineStr">
        <is>
          <t>SALES</t>
        </is>
      </c>
      <c r="E609" t="inlineStr">
        <is>
          <t>Garments</t>
        </is>
      </c>
      <c r="F609" s="5" t="n">
        <v>91727.10000000001</v>
      </c>
      <c r="G609" t="n">
        <v>12</v>
      </c>
      <c r="H609" s="5" t="n">
        <v>11007.25</v>
      </c>
      <c r="I609" s="5" t="n">
        <v>102734.35</v>
      </c>
      <c r="J609" s="5" t="n">
        <v>102734.35</v>
      </c>
      <c r="K609" s="4" t="n">
        <v>46248</v>
      </c>
      <c r="L609" s="5">
        <f>IF(I609="","",I609-J609)</f>
        <v/>
      </c>
      <c r="M609">
        <f>IF(K609="","",K609-B609)</f>
        <v/>
      </c>
    </row>
    <row r="610">
      <c r="A610" t="inlineStr">
        <is>
          <t>S-00320</t>
        </is>
      </c>
      <c r="B610" s="4" t="n">
        <v>46211</v>
      </c>
      <c r="C610" t="inlineStr">
        <is>
          <t>Lakshmi Cloth Store</t>
        </is>
      </c>
      <c r="D610" t="inlineStr">
        <is>
          <t>SALES</t>
        </is>
      </c>
      <c r="E610" t="inlineStr">
        <is>
          <t>Fabrics</t>
        </is>
      </c>
      <c r="F610" s="5" t="n">
        <v>28289.32</v>
      </c>
      <c r="G610" t="n">
        <v>5</v>
      </c>
      <c r="H610" s="5" t="n">
        <v>1414.47</v>
      </c>
      <c r="I610" s="5" t="n">
        <v>29703.79</v>
      </c>
      <c r="J610" s="5" t="n">
        <v>29703.79</v>
      </c>
      <c r="K610" s="4" t="n">
        <v>46247</v>
      </c>
      <c r="L610" s="5">
        <f>IF(I610="","",I610-J610)</f>
        <v/>
      </c>
      <c r="M610">
        <f>IF(K610="","",K610-B610)</f>
        <v/>
      </c>
    </row>
    <row r="611">
      <c r="A611" t="inlineStr">
        <is>
          <t>S-00321</t>
        </is>
      </c>
      <c r="B611" s="4" t="n">
        <v>46210</v>
      </c>
      <c r="C611" t="inlineStr">
        <is>
          <t>Lakshmi Cloth Store</t>
        </is>
      </c>
      <c r="D611" t="inlineStr">
        <is>
          <t>SALES</t>
        </is>
      </c>
      <c r="E611" t="inlineStr">
        <is>
          <t>Fabrics</t>
        </is>
      </c>
      <c r="F611" s="5" t="n">
        <v>90074.97</v>
      </c>
      <c r="G611" t="n">
        <v>5</v>
      </c>
      <c r="H611" s="5" t="n">
        <v>4503.75</v>
      </c>
      <c r="I611" s="5" t="n">
        <v>94578.72</v>
      </c>
      <c r="J611" s="5" t="n">
        <v>94578.72</v>
      </c>
      <c r="K611" s="4" t="n">
        <v>46244</v>
      </c>
      <c r="L611" s="5">
        <f>IF(I611="","",I611-J611)</f>
        <v/>
      </c>
      <c r="M611">
        <f>IF(K611="","",K611-B611)</f>
        <v/>
      </c>
    </row>
    <row r="612">
      <c r="A612" t="inlineStr">
        <is>
          <t>S-00322</t>
        </is>
      </c>
      <c r="B612" s="4" t="n">
        <v>46205</v>
      </c>
      <c r="C612" t="inlineStr">
        <is>
          <t>New Look Garments</t>
        </is>
      </c>
      <c r="D612" t="inlineStr">
        <is>
          <t>SALES</t>
        </is>
      </c>
      <c r="E612" t="inlineStr">
        <is>
          <t>Fabrics</t>
        </is>
      </c>
      <c r="F612" s="5" t="n">
        <v>33060.61</v>
      </c>
      <c r="G612" t="n">
        <v>5</v>
      </c>
      <c r="H612" s="5" t="n">
        <v>1653.03</v>
      </c>
      <c r="I612" s="5" t="n">
        <v>34713.64</v>
      </c>
      <c r="J612" s="5" t="n">
        <v>34713.64</v>
      </c>
      <c r="K612" s="4" t="n">
        <v>46262</v>
      </c>
      <c r="L612" s="5">
        <f>IF(I612="","",I612-J612)</f>
        <v/>
      </c>
      <c r="M612">
        <f>IF(K612="","",K612-B612)</f>
        <v/>
      </c>
    </row>
    <row r="613">
      <c r="A613" t="inlineStr">
        <is>
          <t>S-00323</t>
        </is>
      </c>
      <c r="B613" s="4" t="n">
        <v>46206</v>
      </c>
      <c r="C613" t="inlineStr">
        <is>
          <t>Lakshmi Cloth Store</t>
        </is>
      </c>
      <c r="D613" t="inlineStr">
        <is>
          <t>SALES</t>
        </is>
      </c>
      <c r="E613" t="inlineStr">
        <is>
          <t>Fabrics</t>
        </is>
      </c>
      <c r="F613" s="5" t="n">
        <v>48956.23</v>
      </c>
      <c r="G613" t="n">
        <v>5</v>
      </c>
      <c r="H613" s="5" t="n">
        <v>2447.81</v>
      </c>
      <c r="I613" s="5" t="n">
        <v>51404.04</v>
      </c>
      <c r="J613" s="5" t="n">
        <v>51404.04</v>
      </c>
      <c r="K613" s="4" t="n">
        <v>46259</v>
      </c>
      <c r="L613" s="5">
        <f>IF(I613="","",I613-J613)</f>
        <v/>
      </c>
      <c r="M613">
        <f>IF(K613="","",K613-B613)</f>
        <v/>
      </c>
    </row>
    <row r="614">
      <c r="A614" t="inlineStr">
        <is>
          <t>S-00324</t>
        </is>
      </c>
      <c r="B614" s="4" t="n">
        <v>46206</v>
      </c>
      <c r="C614" t="inlineStr">
        <is>
          <t>Arrah Garment Plaza</t>
        </is>
      </c>
      <c r="D614" t="inlineStr">
        <is>
          <t>SALES</t>
        </is>
      </c>
      <c r="E614" t="inlineStr">
        <is>
          <t>Garments</t>
        </is>
      </c>
      <c r="F614" s="5" t="n">
        <v>35952.01</v>
      </c>
      <c r="G614" t="n">
        <v>12</v>
      </c>
      <c r="H614" s="5" t="n">
        <v>4314.24</v>
      </c>
      <c r="I614" s="5" t="n">
        <v>40266.25</v>
      </c>
      <c r="J614" s="5" t="n">
        <v>40266.25</v>
      </c>
      <c r="K614" s="4" t="n">
        <v>46251</v>
      </c>
      <c r="L614" s="5">
        <f>IF(I614="","",I614-J614)</f>
        <v/>
      </c>
      <c r="M614">
        <f>IF(K614="","",K614-B614)</f>
        <v/>
      </c>
    </row>
    <row r="615">
      <c r="A615" t="inlineStr">
        <is>
          <t>S-00325</t>
        </is>
      </c>
      <c r="B615" s="4" t="n">
        <v>46228</v>
      </c>
      <c r="C615" t="inlineStr">
        <is>
          <t>Kumkum Saree Sadan</t>
        </is>
      </c>
      <c r="D615" t="inlineStr">
        <is>
          <t>SALES</t>
        </is>
      </c>
      <c r="E615" t="inlineStr">
        <is>
          <t>Garments</t>
        </is>
      </c>
      <c r="F615" s="5" t="n">
        <v>35442.5</v>
      </c>
      <c r="G615" t="n">
        <v>12</v>
      </c>
      <c r="H615" s="5" t="n">
        <v>4253.1</v>
      </c>
      <c r="I615" s="5" t="n">
        <v>39695.6</v>
      </c>
      <c r="J615" s="5" t="n">
        <v>39695.6</v>
      </c>
      <c r="K615" s="4" t="n">
        <v>46259</v>
      </c>
      <c r="L615" s="5">
        <f>IF(I615="","",I615-J615)</f>
        <v/>
      </c>
      <c r="M615">
        <f>IF(K615="","",K615-B615)</f>
        <v/>
      </c>
    </row>
    <row r="616">
      <c r="A616" t="inlineStr">
        <is>
          <t>S-00326</t>
        </is>
      </c>
      <c r="B616" s="4" t="n">
        <v>46230</v>
      </c>
      <c r="C616" t="inlineStr">
        <is>
          <t>Bazaar Collection</t>
        </is>
      </c>
      <c r="D616" t="inlineStr">
        <is>
          <t>SALES</t>
        </is>
      </c>
      <c r="E616" t="inlineStr">
        <is>
          <t>Garments</t>
        </is>
      </c>
      <c r="F616" s="5" t="n">
        <v>45621.68</v>
      </c>
      <c r="G616" t="n">
        <v>12</v>
      </c>
      <c r="H616" s="5" t="n">
        <v>5474.6</v>
      </c>
      <c r="I616" s="5" t="n">
        <v>51096.28</v>
      </c>
      <c r="J616" s="5" t="n">
        <v>0</v>
      </c>
      <c r="K616" s="4" t="inlineStr"/>
      <c r="L616" s="5">
        <f>IF(I616="","",I616-J616)</f>
        <v/>
      </c>
      <c r="M616">
        <f>IF(K616="","",K616-B616)</f>
        <v/>
      </c>
    </row>
    <row r="617">
      <c r="A617" t="inlineStr">
        <is>
          <t>P-00155</t>
        </is>
      </c>
      <c r="B617" s="4" t="n">
        <v>46217</v>
      </c>
      <c r="C617" t="inlineStr">
        <is>
          <t>Tiruppur Garment Works</t>
        </is>
      </c>
      <c r="D617" t="inlineStr">
        <is>
          <t>PURCHASE</t>
        </is>
      </c>
      <c r="E617" t="inlineStr">
        <is>
          <t>Inventory purchases</t>
        </is>
      </c>
      <c r="F617" s="5" t="n">
        <v>112220.84</v>
      </c>
      <c r="G617" t="n">
        <v>5</v>
      </c>
      <c r="H617" s="5" t="n">
        <v>5611.04</v>
      </c>
      <c r="I617" s="5" t="n">
        <v>117831.88</v>
      </c>
      <c r="J617" s="5" t="n">
        <v>117831.88</v>
      </c>
      <c r="K617" s="4" t="n">
        <v>46234</v>
      </c>
      <c r="L617" s="5">
        <f>IF(I617="","",I617-J617)</f>
        <v/>
      </c>
      <c r="M617">
        <f>IF(K617="","",K617-B617)</f>
        <v/>
      </c>
    </row>
    <row r="618">
      <c r="A618" t="inlineStr">
        <is>
          <t>P-00156</t>
        </is>
      </c>
      <c r="B618" s="4" t="n">
        <v>46230</v>
      </c>
      <c r="C618" t="inlineStr">
        <is>
          <t>Surat Textile Mills</t>
        </is>
      </c>
      <c r="D618" t="inlineStr">
        <is>
          <t>PURCHASE</t>
        </is>
      </c>
      <c r="E618" t="inlineStr">
        <is>
          <t>Inventory purchases</t>
        </is>
      </c>
      <c r="F618" s="5" t="n">
        <v>32409.51</v>
      </c>
      <c r="G618" t="n">
        <v>5</v>
      </c>
      <c r="H618" s="5" t="n">
        <v>1620.48</v>
      </c>
      <c r="I618" s="5" t="n">
        <v>34029.99</v>
      </c>
      <c r="J618" s="5" t="n">
        <v>34029.99</v>
      </c>
      <c r="K618" s="4" t="n">
        <v>46247</v>
      </c>
      <c r="L618" s="5">
        <f>IF(I618="","",I618-J618)</f>
        <v/>
      </c>
      <c r="M618">
        <f>IF(K618="","",K618-B618)</f>
        <v/>
      </c>
    </row>
    <row r="619">
      <c r="A619" t="inlineStr">
        <is>
          <t>P-00157</t>
        </is>
      </c>
      <c r="B619" s="4" t="n">
        <v>46204</v>
      </c>
      <c r="C619" t="inlineStr">
        <is>
          <t>Kolkata Hosiery House</t>
        </is>
      </c>
      <c r="D619" t="inlineStr">
        <is>
          <t>PURCHASE</t>
        </is>
      </c>
      <c r="E619" t="inlineStr">
        <is>
          <t>Inventory purchases</t>
        </is>
      </c>
      <c r="F619" s="5" t="n">
        <v>47232.18</v>
      </c>
      <c r="G619" t="n">
        <v>5</v>
      </c>
      <c r="H619" s="5" t="n">
        <v>2361.61</v>
      </c>
      <c r="I619" s="5" t="n">
        <v>49593.79</v>
      </c>
      <c r="J619" s="5" t="n">
        <v>49593.79</v>
      </c>
      <c r="K619" s="4" t="n">
        <v>46219</v>
      </c>
      <c r="L619" s="5">
        <f>IF(I619="","",I619-J619)</f>
        <v/>
      </c>
      <c r="M619">
        <f>IF(K619="","",K619-B619)</f>
        <v/>
      </c>
    </row>
    <row r="620">
      <c r="A620" t="inlineStr">
        <is>
          <t>P-00158</t>
        </is>
      </c>
      <c r="B620" s="4" t="n">
        <v>46214</v>
      </c>
      <c r="C620" t="inlineStr">
        <is>
          <t>Surat Textile Mills</t>
        </is>
      </c>
      <c r="D620" t="inlineStr">
        <is>
          <t>PURCHASE</t>
        </is>
      </c>
      <c r="E620" t="inlineStr">
        <is>
          <t>Inventory purchases</t>
        </is>
      </c>
      <c r="F620" s="5" t="n">
        <v>46839.41</v>
      </c>
      <c r="G620" t="n">
        <v>5</v>
      </c>
      <c r="H620" s="5" t="n">
        <v>2341.97</v>
      </c>
      <c r="I620" s="5" t="n">
        <v>49181.38</v>
      </c>
      <c r="J620" s="5" t="n">
        <v>49181.38</v>
      </c>
      <c r="K620" s="4" t="n">
        <v>46225</v>
      </c>
      <c r="L620" s="5">
        <f>IF(I620="","",I620-J620)</f>
        <v/>
      </c>
      <c r="M620">
        <f>IF(K620="","",K620-B620)</f>
        <v/>
      </c>
    </row>
    <row r="621">
      <c r="A621" t="inlineStr">
        <is>
          <t>P-00159</t>
        </is>
      </c>
      <c r="B621" s="4" t="n">
        <v>46224</v>
      </c>
      <c r="C621" t="inlineStr">
        <is>
          <t>Kolkata Hosiery House</t>
        </is>
      </c>
      <c r="D621" t="inlineStr">
        <is>
          <t>PURCHASE</t>
        </is>
      </c>
      <c r="E621" t="inlineStr">
        <is>
          <t>Inventory purchases</t>
        </is>
      </c>
      <c r="F621" s="5" t="n">
        <v>112967.91</v>
      </c>
      <c r="G621" t="n">
        <v>5</v>
      </c>
      <c r="H621" s="5" t="n">
        <v>5648.4</v>
      </c>
      <c r="I621" s="5" t="n">
        <v>118616.31</v>
      </c>
      <c r="J621" s="5" t="n">
        <v>118616.31</v>
      </c>
      <c r="K621" s="4" t="n">
        <v>46247</v>
      </c>
      <c r="L621" s="5">
        <f>IF(I621="","",I621-J621)</f>
        <v/>
      </c>
      <c r="M621">
        <f>IF(K621="","",K621-B621)</f>
        <v/>
      </c>
    </row>
    <row r="622">
      <c r="A622" t="inlineStr">
        <is>
          <t>P-00160</t>
        </is>
      </c>
      <c r="B622" s="4" t="n">
        <v>46211</v>
      </c>
      <c r="C622" t="inlineStr">
        <is>
          <t>Kolkata Hosiery House</t>
        </is>
      </c>
      <c r="D622" t="inlineStr">
        <is>
          <t>PURCHASE</t>
        </is>
      </c>
      <c r="E622" t="inlineStr">
        <is>
          <t>Inventory purchases</t>
        </is>
      </c>
      <c r="F622" s="5" t="n">
        <v>48798.05</v>
      </c>
      <c r="G622" t="n">
        <v>5</v>
      </c>
      <c r="H622" s="5" t="n">
        <v>2439.9</v>
      </c>
      <c r="I622" s="5" t="n">
        <v>51237.95</v>
      </c>
      <c r="J622" s="5" t="n">
        <v>51237.95</v>
      </c>
      <c r="K622" s="4" t="n">
        <v>46231</v>
      </c>
      <c r="L622" s="5">
        <f>IF(I622="","",I622-J622)</f>
        <v/>
      </c>
      <c r="M622">
        <f>IF(K622="","",K622-B622)</f>
        <v/>
      </c>
    </row>
    <row r="623">
      <c r="A623" t="inlineStr">
        <is>
          <t>P-00161</t>
        </is>
      </c>
      <c r="B623" s="4" t="n">
        <v>46207</v>
      </c>
      <c r="C623" t="inlineStr">
        <is>
          <t>Jaipur Print Works</t>
        </is>
      </c>
      <c r="D623" t="inlineStr">
        <is>
          <t>PURCHASE</t>
        </is>
      </c>
      <c r="E623" t="inlineStr">
        <is>
          <t>Inventory purchases</t>
        </is>
      </c>
      <c r="F623" s="5" t="n">
        <v>50225.15</v>
      </c>
      <c r="G623" t="n">
        <v>5</v>
      </c>
      <c r="H623" s="5" t="n">
        <v>2511.26</v>
      </c>
      <c r="I623" s="5" t="n">
        <v>52736.41</v>
      </c>
      <c r="J623" s="5" t="n">
        <v>52736.41</v>
      </c>
      <c r="K623" s="4" t="n">
        <v>46226</v>
      </c>
      <c r="L623" s="5">
        <f>IF(I623="","",I623-J623)</f>
        <v/>
      </c>
      <c r="M623">
        <f>IF(K623="","",K623-B623)</f>
        <v/>
      </c>
    </row>
    <row r="624">
      <c r="A624" t="inlineStr">
        <is>
          <t>P-00162</t>
        </is>
      </c>
      <c r="B624" s="4" t="n">
        <v>46231</v>
      </c>
      <c r="C624" t="inlineStr">
        <is>
          <t>Delhi Fabric Suppliers</t>
        </is>
      </c>
      <c r="D624" t="inlineStr">
        <is>
          <t>PURCHASE</t>
        </is>
      </c>
      <c r="E624" t="inlineStr">
        <is>
          <t>Inventory purchases</t>
        </is>
      </c>
      <c r="F624" s="5" t="n">
        <v>110102.75</v>
      </c>
      <c r="G624" t="n">
        <v>5</v>
      </c>
      <c r="H624" s="5" t="n">
        <v>5505.14</v>
      </c>
      <c r="I624" s="5" t="n">
        <v>115607.89</v>
      </c>
      <c r="J624" s="5" t="n">
        <v>115607.89</v>
      </c>
      <c r="K624" s="4" t="n">
        <v>46248</v>
      </c>
      <c r="L624" s="5">
        <f>IF(I624="","",I624-J624)</f>
        <v/>
      </c>
      <c r="M624">
        <f>IF(K624="","",K624-B624)</f>
        <v/>
      </c>
    </row>
    <row r="625">
      <c r="A625" t="inlineStr">
        <is>
          <t>P-00163</t>
        </is>
      </c>
      <c r="B625" s="4" t="n">
        <v>46214</v>
      </c>
      <c r="C625" t="inlineStr">
        <is>
          <t>Delhi Fabric Suppliers</t>
        </is>
      </c>
      <c r="D625" t="inlineStr">
        <is>
          <t>PURCHASE</t>
        </is>
      </c>
      <c r="E625" t="inlineStr">
        <is>
          <t>Inventory purchases</t>
        </is>
      </c>
      <c r="F625" s="5" t="n">
        <v>85269.33</v>
      </c>
      <c r="G625" t="n">
        <v>5</v>
      </c>
      <c r="H625" s="5" t="n">
        <v>4263.47</v>
      </c>
      <c r="I625" s="5" t="n">
        <v>89532.8</v>
      </c>
      <c r="J625" s="5" t="n">
        <v>89532.8</v>
      </c>
      <c r="K625" s="4" t="n">
        <v>46227</v>
      </c>
      <c r="L625" s="5">
        <f>IF(I625="","",I625-J625)</f>
        <v/>
      </c>
      <c r="M625">
        <f>IF(K625="","",K625-B625)</f>
        <v/>
      </c>
    </row>
    <row r="626">
      <c r="A626" t="inlineStr">
        <is>
          <t>P-00164</t>
        </is>
      </c>
      <c r="B626" s="4" t="n">
        <v>46210</v>
      </c>
      <c r="C626" t="inlineStr">
        <is>
          <t>Kolkata Hosiery House</t>
        </is>
      </c>
      <c r="D626" t="inlineStr">
        <is>
          <t>PURCHASE</t>
        </is>
      </c>
      <c r="E626" t="inlineStr">
        <is>
          <t>Inventory purchases</t>
        </is>
      </c>
      <c r="F626" s="5" t="n">
        <v>42698.85</v>
      </c>
      <c r="G626" t="n">
        <v>5</v>
      </c>
      <c r="H626" s="5" t="n">
        <v>2134.94</v>
      </c>
      <c r="I626" s="5" t="n">
        <v>44833.79</v>
      </c>
      <c r="J626" s="5" t="n">
        <v>44833.79</v>
      </c>
      <c r="K626" s="4" t="n">
        <v>46224</v>
      </c>
      <c r="L626" s="5">
        <f>IF(I626="","",I626-J626)</f>
        <v/>
      </c>
      <c r="M626">
        <f>IF(K626="","",K626-B626)</f>
        <v/>
      </c>
    </row>
    <row r="627">
      <c r="A627" t="inlineStr">
        <is>
          <t>P-00165</t>
        </is>
      </c>
      <c r="B627" s="4" t="n">
        <v>46221</v>
      </c>
      <c r="C627" t="inlineStr">
        <is>
          <t>Kolkata Hosiery House</t>
        </is>
      </c>
      <c r="D627" t="inlineStr">
        <is>
          <t>PURCHASE</t>
        </is>
      </c>
      <c r="E627" t="inlineStr">
        <is>
          <t>Inventory purchases</t>
        </is>
      </c>
      <c r="F627" s="5" t="n">
        <v>20114.09</v>
      </c>
      <c r="G627" t="n">
        <v>5</v>
      </c>
      <c r="H627" s="5" t="n">
        <v>1005.7</v>
      </c>
      <c r="I627" s="5" t="n">
        <v>21119.79</v>
      </c>
      <c r="J627" s="5" t="n">
        <v>21119.79</v>
      </c>
      <c r="K627" s="4" t="n">
        <v>46240</v>
      </c>
      <c r="L627" s="5">
        <f>IF(I627="","",I627-J627)</f>
        <v/>
      </c>
      <c r="M627">
        <f>IF(K627="","",K627-B627)</f>
        <v/>
      </c>
    </row>
    <row r="628">
      <c r="A628" t="inlineStr">
        <is>
          <t>P-00166</t>
        </is>
      </c>
      <c r="B628" s="4" t="n">
        <v>46216</v>
      </c>
      <c r="C628" t="inlineStr">
        <is>
          <t>Tiruppur Garment Works</t>
        </is>
      </c>
      <c r="D628" t="inlineStr">
        <is>
          <t>PURCHASE</t>
        </is>
      </c>
      <c r="E628" t="inlineStr">
        <is>
          <t>Inventory purchases</t>
        </is>
      </c>
      <c r="F628" s="5" t="n">
        <v>60393.16</v>
      </c>
      <c r="G628" t="n">
        <v>5</v>
      </c>
      <c r="H628" s="5" t="n">
        <v>3019.66</v>
      </c>
      <c r="I628" s="5" t="n">
        <v>63412.82</v>
      </c>
      <c r="J628" s="5" t="n">
        <v>63412.82</v>
      </c>
      <c r="K628" s="4" t="n">
        <v>46242</v>
      </c>
      <c r="L628" s="5">
        <f>IF(I628="","",I628-J628)</f>
        <v/>
      </c>
      <c r="M628">
        <f>IF(K628="","",K628-B628)</f>
        <v/>
      </c>
    </row>
    <row r="629">
      <c r="A629" t="inlineStr">
        <is>
          <t>P-00167</t>
        </is>
      </c>
      <c r="B629" s="4" t="n">
        <v>46223</v>
      </c>
      <c r="C629" t="inlineStr">
        <is>
          <t>Kolkata Hosiery House</t>
        </is>
      </c>
      <c r="D629" t="inlineStr">
        <is>
          <t>PURCHASE</t>
        </is>
      </c>
      <c r="E629" t="inlineStr">
        <is>
          <t>Inventory purchases</t>
        </is>
      </c>
      <c r="F629" s="5" t="n">
        <v>10611.31</v>
      </c>
      <c r="G629" t="n">
        <v>5</v>
      </c>
      <c r="H629" s="5" t="n">
        <v>530.5700000000001</v>
      </c>
      <c r="I629" s="5" t="n">
        <v>11141.88</v>
      </c>
      <c r="J629" s="5" t="n">
        <v>11141.88</v>
      </c>
      <c r="K629" s="4" t="n">
        <v>46233</v>
      </c>
      <c r="L629" s="5">
        <f>IF(I629="","",I629-J629)</f>
        <v/>
      </c>
      <c r="M629">
        <f>IF(K629="","",K629-B629)</f>
        <v/>
      </c>
    </row>
    <row r="630">
      <c r="A630" t="inlineStr">
        <is>
          <t>P-00168</t>
        </is>
      </c>
      <c r="B630" s="4" t="n">
        <v>46229</v>
      </c>
      <c r="C630" t="inlineStr">
        <is>
          <t>Delhi Fabric Suppliers</t>
        </is>
      </c>
      <c r="D630" t="inlineStr">
        <is>
          <t>PURCHASE</t>
        </is>
      </c>
      <c r="E630" t="inlineStr">
        <is>
          <t>Inventory purchases</t>
        </is>
      </c>
      <c r="F630" s="5" t="n">
        <v>104518.99</v>
      </c>
      <c r="G630" t="n">
        <v>5</v>
      </c>
      <c r="H630" s="5" t="n">
        <v>5225.95</v>
      </c>
      <c r="I630" s="5" t="n">
        <v>109744.94</v>
      </c>
      <c r="J630" s="5" t="n">
        <v>109744.94</v>
      </c>
      <c r="K630" s="4" t="n">
        <v>46262</v>
      </c>
      <c r="L630" s="5">
        <f>IF(I630="","",I630-J630)</f>
        <v/>
      </c>
      <c r="M630">
        <f>IF(K630="","",K630-B630)</f>
        <v/>
      </c>
    </row>
    <row r="631">
      <c r="A631" t="inlineStr">
        <is>
          <t>P-00169</t>
        </is>
      </c>
      <c r="B631" s="4" t="n">
        <v>46210</v>
      </c>
      <c r="C631" t="inlineStr">
        <is>
          <t>Ludhiana Knitwear Co</t>
        </is>
      </c>
      <c r="D631" t="inlineStr">
        <is>
          <t>PURCHASE</t>
        </is>
      </c>
      <c r="E631" t="inlineStr">
        <is>
          <t>Inventory purchases</t>
        </is>
      </c>
      <c r="F631" s="5" t="n">
        <v>57232.15</v>
      </c>
      <c r="G631" t="n">
        <v>5</v>
      </c>
      <c r="H631" s="5" t="n">
        <v>2861.61</v>
      </c>
      <c r="I631" s="5" t="n">
        <v>60093.76</v>
      </c>
      <c r="J631" s="5" t="n">
        <v>60093.76</v>
      </c>
      <c r="K631" s="4" t="n">
        <v>46226</v>
      </c>
      <c r="L631" s="5">
        <f>IF(I631="","",I631-J631)</f>
        <v/>
      </c>
      <c r="M631">
        <f>IF(K631="","",K631-B631)</f>
        <v/>
      </c>
    </row>
    <row r="632">
      <c r="A632" t="inlineStr">
        <is>
          <t>P-00170</t>
        </is>
      </c>
      <c r="B632" s="4" t="n">
        <v>46210</v>
      </c>
      <c r="C632" t="inlineStr">
        <is>
          <t>Jaipur Print Works</t>
        </is>
      </c>
      <c r="D632" t="inlineStr">
        <is>
          <t>PURCHASE</t>
        </is>
      </c>
      <c r="E632" t="inlineStr">
        <is>
          <t>Inventory purchases</t>
        </is>
      </c>
      <c r="F632" s="5" t="n">
        <v>105668.41</v>
      </c>
      <c r="G632" t="n">
        <v>5</v>
      </c>
      <c r="H632" s="5" t="n">
        <v>5283.42</v>
      </c>
      <c r="I632" s="5" t="n">
        <v>110951.83</v>
      </c>
      <c r="J632" s="5" t="n">
        <v>110951.83</v>
      </c>
      <c r="K632" s="4" t="n">
        <v>46220</v>
      </c>
      <c r="L632" s="5">
        <f>IF(I632="","",I632-J632)</f>
        <v/>
      </c>
      <c r="M632">
        <f>IF(K632="","",K632-B632)</f>
        <v/>
      </c>
    </row>
    <row r="633">
      <c r="A633" t="inlineStr">
        <is>
          <t>P-00171</t>
        </is>
      </c>
      <c r="B633" s="4" t="n">
        <v>46214</v>
      </c>
      <c r="C633" t="inlineStr">
        <is>
          <t>Tiruppur Garment Works</t>
        </is>
      </c>
      <c r="D633" t="inlineStr">
        <is>
          <t>PURCHASE</t>
        </is>
      </c>
      <c r="E633" t="inlineStr">
        <is>
          <t>Inventory purchases</t>
        </is>
      </c>
      <c r="F633" s="5" t="n">
        <v>20743.35</v>
      </c>
      <c r="G633" t="n">
        <v>5</v>
      </c>
      <c r="H633" s="5" t="n">
        <v>1037.17</v>
      </c>
      <c r="I633" s="5" t="n">
        <v>21780.52</v>
      </c>
      <c r="J633" s="5" t="n">
        <v>21780.52</v>
      </c>
      <c r="K633" s="4" t="n">
        <v>46226</v>
      </c>
      <c r="L633" s="5">
        <f>IF(I633="","",I633-J633)</f>
        <v/>
      </c>
      <c r="M633">
        <f>IF(K633="","",K633-B633)</f>
        <v/>
      </c>
    </row>
    <row r="634">
      <c r="A634" t="inlineStr">
        <is>
          <t>P-00172</t>
        </is>
      </c>
      <c r="B634" s="4" t="n">
        <v>46206</v>
      </c>
      <c r="C634" t="inlineStr">
        <is>
          <t>Tiruppur Garment Works</t>
        </is>
      </c>
      <c r="D634" t="inlineStr">
        <is>
          <t>PURCHASE</t>
        </is>
      </c>
      <c r="E634" t="inlineStr">
        <is>
          <t>Inventory purchases</t>
        </is>
      </c>
      <c r="F634" s="5" t="n">
        <v>46284.31</v>
      </c>
      <c r="G634" t="n">
        <v>5</v>
      </c>
      <c r="H634" s="5" t="n">
        <v>2314.22</v>
      </c>
      <c r="I634" s="5" t="n">
        <v>48598.53</v>
      </c>
      <c r="J634" s="5" t="n">
        <v>48598.53</v>
      </c>
      <c r="K634" s="4" t="n">
        <v>46223</v>
      </c>
      <c r="L634" s="5">
        <f>IF(I634="","",I634-J634)</f>
        <v/>
      </c>
      <c r="M634">
        <f>IF(K634="","",K634-B634)</f>
        <v/>
      </c>
    </row>
    <row r="635">
      <c r="A635" t="inlineStr">
        <is>
          <t>P-00173</t>
        </is>
      </c>
      <c r="B635" s="4" t="n">
        <v>46223</v>
      </c>
      <c r="C635" t="inlineStr">
        <is>
          <t>Delhi Fabric Suppliers</t>
        </is>
      </c>
      <c r="D635" t="inlineStr">
        <is>
          <t>PURCHASE</t>
        </is>
      </c>
      <c r="E635" t="inlineStr">
        <is>
          <t>Inventory purchases</t>
        </is>
      </c>
      <c r="F635" s="5" t="n">
        <v>63942.31</v>
      </c>
      <c r="G635" t="n">
        <v>5</v>
      </c>
      <c r="H635" s="5" t="n">
        <v>3197.12</v>
      </c>
      <c r="I635" s="5" t="n">
        <v>67139.42999999999</v>
      </c>
      <c r="J635" s="5" t="n">
        <v>67139.42999999999</v>
      </c>
      <c r="K635" s="4" t="n">
        <v>46232</v>
      </c>
      <c r="L635" s="5">
        <f>IF(I635="","",I635-J635)</f>
        <v/>
      </c>
      <c r="M635">
        <f>IF(K635="","",K635-B635)</f>
        <v/>
      </c>
    </row>
    <row r="636">
      <c r="A636" t="inlineStr">
        <is>
          <t>E-00136</t>
        </is>
      </c>
      <c r="B636" s="4" t="n">
        <v>46231</v>
      </c>
      <c r="C636" t="inlineStr">
        <is>
          <t>Various</t>
        </is>
      </c>
      <c r="D636" t="inlineStr">
        <is>
          <t>EXPENSE</t>
        </is>
      </c>
      <c r="E636" t="inlineStr">
        <is>
          <t>Rent</t>
        </is>
      </c>
      <c r="F636" s="5" t="n">
        <v>25355.73</v>
      </c>
      <c r="G636" t="n">
        <v>18</v>
      </c>
      <c r="H636" s="5" t="n">
        <v>4564.03</v>
      </c>
      <c r="I636" s="5" t="n">
        <v>29919.76</v>
      </c>
      <c r="J636" s="5" t="n">
        <v>29919.76</v>
      </c>
      <c r="K636" s="4" t="n">
        <v>46232</v>
      </c>
      <c r="L636" s="5">
        <f>IF(I636="","",I636-J636)</f>
        <v/>
      </c>
      <c r="M636">
        <f>IF(K636="","",K636-B636)</f>
        <v/>
      </c>
    </row>
    <row r="637">
      <c r="A637" t="inlineStr">
        <is>
          <t>E-00137</t>
        </is>
      </c>
      <c r="B637" s="4" t="n">
        <v>46228</v>
      </c>
      <c r="C637" t="inlineStr">
        <is>
          <t>Various</t>
        </is>
      </c>
      <c r="D637" t="inlineStr">
        <is>
          <t>EXPENSE</t>
        </is>
      </c>
      <c r="E637" t="inlineStr">
        <is>
          <t>Salaries</t>
        </is>
      </c>
      <c r="F637" s="5" t="n">
        <v>86094.35000000001</v>
      </c>
      <c r="G637" t="n">
        <v>0</v>
      </c>
      <c r="H637" s="5" t="n">
        <v>0</v>
      </c>
      <c r="I637" s="5" t="n">
        <v>86094.35000000001</v>
      </c>
      <c r="J637" s="5" t="n">
        <v>86094.35000000001</v>
      </c>
      <c r="K637" s="4" t="n">
        <v>46229</v>
      </c>
      <c r="L637" s="5">
        <f>IF(I637="","",I637-J637)</f>
        <v/>
      </c>
      <c r="M637">
        <f>IF(K637="","",K637-B637)</f>
        <v/>
      </c>
    </row>
    <row r="638">
      <c r="A638" t="inlineStr">
        <is>
          <t>E-00138</t>
        </is>
      </c>
      <c r="B638" s="4" t="n">
        <v>46204</v>
      </c>
      <c r="C638" t="inlineStr">
        <is>
          <t>Various</t>
        </is>
      </c>
      <c r="D638" t="inlineStr">
        <is>
          <t>EXPENSE</t>
        </is>
      </c>
      <c r="E638" t="inlineStr">
        <is>
          <t>Utilities</t>
        </is>
      </c>
      <c r="F638" s="5" t="n">
        <v>6440.28</v>
      </c>
      <c r="G638" t="n">
        <v>18</v>
      </c>
      <c r="H638" s="5" t="n">
        <v>1159.25</v>
      </c>
      <c r="I638" s="5" t="n">
        <v>7599.53</v>
      </c>
      <c r="J638" s="5" t="n">
        <v>7599.53</v>
      </c>
      <c r="K638" s="4" t="n">
        <v>46205</v>
      </c>
      <c r="L638" s="5">
        <f>IF(I638="","",I638-J638)</f>
        <v/>
      </c>
      <c r="M638">
        <f>IF(K638="","",K638-B638)</f>
        <v/>
      </c>
    </row>
    <row r="639">
      <c r="A639" t="inlineStr">
        <is>
          <t>E-00139</t>
        </is>
      </c>
      <c r="B639" s="4" t="n">
        <v>46207</v>
      </c>
      <c r="C639" t="inlineStr">
        <is>
          <t>Various</t>
        </is>
      </c>
      <c r="D639" t="inlineStr">
        <is>
          <t>EXPENSE</t>
        </is>
      </c>
      <c r="E639" t="inlineStr">
        <is>
          <t>Transport</t>
        </is>
      </c>
      <c r="F639" s="5" t="n">
        <v>5638.65</v>
      </c>
      <c r="G639" t="n">
        <v>5</v>
      </c>
      <c r="H639" s="5" t="n">
        <v>281.93</v>
      </c>
      <c r="I639" s="5" t="n">
        <v>5920.58</v>
      </c>
      <c r="J639" s="5" t="n">
        <v>5920.58</v>
      </c>
      <c r="K639" s="4" t="n">
        <v>46209</v>
      </c>
      <c r="L639" s="5">
        <f>IF(I639="","",I639-J639)</f>
        <v/>
      </c>
      <c r="M639">
        <f>IF(K639="","",K639-B639)</f>
        <v/>
      </c>
    </row>
    <row r="640">
      <c r="A640" t="inlineStr">
        <is>
          <t>E-00140</t>
        </is>
      </c>
      <c r="B640" s="4" t="n">
        <v>46218</v>
      </c>
      <c r="C640" t="inlineStr">
        <is>
          <t>Various</t>
        </is>
      </c>
      <c r="D640" t="inlineStr">
        <is>
          <t>EXPENSE</t>
        </is>
      </c>
      <c r="E640" t="inlineStr">
        <is>
          <t>Transport</t>
        </is>
      </c>
      <c r="F640" s="5" t="n">
        <v>1469</v>
      </c>
      <c r="G640" t="n">
        <v>5</v>
      </c>
      <c r="H640" s="5" t="n">
        <v>73.45</v>
      </c>
      <c r="I640" s="5" t="n">
        <v>1542.45</v>
      </c>
      <c r="J640" s="5" t="n">
        <v>1542.45</v>
      </c>
      <c r="K640" s="4" t="n">
        <v>46225</v>
      </c>
      <c r="L640" s="5">
        <f>IF(I640="","",I640-J640)</f>
        <v/>
      </c>
      <c r="M640">
        <f>IF(K640="","",K640-B640)</f>
        <v/>
      </c>
    </row>
    <row r="641">
      <c r="A641" t="inlineStr">
        <is>
          <t>E-00141</t>
        </is>
      </c>
      <c r="B641" s="4" t="n">
        <v>46234</v>
      </c>
      <c r="C641" t="inlineStr">
        <is>
          <t>Various</t>
        </is>
      </c>
      <c r="D641" t="inlineStr">
        <is>
          <t>EXPENSE</t>
        </is>
      </c>
      <c r="E641" t="inlineStr">
        <is>
          <t>Transport</t>
        </is>
      </c>
      <c r="F641" s="5" t="n">
        <v>1602.14</v>
      </c>
      <c r="G641" t="n">
        <v>5</v>
      </c>
      <c r="H641" s="5" t="n">
        <v>80.11</v>
      </c>
      <c r="I641" s="5" t="n">
        <v>1682.25</v>
      </c>
      <c r="J641" s="5" t="n">
        <v>1682.25</v>
      </c>
      <c r="K641" s="4" t="n">
        <v>46239</v>
      </c>
      <c r="L641" s="5">
        <f>IF(I641="","",I641-J641)</f>
        <v/>
      </c>
      <c r="M641">
        <f>IF(K641="","",K641-B641)</f>
        <v/>
      </c>
    </row>
    <row r="642">
      <c r="A642" t="inlineStr">
        <is>
          <t>E-00142</t>
        </is>
      </c>
      <c r="B642" s="4" t="n">
        <v>46218</v>
      </c>
      <c r="C642" t="inlineStr">
        <is>
          <t>Various</t>
        </is>
      </c>
      <c r="D642" t="inlineStr">
        <is>
          <t>EXPENSE</t>
        </is>
      </c>
      <c r="E642" t="inlineStr">
        <is>
          <t>Transport</t>
        </is>
      </c>
      <c r="F642" s="5" t="n">
        <v>3443.01</v>
      </c>
      <c r="G642" t="n">
        <v>5</v>
      </c>
      <c r="H642" s="5" t="n">
        <v>172.15</v>
      </c>
      <c r="I642" s="5" t="n">
        <v>3615.16</v>
      </c>
      <c r="J642" s="5" t="n">
        <v>3615.16</v>
      </c>
      <c r="K642" s="4" t="n">
        <v>46221</v>
      </c>
      <c r="L642" s="5">
        <f>IF(I642="","",I642-J642)</f>
        <v/>
      </c>
      <c r="M642">
        <f>IF(K642="","",K642-B642)</f>
        <v/>
      </c>
    </row>
    <row r="643">
      <c r="A643" t="inlineStr">
        <is>
          <t>E-00143</t>
        </is>
      </c>
      <c r="B643" s="4" t="n">
        <v>46223</v>
      </c>
      <c r="C643" t="inlineStr">
        <is>
          <t>Various</t>
        </is>
      </c>
      <c r="D643" t="inlineStr">
        <is>
          <t>EXPENSE</t>
        </is>
      </c>
      <c r="E643" t="inlineStr">
        <is>
          <t>Transport</t>
        </is>
      </c>
      <c r="F643" s="5" t="n">
        <v>3161.48</v>
      </c>
      <c r="G643" t="n">
        <v>5</v>
      </c>
      <c r="H643" s="5" t="n">
        <v>158.07</v>
      </c>
      <c r="I643" s="5" t="n">
        <v>3319.55</v>
      </c>
      <c r="J643" s="5" t="n">
        <v>3319.55</v>
      </c>
      <c r="K643" s="4" t="n">
        <v>46225</v>
      </c>
      <c r="L643" s="5">
        <f>IF(I643="","",I643-J643)</f>
        <v/>
      </c>
      <c r="M643">
        <f>IF(K643="","",K643-B643)</f>
        <v/>
      </c>
    </row>
    <row r="644">
      <c r="A644" t="inlineStr">
        <is>
          <t>E-00144</t>
        </is>
      </c>
      <c r="B644" s="4" t="n">
        <v>46215</v>
      </c>
      <c r="C644" t="inlineStr">
        <is>
          <t>Various</t>
        </is>
      </c>
      <c r="D644" t="inlineStr">
        <is>
          <t>EXPENSE</t>
        </is>
      </c>
      <c r="E644" t="inlineStr">
        <is>
          <t>Transport</t>
        </is>
      </c>
      <c r="F644" s="5" t="n">
        <v>1690.96</v>
      </c>
      <c r="G644" t="n">
        <v>5</v>
      </c>
      <c r="H644" s="5" t="n">
        <v>84.55</v>
      </c>
      <c r="I644" s="5" t="n">
        <v>1775.51</v>
      </c>
      <c r="J644" s="5" t="n">
        <v>1775.51</v>
      </c>
      <c r="K644" s="4" t="n">
        <v>46217</v>
      </c>
      <c r="L644" s="5">
        <f>IF(I644="","",I644-J644)</f>
        <v/>
      </c>
      <c r="M644">
        <f>IF(K644="","",K644-B644)</f>
        <v/>
      </c>
    </row>
    <row r="645">
      <c r="A645" t="inlineStr">
        <is>
          <t>E-00145</t>
        </is>
      </c>
      <c r="B645" s="4" t="n">
        <v>46234</v>
      </c>
      <c r="C645" t="inlineStr">
        <is>
          <t>Various</t>
        </is>
      </c>
      <c r="D645" t="inlineStr">
        <is>
          <t>EXPENSE</t>
        </is>
      </c>
      <c r="E645" t="inlineStr">
        <is>
          <t>Marketing</t>
        </is>
      </c>
      <c r="F645" s="5" t="n">
        <v>5919.62</v>
      </c>
      <c r="G645" t="n">
        <v>18</v>
      </c>
      <c r="H645" s="5" t="n">
        <v>1065.53</v>
      </c>
      <c r="I645" s="5" t="n">
        <v>6985.15</v>
      </c>
      <c r="J645" s="5" t="n">
        <v>6985.15</v>
      </c>
      <c r="K645" s="4" t="n">
        <v>46239</v>
      </c>
      <c r="L645" s="5">
        <f>IF(I645="","",I645-J645)</f>
        <v/>
      </c>
      <c r="M645">
        <f>IF(K645="","",K645-B645)</f>
        <v/>
      </c>
    </row>
    <row r="646">
      <c r="A646" t="inlineStr">
        <is>
          <t>E-00146</t>
        </is>
      </c>
      <c r="B646" s="4" t="n">
        <v>46228</v>
      </c>
      <c r="C646" t="inlineStr">
        <is>
          <t>Various</t>
        </is>
      </c>
      <c r="D646" t="inlineStr">
        <is>
          <t>EXPENSE</t>
        </is>
      </c>
      <c r="E646" t="inlineStr">
        <is>
          <t>Marketing</t>
        </is>
      </c>
      <c r="F646" s="5" t="n">
        <v>7885.57</v>
      </c>
      <c r="G646" t="n">
        <v>18</v>
      </c>
      <c r="H646" s="5" t="n">
        <v>1419.4</v>
      </c>
      <c r="I646" s="5" t="n">
        <v>9304.969999999999</v>
      </c>
      <c r="J646" s="5" t="n">
        <v>9304.969999999999</v>
      </c>
      <c r="K646" s="4" t="n">
        <v>46233</v>
      </c>
      <c r="L646" s="5">
        <f>IF(I646="","",I646-J646)</f>
        <v/>
      </c>
      <c r="M646">
        <f>IF(K646="","",K646-B646)</f>
        <v/>
      </c>
    </row>
    <row r="647">
      <c r="A647" t="inlineStr">
        <is>
          <t>E-00147</t>
        </is>
      </c>
      <c r="B647" s="4" t="n">
        <v>46234</v>
      </c>
      <c r="C647" t="inlineStr">
        <is>
          <t>Various</t>
        </is>
      </c>
      <c r="D647" t="inlineStr">
        <is>
          <t>EXPENSE</t>
        </is>
      </c>
      <c r="E647" t="inlineStr">
        <is>
          <t>Professional fees</t>
        </is>
      </c>
      <c r="F647" s="5" t="n">
        <v>5208.23</v>
      </c>
      <c r="G647" t="n">
        <v>18</v>
      </c>
      <c r="H647" s="5" t="n">
        <v>937.48</v>
      </c>
      <c r="I647" s="5" t="n">
        <v>6145.71</v>
      </c>
      <c r="J647" s="5" t="n">
        <v>6145.71</v>
      </c>
      <c r="K647" s="4" t="n">
        <v>46239</v>
      </c>
      <c r="L647" s="5">
        <f>IF(I647="","",I647-J647)</f>
        <v/>
      </c>
      <c r="M647">
        <f>IF(K647="","",K647-B647)</f>
        <v/>
      </c>
    </row>
    <row r="648">
      <c r="A648" t="inlineStr">
        <is>
          <t>E-00148</t>
        </is>
      </c>
      <c r="B648" s="4" t="n">
        <v>46229</v>
      </c>
      <c r="C648" t="inlineStr">
        <is>
          <t>Various</t>
        </is>
      </c>
      <c r="D648" t="inlineStr">
        <is>
          <t>EXPENSE</t>
        </is>
      </c>
      <c r="E648" t="inlineStr">
        <is>
          <t>Misc</t>
        </is>
      </c>
      <c r="F648" s="5" t="n">
        <v>4903.91</v>
      </c>
      <c r="G648" t="n">
        <v>18</v>
      </c>
      <c r="H648" s="5" t="n">
        <v>882.7</v>
      </c>
      <c r="I648" s="5" t="n">
        <v>5786.61</v>
      </c>
      <c r="J648" s="5" t="n">
        <v>5786.61</v>
      </c>
      <c r="K648" s="4" t="n">
        <v>46236</v>
      </c>
      <c r="L648" s="5">
        <f>IF(I648="","",I648-J648)</f>
        <v/>
      </c>
      <c r="M648">
        <f>IF(K648="","",K648-B648)</f>
        <v/>
      </c>
    </row>
    <row r="649">
      <c r="A649" t="inlineStr">
        <is>
          <t>E-00149</t>
        </is>
      </c>
      <c r="B649" s="4" t="n">
        <v>46208</v>
      </c>
      <c r="C649" t="inlineStr">
        <is>
          <t>Various</t>
        </is>
      </c>
      <c r="D649" t="inlineStr">
        <is>
          <t>EXPENSE</t>
        </is>
      </c>
      <c r="E649" t="inlineStr">
        <is>
          <t>Misc</t>
        </is>
      </c>
      <c r="F649" s="5" t="n">
        <v>2452.33</v>
      </c>
      <c r="G649" t="n">
        <v>18</v>
      </c>
      <c r="H649" s="5" t="n">
        <v>441.42</v>
      </c>
      <c r="I649" s="5" t="n">
        <v>2893.75</v>
      </c>
      <c r="J649" s="5" t="n">
        <v>2893.75</v>
      </c>
      <c r="K649" s="4" t="n">
        <v>46214</v>
      </c>
      <c r="L649" s="5">
        <f>IF(I649="","",I649-J649)</f>
        <v/>
      </c>
      <c r="M649">
        <f>IF(K649="","",K649-B649)</f>
        <v/>
      </c>
    </row>
    <row r="650">
      <c r="A650" t="inlineStr">
        <is>
          <t>E-00150</t>
        </is>
      </c>
      <c r="B650" s="4" t="n">
        <v>46218</v>
      </c>
      <c r="C650" t="inlineStr">
        <is>
          <t>Various</t>
        </is>
      </c>
      <c r="D650" t="inlineStr">
        <is>
          <t>EXPENSE</t>
        </is>
      </c>
      <c r="E650" t="inlineStr">
        <is>
          <t>Misc</t>
        </is>
      </c>
      <c r="F650" s="5" t="n">
        <v>2799.7</v>
      </c>
      <c r="G650" t="n">
        <v>18</v>
      </c>
      <c r="H650" s="5" t="n">
        <v>503.95</v>
      </c>
      <c r="I650" s="5" t="n">
        <v>3303.65</v>
      </c>
      <c r="J650" s="5" t="n">
        <v>3303.65</v>
      </c>
      <c r="K650" s="4" t="n">
        <v>46224</v>
      </c>
      <c r="L650" s="5">
        <f>IF(I650="","",I650-J650)</f>
        <v/>
      </c>
      <c r="M650">
        <f>IF(K650="","",K650-B650)</f>
        <v/>
      </c>
    </row>
    <row r="651">
      <c r="A651" t="inlineStr">
        <is>
          <t>S-00327</t>
        </is>
      </c>
      <c r="B651" s="4" t="n">
        <v>46260</v>
      </c>
      <c r="C651" t="inlineStr">
        <is>
          <t>New Look Garments</t>
        </is>
      </c>
      <c r="D651" t="inlineStr">
        <is>
          <t>SALES</t>
        </is>
      </c>
      <c r="E651" t="inlineStr">
        <is>
          <t>Garments</t>
        </is>
      </c>
      <c r="F651" s="5" t="n">
        <v>32978.53</v>
      </c>
      <c r="G651" t="n">
        <v>12</v>
      </c>
      <c r="H651" s="5" t="n">
        <v>3957.42</v>
      </c>
      <c r="I651" s="5" t="n">
        <v>36935.95</v>
      </c>
      <c r="J651" s="5" t="n">
        <v>0</v>
      </c>
      <c r="K651" s="4" t="inlineStr"/>
      <c r="L651" s="5">
        <f>IF(I651="","",I651-J651)</f>
        <v/>
      </c>
      <c r="M651">
        <f>IF(K651="","",K651-B651)</f>
        <v/>
      </c>
    </row>
    <row r="652">
      <c r="A652" t="inlineStr">
        <is>
          <t>S-00328</t>
        </is>
      </c>
      <c r="B652" s="4" t="n">
        <v>46247</v>
      </c>
      <c r="C652" t="inlineStr">
        <is>
          <t>Bhagalpur Silk Centre</t>
        </is>
      </c>
      <c r="D652" t="inlineStr">
        <is>
          <t>SALES</t>
        </is>
      </c>
      <c r="E652" t="inlineStr">
        <is>
          <t>Fabrics</t>
        </is>
      </c>
      <c r="F652" s="5" t="n">
        <v>10612.57</v>
      </c>
      <c r="G652" t="n">
        <v>5</v>
      </c>
      <c r="H652" s="5" t="n">
        <v>530.63</v>
      </c>
      <c r="I652" s="5" t="n">
        <v>11143.2</v>
      </c>
      <c r="J652" s="5" t="n">
        <v>0</v>
      </c>
      <c r="K652" s="4" t="inlineStr"/>
      <c r="L652" s="5">
        <f>IF(I652="","",I652-J652)</f>
        <v/>
      </c>
      <c r="M652">
        <f>IF(K652="","",K652-B652)</f>
        <v/>
      </c>
    </row>
    <row r="653">
      <c r="A653" t="inlineStr">
        <is>
          <t>S-00329</t>
        </is>
      </c>
      <c r="B653" s="4" t="n">
        <v>46246</v>
      </c>
      <c r="C653" t="inlineStr">
        <is>
          <t>Patna Fashion House</t>
        </is>
      </c>
      <c r="D653" t="inlineStr">
        <is>
          <t>SALES</t>
        </is>
      </c>
      <c r="E653" t="inlineStr">
        <is>
          <t>Accessories</t>
        </is>
      </c>
      <c r="F653" s="5" t="n">
        <v>57196.16</v>
      </c>
      <c r="G653" t="n">
        <v>12</v>
      </c>
      <c r="H653" s="5" t="n">
        <v>6863.54</v>
      </c>
      <c r="I653" s="5" t="n">
        <v>64059.7</v>
      </c>
      <c r="J653" s="5" t="n">
        <v>64059.7</v>
      </c>
      <c r="K653" s="4" t="n">
        <v>46271</v>
      </c>
      <c r="L653" s="5">
        <f>IF(I653="","",I653-J653)</f>
        <v/>
      </c>
      <c r="M653">
        <f>IF(K653="","",K653-B653)</f>
        <v/>
      </c>
    </row>
    <row r="654">
      <c r="A654" t="inlineStr">
        <is>
          <t>S-00330</t>
        </is>
      </c>
      <c r="B654" s="4" t="n">
        <v>46238</v>
      </c>
      <c r="C654" t="inlineStr">
        <is>
          <t>Bhagalpur Silk Centre</t>
        </is>
      </c>
      <c r="D654" t="inlineStr">
        <is>
          <t>SALES</t>
        </is>
      </c>
      <c r="E654" t="inlineStr">
        <is>
          <t>Garments</t>
        </is>
      </c>
      <c r="F654" s="5" t="n">
        <v>57845.29</v>
      </c>
      <c r="G654" t="n">
        <v>12</v>
      </c>
      <c r="H654" s="5" t="n">
        <v>6941.43</v>
      </c>
      <c r="I654" s="5" t="n">
        <v>64786.72</v>
      </c>
      <c r="J654" s="5" t="n">
        <v>0</v>
      </c>
      <c r="K654" s="4" t="inlineStr"/>
      <c r="L654" s="5">
        <f>IF(I654="","",I654-J654)</f>
        <v/>
      </c>
      <c r="M654">
        <f>IF(K654="","",K654-B654)</f>
        <v/>
      </c>
    </row>
    <row r="655">
      <c r="A655" t="inlineStr">
        <is>
          <t>S-00331</t>
        </is>
      </c>
      <c r="B655" s="4" t="n">
        <v>46261</v>
      </c>
      <c r="C655" t="inlineStr">
        <is>
          <t>Bhagalpur Silk Centre</t>
        </is>
      </c>
      <c r="D655" t="inlineStr">
        <is>
          <t>SALES</t>
        </is>
      </c>
      <c r="E655" t="inlineStr">
        <is>
          <t>Fabrics</t>
        </is>
      </c>
      <c r="F655" s="5" t="n">
        <v>24682.51</v>
      </c>
      <c r="G655" t="n">
        <v>5</v>
      </c>
      <c r="H655" s="5" t="n">
        <v>1234.13</v>
      </c>
      <c r="I655" s="5" t="n">
        <v>25916.64</v>
      </c>
      <c r="J655" s="5" t="n">
        <v>25916.64</v>
      </c>
      <c r="K655" s="4" t="n">
        <v>46277</v>
      </c>
      <c r="L655" s="5">
        <f>IF(I655="","",I655-J655)</f>
        <v/>
      </c>
      <c r="M655">
        <f>IF(K655="","",K655-B655)</f>
        <v/>
      </c>
    </row>
    <row r="656">
      <c r="A656" t="inlineStr">
        <is>
          <t>S-00332</t>
        </is>
      </c>
      <c r="B656" s="4" t="n">
        <v>46257</v>
      </c>
      <c r="C656" t="inlineStr">
        <is>
          <t>Darbhanga Dress Point</t>
        </is>
      </c>
      <c r="D656" t="inlineStr">
        <is>
          <t>SALES</t>
        </is>
      </c>
      <c r="E656" t="inlineStr">
        <is>
          <t>Accessories</t>
        </is>
      </c>
      <c r="F656" s="5" t="n">
        <v>16211.27</v>
      </c>
      <c r="G656" t="n">
        <v>12</v>
      </c>
      <c r="H656" s="5" t="n">
        <v>1945.35</v>
      </c>
      <c r="I656" s="5" t="n">
        <v>18156.62</v>
      </c>
      <c r="J656" s="5" t="n">
        <v>18156.62</v>
      </c>
      <c r="K656" s="4" t="n">
        <v>46264</v>
      </c>
      <c r="L656" s="5">
        <f>IF(I656="","",I656-J656)</f>
        <v/>
      </c>
      <c r="M656">
        <f>IF(K656="","",K656-B656)</f>
        <v/>
      </c>
    </row>
    <row r="657">
      <c r="A657" t="inlineStr">
        <is>
          <t>S-00333</t>
        </is>
      </c>
      <c r="B657" s="4" t="n">
        <v>46249</v>
      </c>
      <c r="C657" t="inlineStr">
        <is>
          <t>Trendy Threads</t>
        </is>
      </c>
      <c r="D657" t="inlineStr">
        <is>
          <t>SALES</t>
        </is>
      </c>
      <c r="E657" t="inlineStr">
        <is>
          <t>Garments</t>
        </is>
      </c>
      <c r="F657" s="5" t="n">
        <v>60597.85</v>
      </c>
      <c r="G657" t="n">
        <v>12</v>
      </c>
      <c r="H657" s="5" t="n">
        <v>7271.74</v>
      </c>
      <c r="I657" s="5" t="n">
        <v>67869.59</v>
      </c>
      <c r="J657" s="5" t="n">
        <v>67869.59</v>
      </c>
      <c r="K657" s="4" t="n">
        <v>46290</v>
      </c>
      <c r="L657" s="5">
        <f>IF(I657="","",I657-J657)</f>
        <v/>
      </c>
      <c r="M657">
        <f>IF(K657="","",K657-B657)</f>
        <v/>
      </c>
    </row>
    <row r="658">
      <c r="A658" t="inlineStr">
        <is>
          <t>S-00334</t>
        </is>
      </c>
      <c r="B658" s="4" t="n">
        <v>46237</v>
      </c>
      <c r="C658" t="inlineStr">
        <is>
          <t>Kumkum Saree Sadan</t>
        </is>
      </c>
      <c r="D658" t="inlineStr">
        <is>
          <t>SALES</t>
        </is>
      </c>
      <c r="E658" t="inlineStr">
        <is>
          <t>Fabrics</t>
        </is>
      </c>
      <c r="F658" s="5" t="n">
        <v>88519.98</v>
      </c>
      <c r="G658" t="n">
        <v>5</v>
      </c>
      <c r="H658" s="5" t="n">
        <v>4426</v>
      </c>
      <c r="I658" s="5" t="n">
        <v>92945.98</v>
      </c>
      <c r="J658" s="5" t="n">
        <v>47003.72</v>
      </c>
      <c r="K658" s="4" t="n">
        <v>46266</v>
      </c>
      <c r="L658" s="5">
        <f>IF(I658="","",I658-J658)</f>
        <v/>
      </c>
      <c r="M658">
        <f>IF(K658="","",K658-B658)</f>
        <v/>
      </c>
    </row>
    <row r="659">
      <c r="A659" t="inlineStr">
        <is>
          <t>S-00335</t>
        </is>
      </c>
      <c r="B659" s="4" t="n">
        <v>46263</v>
      </c>
      <c r="C659" t="inlineStr">
        <is>
          <t>Muzaffarpur Cloth House</t>
        </is>
      </c>
      <c r="D659" t="inlineStr">
        <is>
          <t>SALES</t>
        </is>
      </c>
      <c r="E659" t="inlineStr">
        <is>
          <t>Fabrics</t>
        </is>
      </c>
      <c r="F659" s="5" t="n">
        <v>76211.67999999999</v>
      </c>
      <c r="G659" t="n">
        <v>5</v>
      </c>
      <c r="H659" s="5" t="n">
        <v>3810.58</v>
      </c>
      <c r="I659" s="5" t="n">
        <v>80022.25999999999</v>
      </c>
      <c r="J659" s="5" t="n">
        <v>0</v>
      </c>
      <c r="K659" s="4" t="inlineStr"/>
      <c r="L659" s="5">
        <f>IF(I659="","",I659-J659)</f>
        <v/>
      </c>
      <c r="M659">
        <f>IF(K659="","",K659-B659)</f>
        <v/>
      </c>
    </row>
    <row r="660">
      <c r="A660" t="inlineStr">
        <is>
          <t>S-00336</t>
        </is>
      </c>
      <c r="B660" s="4" t="n">
        <v>46243</v>
      </c>
      <c r="C660" t="inlineStr">
        <is>
          <t>Patna Fashion House</t>
        </is>
      </c>
      <c r="D660" t="inlineStr">
        <is>
          <t>SALES</t>
        </is>
      </c>
      <c r="E660" t="inlineStr">
        <is>
          <t>Garments</t>
        </is>
      </c>
      <c r="F660" s="5" t="n">
        <v>14027.51</v>
      </c>
      <c r="G660" t="n">
        <v>12</v>
      </c>
      <c r="H660" s="5" t="n">
        <v>1683.3</v>
      </c>
      <c r="I660" s="5" t="n">
        <v>15710.81</v>
      </c>
      <c r="J660" s="5" t="n">
        <v>0</v>
      </c>
      <c r="K660" s="4" t="inlineStr"/>
      <c r="L660" s="5">
        <f>IF(I660="","",I660-J660)</f>
        <v/>
      </c>
      <c r="M660">
        <f>IF(K660="","",K660-B660)</f>
        <v/>
      </c>
    </row>
    <row r="661">
      <c r="A661" t="inlineStr">
        <is>
          <t>S-00337</t>
        </is>
      </c>
      <c r="B661" s="4" t="n">
        <v>46256</v>
      </c>
      <c r="C661" t="inlineStr">
        <is>
          <t>Lakshmi Cloth Store</t>
        </is>
      </c>
      <c r="D661" t="inlineStr">
        <is>
          <t>SALES</t>
        </is>
      </c>
      <c r="E661" t="inlineStr">
        <is>
          <t>Garments</t>
        </is>
      </c>
      <c r="F661" s="5" t="n">
        <v>90938.3</v>
      </c>
      <c r="G661" t="n">
        <v>12</v>
      </c>
      <c r="H661" s="5" t="n">
        <v>10912.6</v>
      </c>
      <c r="I661" s="5" t="n">
        <v>101850.9</v>
      </c>
      <c r="J661" s="5" t="n">
        <v>101850.9</v>
      </c>
      <c r="K661" s="4" t="n">
        <v>46288</v>
      </c>
      <c r="L661" s="5">
        <f>IF(I661="","",I661-J661)</f>
        <v/>
      </c>
      <c r="M661">
        <f>IF(K661="","",K661-B661)</f>
        <v/>
      </c>
    </row>
    <row r="662">
      <c r="A662" t="inlineStr">
        <is>
          <t>S-00338</t>
        </is>
      </c>
      <c r="B662" s="4" t="n">
        <v>46251</v>
      </c>
      <c r="C662" t="inlineStr">
        <is>
          <t>Arrah Garment Plaza</t>
        </is>
      </c>
      <c r="D662" t="inlineStr">
        <is>
          <t>SALES</t>
        </is>
      </c>
      <c r="E662" t="inlineStr">
        <is>
          <t>Garments</t>
        </is>
      </c>
      <c r="F662" s="5" t="n">
        <v>52554.03</v>
      </c>
      <c r="G662" t="n">
        <v>12</v>
      </c>
      <c r="H662" s="5" t="n">
        <v>6306.48</v>
      </c>
      <c r="I662" s="5" t="n">
        <v>58860.51</v>
      </c>
      <c r="J662" s="5" t="n">
        <v>0</v>
      </c>
      <c r="K662" s="4" t="inlineStr"/>
      <c r="L662" s="5">
        <f>IF(I662="","",I662-J662)</f>
        <v/>
      </c>
      <c r="M662">
        <f>IF(K662="","",K662-B662)</f>
        <v/>
      </c>
    </row>
    <row r="663">
      <c r="A663" t="inlineStr">
        <is>
          <t>S-00339</t>
        </is>
      </c>
      <c r="B663" s="4" t="n">
        <v>46262</v>
      </c>
      <c r="C663" t="inlineStr">
        <is>
          <t>City Centre Apparel</t>
        </is>
      </c>
      <c r="D663" t="inlineStr">
        <is>
          <t>SALES</t>
        </is>
      </c>
      <c r="E663" t="inlineStr">
        <is>
          <t>Fabrics</t>
        </is>
      </c>
      <c r="F663" s="5" t="n">
        <v>22727.15</v>
      </c>
      <c r="G663" t="n">
        <v>5</v>
      </c>
      <c r="H663" s="5" t="n">
        <v>1136.36</v>
      </c>
      <c r="I663" s="5" t="n">
        <v>23863.51</v>
      </c>
      <c r="J663" s="5" t="n">
        <v>0</v>
      </c>
      <c r="K663" s="4" t="inlineStr"/>
      <c r="L663" s="5">
        <f>IF(I663="","",I663-J663)</f>
        <v/>
      </c>
      <c r="M663">
        <f>IF(K663="","",K663-B663)</f>
        <v/>
      </c>
    </row>
    <row r="664">
      <c r="A664" t="inlineStr">
        <is>
          <t>S-00340</t>
        </is>
      </c>
      <c r="B664" s="4" t="n">
        <v>46250</v>
      </c>
      <c r="C664" t="inlineStr">
        <is>
          <t>Vishal Mega Mart (franchise)</t>
        </is>
      </c>
      <c r="D664" t="inlineStr">
        <is>
          <t>SALES</t>
        </is>
      </c>
      <c r="E664" t="inlineStr">
        <is>
          <t>Garments</t>
        </is>
      </c>
      <c r="F664" s="5" t="n">
        <v>56815.44</v>
      </c>
      <c r="G664" t="n">
        <v>12</v>
      </c>
      <c r="H664" s="5" t="n">
        <v>6817.85</v>
      </c>
      <c r="I664" s="5" t="n">
        <v>63633.29</v>
      </c>
      <c r="J664" s="5" t="n">
        <v>63633.29</v>
      </c>
      <c r="K664" s="4" t="n">
        <v>46292</v>
      </c>
      <c r="L664" s="5">
        <f>IF(I664="","",I664-J664)</f>
        <v/>
      </c>
      <c r="M664">
        <f>IF(K664="","",K664-B664)</f>
        <v/>
      </c>
    </row>
    <row r="665">
      <c r="A665" t="inlineStr">
        <is>
          <t>S-00341</t>
        </is>
      </c>
      <c r="B665" s="4" t="n">
        <v>46259</v>
      </c>
      <c r="C665" t="inlineStr">
        <is>
          <t>Gaya Textile Traders</t>
        </is>
      </c>
      <c r="D665" t="inlineStr">
        <is>
          <t>SALES</t>
        </is>
      </c>
      <c r="E665" t="inlineStr">
        <is>
          <t>Fabrics</t>
        </is>
      </c>
      <c r="F665" s="5" t="n">
        <v>63671.51</v>
      </c>
      <c r="G665" t="n">
        <v>5</v>
      </c>
      <c r="H665" s="5" t="n">
        <v>3183.58</v>
      </c>
      <c r="I665" s="5" t="n">
        <v>66855.09</v>
      </c>
      <c r="J665" s="5" t="n">
        <v>66855.09</v>
      </c>
      <c r="K665" s="4" t="n">
        <v>46286</v>
      </c>
      <c r="L665" s="5">
        <f>IF(I665="","",I665-J665)</f>
        <v/>
      </c>
      <c r="M665">
        <f>IF(K665="","",K665-B665)</f>
        <v/>
      </c>
    </row>
    <row r="666">
      <c r="A666" t="inlineStr">
        <is>
          <t>S-00342</t>
        </is>
      </c>
      <c r="B666" s="4" t="n">
        <v>46252</v>
      </c>
      <c r="C666" t="inlineStr">
        <is>
          <t>Bhagalpur Silk Centre</t>
        </is>
      </c>
      <c r="D666" t="inlineStr">
        <is>
          <t>SALES</t>
        </is>
      </c>
      <c r="E666" t="inlineStr">
        <is>
          <t>Garments</t>
        </is>
      </c>
      <c r="F666" s="5" t="n">
        <v>27992.37</v>
      </c>
      <c r="G666" t="n">
        <v>12</v>
      </c>
      <c r="H666" s="5" t="n">
        <v>3359.08</v>
      </c>
      <c r="I666" s="5" t="n">
        <v>31351.45</v>
      </c>
      <c r="J666" s="5" t="n">
        <v>31351.45</v>
      </c>
      <c r="K666" s="4" t="n">
        <v>46295</v>
      </c>
      <c r="L666" s="5">
        <f>IF(I666="","",I666-J666)</f>
        <v/>
      </c>
      <c r="M666">
        <f>IF(K666="","",K666-B666)</f>
        <v/>
      </c>
    </row>
    <row r="667">
      <c r="A667" t="inlineStr">
        <is>
          <t>S-00343</t>
        </is>
      </c>
      <c r="B667" s="4" t="n">
        <v>46245</v>
      </c>
      <c r="C667" t="inlineStr">
        <is>
          <t>Kumkum Saree Sadan</t>
        </is>
      </c>
      <c r="D667" t="inlineStr">
        <is>
          <t>SALES</t>
        </is>
      </c>
      <c r="E667" t="inlineStr">
        <is>
          <t>Fabrics</t>
        </is>
      </c>
      <c r="F667" s="5" t="n">
        <v>54964.25</v>
      </c>
      <c r="G667" t="n">
        <v>5</v>
      </c>
      <c r="H667" s="5" t="n">
        <v>2748.21</v>
      </c>
      <c r="I667" s="5" t="n">
        <v>57712.46</v>
      </c>
      <c r="J667" s="5" t="n">
        <v>0</v>
      </c>
      <c r="K667" s="4" t="inlineStr"/>
      <c r="L667" s="5">
        <f>IF(I667="","",I667-J667)</f>
        <v/>
      </c>
      <c r="M667">
        <f>IF(K667="","",K667-B667)</f>
        <v/>
      </c>
    </row>
    <row r="668">
      <c r="A668" t="inlineStr">
        <is>
          <t>S-00344</t>
        </is>
      </c>
      <c r="B668" s="4" t="n">
        <v>46261</v>
      </c>
      <c r="C668" t="inlineStr">
        <is>
          <t>Bhagalpur Silk Centre</t>
        </is>
      </c>
      <c r="D668" t="inlineStr">
        <is>
          <t>SALES</t>
        </is>
      </c>
      <c r="E668" t="inlineStr">
        <is>
          <t>Accessories</t>
        </is>
      </c>
      <c r="F668" s="5" t="n">
        <v>76886.59</v>
      </c>
      <c r="G668" t="n">
        <v>12</v>
      </c>
      <c r="H668" s="5" t="n">
        <v>9226.389999999999</v>
      </c>
      <c r="I668" s="5" t="n">
        <v>86112.98</v>
      </c>
      <c r="J668" s="5" t="n">
        <v>86112.98</v>
      </c>
      <c r="K668" s="4" t="n">
        <v>46287</v>
      </c>
      <c r="L668" s="5">
        <f>IF(I668="","",I668-J668)</f>
        <v/>
      </c>
      <c r="M668">
        <f>IF(K668="","",K668-B668)</f>
        <v/>
      </c>
    </row>
    <row r="669">
      <c r="A669" t="inlineStr">
        <is>
          <t>S-00345</t>
        </is>
      </c>
      <c r="B669" s="4" t="n">
        <v>46255</v>
      </c>
      <c r="C669" t="inlineStr">
        <is>
          <t>Arrah Garment Plaza</t>
        </is>
      </c>
      <c r="D669" t="inlineStr">
        <is>
          <t>SALES</t>
        </is>
      </c>
      <c r="E669" t="inlineStr">
        <is>
          <t>Fabrics</t>
        </is>
      </c>
      <c r="F669" s="5" t="n">
        <v>28206.76</v>
      </c>
      <c r="G669" t="n">
        <v>5</v>
      </c>
      <c r="H669" s="5" t="n">
        <v>1410.34</v>
      </c>
      <c r="I669" s="5" t="n">
        <v>29617.1</v>
      </c>
      <c r="J669" s="5" t="n">
        <v>0</v>
      </c>
      <c r="K669" s="4" t="inlineStr"/>
      <c r="L669" s="5">
        <f>IF(I669="","",I669-J669)</f>
        <v/>
      </c>
      <c r="M669">
        <f>IF(K669="","",K669-B669)</f>
        <v/>
      </c>
    </row>
    <row r="670">
      <c r="A670" t="inlineStr">
        <is>
          <t>S-00346</t>
        </is>
      </c>
      <c r="B670" s="4" t="n">
        <v>46238</v>
      </c>
      <c r="C670" t="inlineStr">
        <is>
          <t>Gaya Textile Traders</t>
        </is>
      </c>
      <c r="D670" t="inlineStr">
        <is>
          <t>SALES</t>
        </is>
      </c>
      <c r="E670" t="inlineStr">
        <is>
          <t>Fabrics</t>
        </is>
      </c>
      <c r="F670" s="5" t="n">
        <v>92469.38</v>
      </c>
      <c r="G670" t="n">
        <v>5</v>
      </c>
      <c r="H670" s="5" t="n">
        <v>4623.47</v>
      </c>
      <c r="I670" s="5" t="n">
        <v>97092.85000000001</v>
      </c>
      <c r="J670" s="5" t="n">
        <v>49909.21</v>
      </c>
      <c r="K670" s="4" t="n">
        <v>46295</v>
      </c>
      <c r="L670" s="5">
        <f>IF(I670="","",I670-J670)</f>
        <v/>
      </c>
      <c r="M670">
        <f>IF(K670="","",K670-B670)</f>
        <v/>
      </c>
    </row>
    <row r="671">
      <c r="A671" t="inlineStr">
        <is>
          <t>S-00347</t>
        </is>
      </c>
      <c r="B671" s="4" t="n">
        <v>46253</v>
      </c>
      <c r="C671" t="inlineStr">
        <is>
          <t>Lakshmi Cloth Store</t>
        </is>
      </c>
      <c r="D671" t="inlineStr">
        <is>
          <t>SALES</t>
        </is>
      </c>
      <c r="E671" t="inlineStr">
        <is>
          <t>Fabrics</t>
        </is>
      </c>
      <c r="F671" s="5" t="n">
        <v>28654.86</v>
      </c>
      <c r="G671" t="n">
        <v>5</v>
      </c>
      <c r="H671" s="5" t="n">
        <v>1432.74</v>
      </c>
      <c r="I671" s="5" t="n">
        <v>30087.6</v>
      </c>
      <c r="J671" s="5" t="n">
        <v>0</v>
      </c>
      <c r="K671" s="4" t="inlineStr"/>
      <c r="L671" s="5">
        <f>IF(I671="","",I671-J671)</f>
        <v/>
      </c>
      <c r="M671">
        <f>IF(K671="","",K671-B671)</f>
        <v/>
      </c>
    </row>
    <row r="672">
      <c r="A672" t="inlineStr">
        <is>
          <t>S-00348</t>
        </is>
      </c>
      <c r="B672" s="4" t="n">
        <v>46261</v>
      </c>
      <c r="C672" t="inlineStr">
        <is>
          <t>New Look Garments</t>
        </is>
      </c>
      <c r="D672" t="inlineStr">
        <is>
          <t>SALES</t>
        </is>
      </c>
      <c r="E672" t="inlineStr">
        <is>
          <t>Fabrics</t>
        </is>
      </c>
      <c r="F672" s="5" t="n">
        <v>91303.05</v>
      </c>
      <c r="G672" t="n">
        <v>5</v>
      </c>
      <c r="H672" s="5" t="n">
        <v>4565.15</v>
      </c>
      <c r="I672" s="5" t="n">
        <v>95868.2</v>
      </c>
      <c r="J672" s="5" t="n">
        <v>0</v>
      </c>
      <c r="K672" s="4" t="inlineStr"/>
      <c r="L672" s="5">
        <f>IF(I672="","",I672-J672)</f>
        <v/>
      </c>
      <c r="M672">
        <f>IF(K672="","",K672-B672)</f>
        <v/>
      </c>
    </row>
    <row r="673">
      <c r="A673" t="inlineStr">
        <is>
          <t>S-00349</t>
        </is>
      </c>
      <c r="B673" s="4" t="n">
        <v>46245</v>
      </c>
      <c r="C673" t="inlineStr">
        <is>
          <t>Kumkum Saree Sadan</t>
        </is>
      </c>
      <c r="D673" t="inlineStr">
        <is>
          <t>SALES</t>
        </is>
      </c>
      <c r="E673" t="inlineStr">
        <is>
          <t>Fabrics</t>
        </is>
      </c>
      <c r="F673" s="5" t="n">
        <v>41781.66</v>
      </c>
      <c r="G673" t="n">
        <v>5</v>
      </c>
      <c r="H673" s="5" t="n">
        <v>2089.08</v>
      </c>
      <c r="I673" s="5" t="n">
        <v>43870.74</v>
      </c>
      <c r="J673" s="5" t="n">
        <v>0</v>
      </c>
      <c r="K673" s="4" t="inlineStr"/>
      <c r="L673" s="5">
        <f>IF(I673="","",I673-J673)</f>
        <v/>
      </c>
      <c r="M673">
        <f>IF(K673="","",K673-B673)</f>
        <v/>
      </c>
    </row>
    <row r="674">
      <c r="A674" t="inlineStr">
        <is>
          <t>S-00350</t>
        </is>
      </c>
      <c r="B674" s="4" t="n">
        <v>46263</v>
      </c>
      <c r="C674" t="inlineStr">
        <is>
          <t>Bhagalpur Silk Centre</t>
        </is>
      </c>
      <c r="D674" t="inlineStr">
        <is>
          <t>SALES</t>
        </is>
      </c>
      <c r="E674" t="inlineStr">
        <is>
          <t>Fabrics</t>
        </is>
      </c>
      <c r="F674" s="5" t="n">
        <v>90757.92</v>
      </c>
      <c r="G674" t="n">
        <v>5</v>
      </c>
      <c r="H674" s="5" t="n">
        <v>4537.9</v>
      </c>
      <c r="I674" s="5" t="n">
        <v>95295.82000000001</v>
      </c>
      <c r="J674" s="5" t="n">
        <v>0</v>
      </c>
      <c r="K674" s="4" t="inlineStr"/>
      <c r="L674" s="5">
        <f>IF(I674="","",I674-J674)</f>
        <v/>
      </c>
      <c r="M674">
        <f>IF(K674="","",K674-B674)</f>
        <v/>
      </c>
    </row>
    <row r="675">
      <c r="A675" t="inlineStr">
        <is>
          <t>S-00351</t>
        </is>
      </c>
      <c r="B675" s="4" t="n">
        <v>46259</v>
      </c>
      <c r="C675" t="inlineStr">
        <is>
          <t>Gaya Textile Traders</t>
        </is>
      </c>
      <c r="D675" t="inlineStr">
        <is>
          <t>SALES</t>
        </is>
      </c>
      <c r="E675" t="inlineStr">
        <is>
          <t>Accessories</t>
        </is>
      </c>
      <c r="F675" s="5" t="n">
        <v>22407.6</v>
      </c>
      <c r="G675" t="n">
        <v>12</v>
      </c>
      <c r="H675" s="5" t="n">
        <v>2688.91</v>
      </c>
      <c r="I675" s="5" t="n">
        <v>25096.51</v>
      </c>
      <c r="J675" s="5" t="n">
        <v>25096.51</v>
      </c>
      <c r="K675" s="4" t="n">
        <v>46288</v>
      </c>
      <c r="L675" s="5">
        <f>IF(I675="","",I675-J675)</f>
        <v/>
      </c>
      <c r="M675">
        <f>IF(K675="","",K675-B675)</f>
        <v/>
      </c>
    </row>
    <row r="676">
      <c r="A676" t="inlineStr">
        <is>
          <t>S-00352</t>
        </is>
      </c>
      <c r="B676" s="4" t="n">
        <v>46264</v>
      </c>
      <c r="C676" t="inlineStr">
        <is>
          <t>City Centre Apparel</t>
        </is>
      </c>
      <c r="D676" t="inlineStr">
        <is>
          <t>SALES</t>
        </is>
      </c>
      <c r="E676" t="inlineStr">
        <is>
          <t>Garments</t>
        </is>
      </c>
      <c r="F676" s="5" t="n">
        <v>85946.77</v>
      </c>
      <c r="G676" t="n">
        <v>12</v>
      </c>
      <c r="H676" s="5" t="n">
        <v>10313.61</v>
      </c>
      <c r="I676" s="5" t="n">
        <v>96260.38</v>
      </c>
      <c r="J676" s="5" t="n">
        <v>0</v>
      </c>
      <c r="K676" s="4" t="inlineStr"/>
      <c r="L676" s="5">
        <f>IF(I676="","",I676-J676)</f>
        <v/>
      </c>
      <c r="M676">
        <f>IF(K676="","",K676-B676)</f>
        <v/>
      </c>
    </row>
    <row r="677">
      <c r="A677" t="inlineStr">
        <is>
          <t>S-00353</t>
        </is>
      </c>
      <c r="B677" s="4" t="n">
        <v>46245</v>
      </c>
      <c r="C677" t="inlineStr">
        <is>
          <t>Sharma Retail Store</t>
        </is>
      </c>
      <c r="D677" t="inlineStr">
        <is>
          <t>SALES</t>
        </is>
      </c>
      <c r="E677" t="inlineStr">
        <is>
          <t>Garments</t>
        </is>
      </c>
      <c r="F677" s="5" t="n">
        <v>40348.37</v>
      </c>
      <c r="G677" t="n">
        <v>12</v>
      </c>
      <c r="H677" s="5" t="n">
        <v>4841.8</v>
      </c>
      <c r="I677" s="5" t="n">
        <v>45190.17</v>
      </c>
      <c r="J677" s="5" t="n">
        <v>0</v>
      </c>
      <c r="K677" s="4" t="inlineStr"/>
      <c r="L677" s="5">
        <f>IF(I677="","",I677-J677)</f>
        <v/>
      </c>
      <c r="M677">
        <f>IF(K677="","",K677-B677)</f>
        <v/>
      </c>
    </row>
    <row r="678">
      <c r="A678" t="inlineStr">
        <is>
          <t>S-00354</t>
        </is>
      </c>
      <c r="B678" s="4" t="n">
        <v>46250</v>
      </c>
      <c r="C678" t="inlineStr">
        <is>
          <t>Vishal Mega Mart (franchise)</t>
        </is>
      </c>
      <c r="D678" t="inlineStr">
        <is>
          <t>SALES</t>
        </is>
      </c>
      <c r="E678" t="inlineStr">
        <is>
          <t>Fabrics</t>
        </is>
      </c>
      <c r="F678" s="5" t="n">
        <v>38306.36</v>
      </c>
      <c r="G678" t="n">
        <v>5</v>
      </c>
      <c r="H678" s="5" t="n">
        <v>1915.32</v>
      </c>
      <c r="I678" s="5" t="n">
        <v>40221.68</v>
      </c>
      <c r="J678" s="5" t="n">
        <v>40221.68</v>
      </c>
      <c r="K678" s="4" t="n">
        <v>46276</v>
      </c>
      <c r="L678" s="5">
        <f>IF(I678="","",I678-J678)</f>
        <v/>
      </c>
      <c r="M678">
        <f>IF(K678="","",K678-B678)</f>
        <v/>
      </c>
    </row>
    <row r="679">
      <c r="A679" t="inlineStr">
        <is>
          <t>S-00355</t>
        </is>
      </c>
      <c r="B679" s="4" t="n">
        <v>46264</v>
      </c>
      <c r="C679" t="inlineStr">
        <is>
          <t>Bazaar Collection</t>
        </is>
      </c>
      <c r="D679" t="inlineStr">
        <is>
          <t>SALES</t>
        </is>
      </c>
      <c r="E679" t="inlineStr">
        <is>
          <t>Accessories</t>
        </is>
      </c>
      <c r="F679" s="5" t="n">
        <v>40053.05</v>
      </c>
      <c r="G679" t="n">
        <v>12</v>
      </c>
      <c r="H679" s="5" t="n">
        <v>4806.37</v>
      </c>
      <c r="I679" s="5" t="n">
        <v>44859.42</v>
      </c>
      <c r="J679" s="5" t="n">
        <v>44859.42</v>
      </c>
      <c r="K679" s="4" t="n">
        <v>46279</v>
      </c>
      <c r="L679" s="5">
        <f>IF(I679="","",I679-J679)</f>
        <v/>
      </c>
      <c r="M679">
        <f>IF(K679="","",K679-B679)</f>
        <v/>
      </c>
    </row>
    <row r="680">
      <c r="A680" t="inlineStr">
        <is>
          <t>S-00356</t>
        </is>
      </c>
      <c r="B680" s="4" t="n">
        <v>46252</v>
      </c>
      <c r="C680" t="inlineStr">
        <is>
          <t>Bhagalpur Silk Centre</t>
        </is>
      </c>
      <c r="D680" t="inlineStr">
        <is>
          <t>SALES</t>
        </is>
      </c>
      <c r="E680" t="inlineStr">
        <is>
          <t>Fabrics</t>
        </is>
      </c>
      <c r="F680" s="5" t="n">
        <v>41664.08</v>
      </c>
      <c r="G680" t="n">
        <v>5</v>
      </c>
      <c r="H680" s="5" t="n">
        <v>2083.2</v>
      </c>
      <c r="I680" s="5" t="n">
        <v>43747.28</v>
      </c>
      <c r="J680" s="5" t="n">
        <v>0</v>
      </c>
      <c r="K680" s="4" t="inlineStr"/>
      <c r="L680" s="5">
        <f>IF(I680="","",I680-J680)</f>
        <v/>
      </c>
      <c r="M680">
        <f>IF(K680="","",K680-B680)</f>
        <v/>
      </c>
    </row>
    <row r="681">
      <c r="A681" t="inlineStr">
        <is>
          <t>S-00357</t>
        </is>
      </c>
      <c r="B681" s="4" t="n">
        <v>46239</v>
      </c>
      <c r="C681" t="inlineStr">
        <is>
          <t>Purnia Fashion Hub</t>
        </is>
      </c>
      <c r="D681" t="inlineStr">
        <is>
          <t>SALES</t>
        </is>
      </c>
      <c r="E681" t="inlineStr">
        <is>
          <t>Fabrics</t>
        </is>
      </c>
      <c r="F681" s="5" t="n">
        <v>60089.09</v>
      </c>
      <c r="G681" t="n">
        <v>5</v>
      </c>
      <c r="H681" s="5" t="n">
        <v>3004.45</v>
      </c>
      <c r="I681" s="5" t="n">
        <v>63093.54</v>
      </c>
      <c r="J681" s="5" t="n">
        <v>63093.54</v>
      </c>
      <c r="K681" s="4" t="n">
        <v>46283</v>
      </c>
      <c r="L681" s="5">
        <f>IF(I681="","",I681-J681)</f>
        <v/>
      </c>
      <c r="M681">
        <f>IF(K681="","",K681-B681)</f>
        <v/>
      </c>
    </row>
    <row r="682">
      <c r="A682" t="inlineStr">
        <is>
          <t>S-00358</t>
        </is>
      </c>
      <c r="B682" s="4" t="n">
        <v>46254</v>
      </c>
      <c r="C682" t="inlineStr">
        <is>
          <t>Patna Fashion House</t>
        </is>
      </c>
      <c r="D682" t="inlineStr">
        <is>
          <t>SALES</t>
        </is>
      </c>
      <c r="E682" t="inlineStr">
        <is>
          <t>Fabrics</t>
        </is>
      </c>
      <c r="F682" s="5" t="n">
        <v>30247.75</v>
      </c>
      <c r="G682" t="n">
        <v>5</v>
      </c>
      <c r="H682" s="5" t="n">
        <v>1512.39</v>
      </c>
      <c r="I682" s="5" t="n">
        <v>31760.14</v>
      </c>
      <c r="J682" s="5" t="n">
        <v>31760.14</v>
      </c>
      <c r="K682" s="4" t="n">
        <v>46269</v>
      </c>
      <c r="L682" s="5">
        <f>IF(I682="","",I682-J682)</f>
        <v/>
      </c>
      <c r="M682">
        <f>IF(K682="","",K682-B682)</f>
        <v/>
      </c>
    </row>
    <row r="683">
      <c r="A683" t="inlineStr">
        <is>
          <t>P-00174</t>
        </is>
      </c>
      <c r="B683" s="4" t="n">
        <v>46239</v>
      </c>
      <c r="C683" t="inlineStr">
        <is>
          <t>Tiruppur Garment Works</t>
        </is>
      </c>
      <c r="D683" t="inlineStr">
        <is>
          <t>PURCHASE</t>
        </is>
      </c>
      <c r="E683" t="inlineStr">
        <is>
          <t>Inventory purchases</t>
        </is>
      </c>
      <c r="F683" s="5" t="n">
        <v>110841.44</v>
      </c>
      <c r="G683" t="n">
        <v>5</v>
      </c>
      <c r="H683" s="5" t="n">
        <v>5542.07</v>
      </c>
      <c r="I683" s="5" t="n">
        <v>116383.51</v>
      </c>
      <c r="J683" s="5" t="n">
        <v>116383.51</v>
      </c>
      <c r="K683" s="4" t="n">
        <v>46257</v>
      </c>
      <c r="L683" s="5">
        <f>IF(I683="","",I683-J683)</f>
        <v/>
      </c>
      <c r="M683">
        <f>IF(K683="","",K683-B683)</f>
        <v/>
      </c>
    </row>
    <row r="684">
      <c r="A684" t="inlineStr">
        <is>
          <t>P-00175</t>
        </is>
      </c>
      <c r="B684" s="4" t="n">
        <v>46247</v>
      </c>
      <c r="C684" t="inlineStr">
        <is>
          <t>Delhi Fabric Suppliers</t>
        </is>
      </c>
      <c r="D684" t="inlineStr">
        <is>
          <t>PURCHASE</t>
        </is>
      </c>
      <c r="E684" t="inlineStr">
        <is>
          <t>Inventory purchases</t>
        </is>
      </c>
      <c r="F684" s="5" t="n">
        <v>60337.76</v>
      </c>
      <c r="G684" t="n">
        <v>5</v>
      </c>
      <c r="H684" s="5" t="n">
        <v>3016.89</v>
      </c>
      <c r="I684" s="5" t="n">
        <v>63354.65</v>
      </c>
      <c r="J684" s="5" t="n">
        <v>0</v>
      </c>
      <c r="K684" s="4" t="inlineStr"/>
      <c r="L684" s="5">
        <f>IF(I684="","",I684-J684)</f>
        <v/>
      </c>
      <c r="M684">
        <f>IF(K684="","",K684-B684)</f>
        <v/>
      </c>
    </row>
    <row r="685">
      <c r="A685" t="inlineStr">
        <is>
          <t>P-00176</t>
        </is>
      </c>
      <c r="B685" s="4" t="n">
        <v>46261</v>
      </c>
      <c r="C685" t="inlineStr">
        <is>
          <t>Ludhiana Knitwear Co</t>
        </is>
      </c>
      <c r="D685" t="inlineStr">
        <is>
          <t>PURCHASE</t>
        </is>
      </c>
      <c r="E685" t="inlineStr">
        <is>
          <t>Inventory purchases</t>
        </is>
      </c>
      <c r="F685" s="5" t="n">
        <v>103865.76</v>
      </c>
      <c r="G685" t="n">
        <v>5</v>
      </c>
      <c r="H685" s="5" t="n">
        <v>5193.29</v>
      </c>
      <c r="I685" s="5" t="n">
        <v>109059.05</v>
      </c>
      <c r="J685" s="5" t="n">
        <v>109059.05</v>
      </c>
      <c r="K685" s="4" t="n">
        <v>46278</v>
      </c>
      <c r="L685" s="5">
        <f>IF(I685="","",I685-J685)</f>
        <v/>
      </c>
      <c r="M685">
        <f>IF(K685="","",K685-B685)</f>
        <v/>
      </c>
    </row>
    <row r="686">
      <c r="A686" t="inlineStr">
        <is>
          <t>P-00177</t>
        </is>
      </c>
      <c r="B686" s="4" t="n">
        <v>46240</v>
      </c>
      <c r="C686" t="inlineStr">
        <is>
          <t>Jaipur Print Works</t>
        </is>
      </c>
      <c r="D686" t="inlineStr">
        <is>
          <t>PURCHASE</t>
        </is>
      </c>
      <c r="E686" t="inlineStr">
        <is>
          <t>Inventory purchases</t>
        </is>
      </c>
      <c r="F686" s="5" t="n">
        <v>19086.59</v>
      </c>
      <c r="G686" t="n">
        <v>5</v>
      </c>
      <c r="H686" s="5" t="n">
        <v>954.33</v>
      </c>
      <c r="I686" s="5" t="n">
        <v>20040.92</v>
      </c>
      <c r="J686" s="5" t="n">
        <v>20040.92</v>
      </c>
      <c r="K686" s="4" t="n">
        <v>46256</v>
      </c>
      <c r="L686" s="5">
        <f>IF(I686="","",I686-J686)</f>
        <v/>
      </c>
      <c r="M686">
        <f>IF(K686="","",K686-B686)</f>
        <v/>
      </c>
    </row>
    <row r="687">
      <c r="A687" t="inlineStr">
        <is>
          <t>P-00178</t>
        </is>
      </c>
      <c r="B687" s="4" t="n">
        <v>46238</v>
      </c>
      <c r="C687" t="inlineStr">
        <is>
          <t>Surat Textile Mills</t>
        </is>
      </c>
      <c r="D687" t="inlineStr">
        <is>
          <t>PURCHASE</t>
        </is>
      </c>
      <c r="E687" t="inlineStr">
        <is>
          <t>Inventory purchases</t>
        </is>
      </c>
      <c r="F687" s="5" t="n">
        <v>99222.28999999999</v>
      </c>
      <c r="G687" t="n">
        <v>5</v>
      </c>
      <c r="H687" s="5" t="n">
        <v>4961.11</v>
      </c>
      <c r="I687" s="5" t="n">
        <v>104183.4</v>
      </c>
      <c r="J687" s="5" t="n">
        <v>104183.4</v>
      </c>
      <c r="K687" s="4" t="n">
        <v>46264</v>
      </c>
      <c r="L687" s="5">
        <f>IF(I687="","",I687-J687)</f>
        <v/>
      </c>
      <c r="M687">
        <f>IF(K687="","",K687-B687)</f>
        <v/>
      </c>
    </row>
    <row r="688">
      <c r="A688" t="inlineStr">
        <is>
          <t>P-00179</t>
        </is>
      </c>
      <c r="B688" s="4" t="n">
        <v>46251</v>
      </c>
      <c r="C688" t="inlineStr">
        <is>
          <t>Kolkata Hosiery House</t>
        </is>
      </c>
      <c r="D688" t="inlineStr">
        <is>
          <t>PURCHASE</t>
        </is>
      </c>
      <c r="E688" t="inlineStr">
        <is>
          <t>Inventory purchases</t>
        </is>
      </c>
      <c r="F688" s="5" t="n">
        <v>102366.69</v>
      </c>
      <c r="G688" t="n">
        <v>5</v>
      </c>
      <c r="H688" s="5" t="n">
        <v>5118.33</v>
      </c>
      <c r="I688" s="5" t="n">
        <v>107485.02</v>
      </c>
      <c r="J688" s="5" t="n">
        <v>107485.02</v>
      </c>
      <c r="K688" s="4" t="n">
        <v>46258</v>
      </c>
      <c r="L688" s="5">
        <f>IF(I688="","",I688-J688)</f>
        <v/>
      </c>
      <c r="M688">
        <f>IF(K688="","",K688-B688)</f>
        <v/>
      </c>
    </row>
    <row r="689">
      <c r="A689" t="inlineStr">
        <is>
          <t>P-00180</t>
        </is>
      </c>
      <c r="B689" s="4" t="n">
        <v>46237</v>
      </c>
      <c r="C689" t="inlineStr">
        <is>
          <t>Jaipur Print Works</t>
        </is>
      </c>
      <c r="D689" t="inlineStr">
        <is>
          <t>PURCHASE</t>
        </is>
      </c>
      <c r="E689" t="inlineStr">
        <is>
          <t>Inventory purchases</t>
        </is>
      </c>
      <c r="F689" s="5" t="n">
        <v>21854.17</v>
      </c>
      <c r="G689" t="n">
        <v>5</v>
      </c>
      <c r="H689" s="5" t="n">
        <v>1092.71</v>
      </c>
      <c r="I689" s="5" t="n">
        <v>22946.88</v>
      </c>
      <c r="J689" s="5" t="n">
        <v>22946.88</v>
      </c>
      <c r="K689" s="4" t="n">
        <v>46246</v>
      </c>
      <c r="L689" s="5">
        <f>IF(I689="","",I689-J689)</f>
        <v/>
      </c>
      <c r="M689">
        <f>IF(K689="","",K689-B689)</f>
        <v/>
      </c>
    </row>
    <row r="690">
      <c r="A690" t="inlineStr">
        <is>
          <t>P-00181</t>
        </is>
      </c>
      <c r="B690" s="4" t="n">
        <v>46237</v>
      </c>
      <c r="C690" t="inlineStr">
        <is>
          <t>Tiruppur Garment Works</t>
        </is>
      </c>
      <c r="D690" t="inlineStr">
        <is>
          <t>PURCHASE</t>
        </is>
      </c>
      <c r="E690" t="inlineStr">
        <is>
          <t>Inventory purchases</t>
        </is>
      </c>
      <c r="F690" s="5" t="n">
        <v>11124.45</v>
      </c>
      <c r="G690" t="n">
        <v>5</v>
      </c>
      <c r="H690" s="5" t="n">
        <v>556.22</v>
      </c>
      <c r="I690" s="5" t="n">
        <v>11680.67</v>
      </c>
      <c r="J690" s="5" t="n">
        <v>5797.21</v>
      </c>
      <c r="K690" s="4" t="n">
        <v>46266</v>
      </c>
      <c r="L690" s="5">
        <f>IF(I690="","",I690-J690)</f>
        <v/>
      </c>
      <c r="M690">
        <f>IF(K690="","",K690-B690)</f>
        <v/>
      </c>
    </row>
    <row r="691">
      <c r="A691" t="inlineStr">
        <is>
          <t>P-00182</t>
        </is>
      </c>
      <c r="B691" s="4" t="n">
        <v>46265</v>
      </c>
      <c r="C691" t="inlineStr">
        <is>
          <t>Tiruppur Garment Works</t>
        </is>
      </c>
      <c r="D691" t="inlineStr">
        <is>
          <t>PURCHASE</t>
        </is>
      </c>
      <c r="E691" t="inlineStr">
        <is>
          <t>Inventory purchases</t>
        </is>
      </c>
      <c r="F691" s="5" t="n">
        <v>16488.34</v>
      </c>
      <c r="G691" t="n">
        <v>5</v>
      </c>
      <c r="H691" s="5" t="n">
        <v>824.42</v>
      </c>
      <c r="I691" s="5" t="n">
        <v>17312.76</v>
      </c>
      <c r="J691" s="5" t="n">
        <v>17312.76</v>
      </c>
      <c r="K691" s="4" t="n">
        <v>46284</v>
      </c>
      <c r="L691" s="5">
        <f>IF(I691="","",I691-J691)</f>
        <v/>
      </c>
      <c r="M691">
        <f>IF(K691="","",K691-B691)</f>
        <v/>
      </c>
    </row>
    <row r="692">
      <c r="A692" t="inlineStr">
        <is>
          <t>P-00183</t>
        </is>
      </c>
      <c r="B692" s="4" t="n">
        <v>46243</v>
      </c>
      <c r="C692" t="inlineStr">
        <is>
          <t>Ludhiana Knitwear Co</t>
        </is>
      </c>
      <c r="D692" t="inlineStr">
        <is>
          <t>PURCHASE</t>
        </is>
      </c>
      <c r="E692" t="inlineStr">
        <is>
          <t>Inventory purchases</t>
        </is>
      </c>
      <c r="F692" s="5" t="n">
        <v>31173.32</v>
      </c>
      <c r="G692" t="n">
        <v>5</v>
      </c>
      <c r="H692" s="5" t="n">
        <v>1558.67</v>
      </c>
      <c r="I692" s="5" t="n">
        <v>32731.99</v>
      </c>
      <c r="J692" s="5" t="n">
        <v>32731.99</v>
      </c>
      <c r="K692" s="4" t="n">
        <v>46265</v>
      </c>
      <c r="L692" s="5">
        <f>IF(I692="","",I692-J692)</f>
        <v/>
      </c>
      <c r="M692">
        <f>IF(K692="","",K692-B692)</f>
        <v/>
      </c>
    </row>
    <row r="693">
      <c r="A693" t="inlineStr">
        <is>
          <t>P-00184</t>
        </is>
      </c>
      <c r="B693" s="4" t="n">
        <v>46246</v>
      </c>
      <c r="C693" t="inlineStr">
        <is>
          <t>Delhi Fabric Suppliers</t>
        </is>
      </c>
      <c r="D693" t="inlineStr">
        <is>
          <t>PURCHASE</t>
        </is>
      </c>
      <c r="E693" t="inlineStr">
        <is>
          <t>Inventory purchases</t>
        </is>
      </c>
      <c r="F693" s="5" t="n">
        <v>65638.09</v>
      </c>
      <c r="G693" t="n">
        <v>5</v>
      </c>
      <c r="H693" s="5" t="n">
        <v>3281.9</v>
      </c>
      <c r="I693" s="5" t="n">
        <v>68919.99000000001</v>
      </c>
      <c r="J693" s="5" t="n">
        <v>50511.61</v>
      </c>
      <c r="K693" s="4" t="n">
        <v>46273</v>
      </c>
      <c r="L693" s="5">
        <f>IF(I693="","",I693-J693)</f>
        <v/>
      </c>
      <c r="M693">
        <f>IF(K693="","",K693-B693)</f>
        <v/>
      </c>
    </row>
    <row r="694">
      <c r="A694" t="inlineStr">
        <is>
          <t>P-00185</t>
        </is>
      </c>
      <c r="B694" s="4" t="n">
        <v>46247</v>
      </c>
      <c r="C694" t="inlineStr">
        <is>
          <t>Tiruppur Garment Works</t>
        </is>
      </c>
      <c r="D694" t="inlineStr">
        <is>
          <t>PURCHASE</t>
        </is>
      </c>
      <c r="E694" t="inlineStr">
        <is>
          <t>Inventory purchases</t>
        </is>
      </c>
      <c r="F694" s="5" t="n">
        <v>26136.42</v>
      </c>
      <c r="G694" t="n">
        <v>5</v>
      </c>
      <c r="H694" s="5" t="n">
        <v>1306.82</v>
      </c>
      <c r="I694" s="5" t="n">
        <v>27443.24</v>
      </c>
      <c r="J694" s="5" t="n">
        <v>27443.24</v>
      </c>
      <c r="K694" s="4" t="n">
        <v>46262</v>
      </c>
      <c r="L694" s="5">
        <f>IF(I694="","",I694-J694)</f>
        <v/>
      </c>
      <c r="M694">
        <f>IF(K694="","",K694-B694)</f>
        <v/>
      </c>
    </row>
    <row r="695">
      <c r="A695" t="inlineStr">
        <is>
          <t>P-00186</t>
        </is>
      </c>
      <c r="B695" s="4" t="n">
        <v>46263</v>
      </c>
      <c r="C695" t="inlineStr">
        <is>
          <t>Delhi Fabric Suppliers</t>
        </is>
      </c>
      <c r="D695" t="inlineStr">
        <is>
          <t>PURCHASE</t>
        </is>
      </c>
      <c r="E695" t="inlineStr">
        <is>
          <t>Inventory purchases</t>
        </is>
      </c>
      <c r="F695" s="5" t="n">
        <v>103829.05</v>
      </c>
      <c r="G695" t="n">
        <v>5</v>
      </c>
      <c r="H695" s="5" t="n">
        <v>5191.45</v>
      </c>
      <c r="I695" s="5" t="n">
        <v>109020.5</v>
      </c>
      <c r="J695" s="5" t="n">
        <v>109020.5</v>
      </c>
      <c r="K695" s="4" t="n">
        <v>46277</v>
      </c>
      <c r="L695" s="5">
        <f>IF(I695="","",I695-J695)</f>
        <v/>
      </c>
      <c r="M695">
        <f>IF(K695="","",K695-B695)</f>
        <v/>
      </c>
    </row>
    <row r="696">
      <c r="A696" t="inlineStr">
        <is>
          <t>P-00187</t>
        </is>
      </c>
      <c r="B696" s="4" t="n">
        <v>46250</v>
      </c>
      <c r="C696" t="inlineStr">
        <is>
          <t>Surat Textile Mills</t>
        </is>
      </c>
      <c r="D696" t="inlineStr">
        <is>
          <t>PURCHASE</t>
        </is>
      </c>
      <c r="E696" t="inlineStr">
        <is>
          <t>Inventory purchases</t>
        </is>
      </c>
      <c r="F696" s="5" t="n">
        <v>26661.47</v>
      </c>
      <c r="G696" t="n">
        <v>5</v>
      </c>
      <c r="H696" s="5" t="n">
        <v>1333.07</v>
      </c>
      <c r="I696" s="5" t="n">
        <v>27994.54</v>
      </c>
      <c r="J696" s="5" t="n">
        <v>27994.54</v>
      </c>
      <c r="K696" s="4" t="n">
        <v>46266</v>
      </c>
      <c r="L696" s="5">
        <f>IF(I696="","",I696-J696)</f>
        <v/>
      </c>
      <c r="M696">
        <f>IF(K696="","",K696-B696)</f>
        <v/>
      </c>
    </row>
    <row r="697">
      <c r="A697" t="inlineStr">
        <is>
          <t>P-00188</t>
        </is>
      </c>
      <c r="B697" s="4" t="n">
        <v>46259</v>
      </c>
      <c r="C697" t="inlineStr">
        <is>
          <t>Delhi Fabric Suppliers</t>
        </is>
      </c>
      <c r="D697" t="inlineStr">
        <is>
          <t>PURCHASE</t>
        </is>
      </c>
      <c r="E697" t="inlineStr">
        <is>
          <t>Inventory purchases</t>
        </is>
      </c>
      <c r="F697" s="5" t="n">
        <v>75979.22</v>
      </c>
      <c r="G697" t="n">
        <v>5</v>
      </c>
      <c r="H697" s="5" t="n">
        <v>3798.96</v>
      </c>
      <c r="I697" s="5" t="n">
        <v>79778.17999999999</v>
      </c>
      <c r="J697" s="5" t="n">
        <v>79778.17999999999</v>
      </c>
      <c r="K697" s="4" t="n">
        <v>46272</v>
      </c>
      <c r="L697" s="5">
        <f>IF(I697="","",I697-J697)</f>
        <v/>
      </c>
      <c r="M697">
        <f>IF(K697="","",K697-B697)</f>
        <v/>
      </c>
    </row>
    <row r="698">
      <c r="A698" t="inlineStr">
        <is>
          <t>P-00189</t>
        </is>
      </c>
      <c r="B698" s="4" t="n">
        <v>46249</v>
      </c>
      <c r="C698" t="inlineStr">
        <is>
          <t>Delhi Fabric Suppliers</t>
        </is>
      </c>
      <c r="D698" t="inlineStr">
        <is>
          <t>PURCHASE</t>
        </is>
      </c>
      <c r="E698" t="inlineStr">
        <is>
          <t>Inventory purchases</t>
        </is>
      </c>
      <c r="F698" s="5" t="n">
        <v>53006.26</v>
      </c>
      <c r="G698" t="n">
        <v>5</v>
      </c>
      <c r="H698" s="5" t="n">
        <v>2650.31</v>
      </c>
      <c r="I698" s="5" t="n">
        <v>55656.57</v>
      </c>
      <c r="J698" s="5" t="n">
        <v>55656.57</v>
      </c>
      <c r="K698" s="4" t="n">
        <v>46263</v>
      </c>
      <c r="L698" s="5">
        <f>IF(I698="","",I698-J698)</f>
        <v/>
      </c>
      <c r="M698">
        <f>IF(K698="","",K698-B698)</f>
        <v/>
      </c>
    </row>
    <row r="699">
      <c r="A699" t="inlineStr">
        <is>
          <t>P-00190</t>
        </is>
      </c>
      <c r="B699" s="4" t="n">
        <v>46242</v>
      </c>
      <c r="C699" t="inlineStr">
        <is>
          <t>Surat Textile Mills</t>
        </is>
      </c>
      <c r="D699" t="inlineStr">
        <is>
          <t>PURCHASE</t>
        </is>
      </c>
      <c r="E699" t="inlineStr">
        <is>
          <t>Inventory purchases</t>
        </is>
      </c>
      <c r="F699" s="5" t="n">
        <v>60930.74</v>
      </c>
      <c r="G699" t="n">
        <v>5</v>
      </c>
      <c r="H699" s="5" t="n">
        <v>3046.54</v>
      </c>
      <c r="I699" s="5" t="n">
        <v>63977.28</v>
      </c>
      <c r="J699" s="5" t="n">
        <v>43157.58</v>
      </c>
      <c r="K699" s="4" t="n">
        <v>46260</v>
      </c>
      <c r="L699" s="5">
        <f>IF(I699="","",I699-J699)</f>
        <v/>
      </c>
      <c r="M699">
        <f>IF(K699="","",K699-B699)</f>
        <v/>
      </c>
    </row>
    <row r="700">
      <c r="A700" t="inlineStr">
        <is>
          <t>P-00191</t>
        </is>
      </c>
      <c r="B700" s="4" t="n">
        <v>46245</v>
      </c>
      <c r="C700" t="inlineStr">
        <is>
          <t>Jaipur Print Works</t>
        </is>
      </c>
      <c r="D700" t="inlineStr">
        <is>
          <t>PURCHASE</t>
        </is>
      </c>
      <c r="E700" t="inlineStr">
        <is>
          <t>Inventory purchases</t>
        </is>
      </c>
      <c r="F700" s="5" t="n">
        <v>59508.6</v>
      </c>
      <c r="G700" t="n">
        <v>5</v>
      </c>
      <c r="H700" s="5" t="n">
        <v>2975.43</v>
      </c>
      <c r="I700" s="5" t="n">
        <v>62484.03</v>
      </c>
      <c r="J700" s="5" t="n">
        <v>62484.03</v>
      </c>
      <c r="K700" s="4" t="n">
        <v>46267</v>
      </c>
      <c r="L700" s="5">
        <f>IF(I700="","",I700-J700)</f>
        <v/>
      </c>
      <c r="M700">
        <f>IF(K700="","",K700-B700)</f>
        <v/>
      </c>
    </row>
    <row r="701">
      <c r="A701" t="inlineStr">
        <is>
          <t>E-00151</t>
        </is>
      </c>
      <c r="B701" s="4" t="n">
        <v>46246</v>
      </c>
      <c r="C701" t="inlineStr">
        <is>
          <t>Various</t>
        </is>
      </c>
      <c r="D701" t="inlineStr">
        <is>
          <t>EXPENSE</t>
        </is>
      </c>
      <c r="E701" t="inlineStr">
        <is>
          <t>Rent</t>
        </is>
      </c>
      <c r="F701" s="5" t="n">
        <v>25338.67</v>
      </c>
      <c r="G701" t="n">
        <v>18</v>
      </c>
      <c r="H701" s="5" t="n">
        <v>4560.96</v>
      </c>
      <c r="I701" s="5" t="n">
        <v>29899.63</v>
      </c>
      <c r="J701" s="5" t="n">
        <v>29899.63</v>
      </c>
      <c r="K701" s="4" t="n">
        <v>46254</v>
      </c>
      <c r="L701" s="5">
        <f>IF(I701="","",I701-J701)</f>
        <v/>
      </c>
      <c r="M701">
        <f>IF(K701="","",K701-B701)</f>
        <v/>
      </c>
    </row>
    <row r="702">
      <c r="A702" t="inlineStr">
        <is>
          <t>E-00152</t>
        </is>
      </c>
      <c r="B702" s="4" t="n">
        <v>46240</v>
      </c>
      <c r="C702" t="inlineStr">
        <is>
          <t>Various</t>
        </is>
      </c>
      <c r="D702" t="inlineStr">
        <is>
          <t>EXPENSE</t>
        </is>
      </c>
      <c r="E702" t="inlineStr">
        <is>
          <t>Salaries</t>
        </is>
      </c>
      <c r="F702" s="5" t="n">
        <v>86305.59</v>
      </c>
      <c r="G702" t="n">
        <v>0</v>
      </c>
      <c r="H702" s="5" t="n">
        <v>0</v>
      </c>
      <c r="I702" s="5" t="n">
        <v>86305.59</v>
      </c>
      <c r="J702" s="5" t="n">
        <v>86305.59</v>
      </c>
      <c r="K702" s="4" t="n">
        <v>46241</v>
      </c>
      <c r="L702" s="5">
        <f>IF(I702="","",I702-J702)</f>
        <v/>
      </c>
      <c r="M702">
        <f>IF(K702="","",K702-B702)</f>
        <v/>
      </c>
    </row>
    <row r="703">
      <c r="A703" t="inlineStr">
        <is>
          <t>E-00153</t>
        </is>
      </c>
      <c r="B703" s="4" t="n">
        <v>46257</v>
      </c>
      <c r="C703" t="inlineStr">
        <is>
          <t>Various</t>
        </is>
      </c>
      <c r="D703" t="inlineStr">
        <is>
          <t>EXPENSE</t>
        </is>
      </c>
      <c r="E703" t="inlineStr">
        <is>
          <t>Utilities</t>
        </is>
      </c>
      <c r="F703" s="5" t="n">
        <v>6462.05</v>
      </c>
      <c r="G703" t="n">
        <v>18</v>
      </c>
      <c r="H703" s="5" t="n">
        <v>1163.17</v>
      </c>
      <c r="I703" s="5" t="n">
        <v>7625.22</v>
      </c>
      <c r="J703" s="5" t="n">
        <v>7625.22</v>
      </c>
      <c r="K703" s="4" t="n">
        <v>46260</v>
      </c>
      <c r="L703" s="5">
        <f>IF(I703="","",I703-J703)</f>
        <v/>
      </c>
      <c r="M703">
        <f>IF(K703="","",K703-B703)</f>
        <v/>
      </c>
    </row>
    <row r="704">
      <c r="A704" t="inlineStr">
        <is>
          <t>E-00154</t>
        </is>
      </c>
      <c r="B704" s="4" t="n">
        <v>46241</v>
      </c>
      <c r="C704" t="inlineStr">
        <is>
          <t>Various</t>
        </is>
      </c>
      <c r="D704" t="inlineStr">
        <is>
          <t>EXPENSE</t>
        </is>
      </c>
      <c r="E704" t="inlineStr">
        <is>
          <t>Transport</t>
        </is>
      </c>
      <c r="F704" s="5" t="n">
        <v>6481.93</v>
      </c>
      <c r="G704" t="n">
        <v>5</v>
      </c>
      <c r="H704" s="5" t="n">
        <v>324.1</v>
      </c>
      <c r="I704" s="5" t="n">
        <v>6806.03</v>
      </c>
      <c r="J704" s="5" t="n">
        <v>6806.03</v>
      </c>
      <c r="K704" s="4" t="n">
        <v>46246</v>
      </c>
      <c r="L704" s="5">
        <f>IF(I704="","",I704-J704)</f>
        <v/>
      </c>
      <c r="M704">
        <f>IF(K704="","",K704-B704)</f>
        <v/>
      </c>
    </row>
    <row r="705">
      <c r="A705" t="inlineStr">
        <is>
          <t>E-00155</t>
        </is>
      </c>
      <c r="B705" s="4" t="n">
        <v>46247</v>
      </c>
      <c r="C705" t="inlineStr">
        <is>
          <t>Various</t>
        </is>
      </c>
      <c r="D705" t="inlineStr">
        <is>
          <t>EXPENSE</t>
        </is>
      </c>
      <c r="E705" t="inlineStr">
        <is>
          <t>Transport</t>
        </is>
      </c>
      <c r="F705" s="5" t="n">
        <v>3991.18</v>
      </c>
      <c r="G705" t="n">
        <v>5</v>
      </c>
      <c r="H705" s="5" t="n">
        <v>199.56</v>
      </c>
      <c r="I705" s="5" t="n">
        <v>4190.74</v>
      </c>
      <c r="J705" s="5" t="n">
        <v>4190.74</v>
      </c>
      <c r="K705" s="4" t="n">
        <v>46250</v>
      </c>
      <c r="L705" s="5">
        <f>IF(I705="","",I705-J705)</f>
        <v/>
      </c>
      <c r="M705">
        <f>IF(K705="","",K705-B705)</f>
        <v/>
      </c>
    </row>
    <row r="706">
      <c r="A706" t="inlineStr">
        <is>
          <t>E-00156</t>
        </is>
      </c>
      <c r="B706" s="4" t="n">
        <v>46259</v>
      </c>
      <c r="C706" t="inlineStr">
        <is>
          <t>Various</t>
        </is>
      </c>
      <c r="D706" t="inlineStr">
        <is>
          <t>EXPENSE</t>
        </is>
      </c>
      <c r="E706" t="inlineStr">
        <is>
          <t>Transport</t>
        </is>
      </c>
      <c r="F706" s="5" t="n">
        <v>8203.879999999999</v>
      </c>
      <c r="G706" t="n">
        <v>5</v>
      </c>
      <c r="H706" s="5" t="n">
        <v>410.19</v>
      </c>
      <c r="I706" s="5" t="n">
        <v>8614.07</v>
      </c>
      <c r="J706" s="5" t="n">
        <v>8614.07</v>
      </c>
      <c r="K706" s="4" t="n">
        <v>46264</v>
      </c>
      <c r="L706" s="5">
        <f>IF(I706="","",I706-J706)</f>
        <v/>
      </c>
      <c r="M706">
        <f>IF(K706="","",K706-B706)</f>
        <v/>
      </c>
    </row>
    <row r="707">
      <c r="A707" t="inlineStr">
        <is>
          <t>E-00157</t>
        </is>
      </c>
      <c r="B707" s="4" t="n">
        <v>46243</v>
      </c>
      <c r="C707" t="inlineStr">
        <is>
          <t>Various</t>
        </is>
      </c>
      <c r="D707" t="inlineStr">
        <is>
          <t>EXPENSE</t>
        </is>
      </c>
      <c r="E707" t="inlineStr">
        <is>
          <t>Transport</t>
        </is>
      </c>
      <c r="F707" s="5" t="n">
        <v>2815.67</v>
      </c>
      <c r="G707" t="n">
        <v>5</v>
      </c>
      <c r="H707" s="5" t="n">
        <v>140.78</v>
      </c>
      <c r="I707" s="5" t="n">
        <v>2956.45</v>
      </c>
      <c r="J707" s="5" t="n">
        <v>2956.45</v>
      </c>
      <c r="K707" s="4" t="n">
        <v>46246</v>
      </c>
      <c r="L707" s="5">
        <f>IF(I707="","",I707-J707)</f>
        <v/>
      </c>
      <c r="M707">
        <f>IF(K707="","",K707-B707)</f>
        <v/>
      </c>
    </row>
    <row r="708">
      <c r="A708" t="inlineStr">
        <is>
          <t>E-00158</t>
        </is>
      </c>
      <c r="B708" s="4" t="n">
        <v>46240</v>
      </c>
      <c r="C708" t="inlineStr">
        <is>
          <t>Various</t>
        </is>
      </c>
      <c r="D708" t="inlineStr">
        <is>
          <t>EXPENSE</t>
        </is>
      </c>
      <c r="E708" t="inlineStr">
        <is>
          <t>Transport</t>
        </is>
      </c>
      <c r="F708" s="5" t="n">
        <v>3635.99</v>
      </c>
      <c r="G708" t="n">
        <v>5</v>
      </c>
      <c r="H708" s="5" t="n">
        <v>181.8</v>
      </c>
      <c r="I708" s="5" t="n">
        <v>3817.79</v>
      </c>
      <c r="J708" s="5" t="n">
        <v>3817.79</v>
      </c>
      <c r="K708" s="4" t="n">
        <v>46248</v>
      </c>
      <c r="L708" s="5">
        <f>IF(I708="","",I708-J708)</f>
        <v/>
      </c>
      <c r="M708">
        <f>IF(K708="","",K708-B708)</f>
        <v/>
      </c>
    </row>
    <row r="709">
      <c r="A709" t="inlineStr">
        <is>
          <t>E-00159</t>
        </is>
      </c>
      <c r="B709" s="4" t="n">
        <v>46249</v>
      </c>
      <c r="C709" t="inlineStr">
        <is>
          <t>Various</t>
        </is>
      </c>
      <c r="D709" t="inlineStr">
        <is>
          <t>EXPENSE</t>
        </is>
      </c>
      <c r="E709" t="inlineStr">
        <is>
          <t>Transport</t>
        </is>
      </c>
      <c r="F709" s="5" t="n">
        <v>3478.83</v>
      </c>
      <c r="G709" t="n">
        <v>5</v>
      </c>
      <c r="H709" s="5" t="n">
        <v>173.94</v>
      </c>
      <c r="I709" s="5" t="n">
        <v>3652.77</v>
      </c>
      <c r="J709" s="5" t="n">
        <v>0</v>
      </c>
      <c r="K709" s="4" t="inlineStr"/>
      <c r="L709" s="5">
        <f>IF(I709="","",I709-J709)</f>
        <v/>
      </c>
      <c r="M709">
        <f>IF(K709="","",K709-B709)</f>
        <v/>
      </c>
    </row>
    <row r="710">
      <c r="A710" t="inlineStr">
        <is>
          <t>E-00160</t>
        </is>
      </c>
      <c r="B710" s="4" t="n">
        <v>46252</v>
      </c>
      <c r="C710" t="inlineStr">
        <is>
          <t>Various</t>
        </is>
      </c>
      <c r="D710" t="inlineStr">
        <is>
          <t>EXPENSE</t>
        </is>
      </c>
      <c r="E710" t="inlineStr">
        <is>
          <t>Marketing</t>
        </is>
      </c>
      <c r="F710" s="5" t="n">
        <v>15036.36</v>
      </c>
      <c r="G710" t="n">
        <v>18</v>
      </c>
      <c r="H710" s="5" t="n">
        <v>2706.54</v>
      </c>
      <c r="I710" s="5" t="n">
        <v>17742.9</v>
      </c>
      <c r="J710" s="5" t="n">
        <v>17742.9</v>
      </c>
      <c r="K710" s="4" t="n">
        <v>46255</v>
      </c>
      <c r="L710" s="5">
        <f>IF(I710="","",I710-J710)</f>
        <v/>
      </c>
      <c r="M710">
        <f>IF(K710="","",K710-B710)</f>
        <v/>
      </c>
    </row>
    <row r="711">
      <c r="A711" t="inlineStr">
        <is>
          <t>E-00161</t>
        </is>
      </c>
      <c r="B711" s="4" t="n">
        <v>46258</v>
      </c>
      <c r="C711" t="inlineStr">
        <is>
          <t>Various</t>
        </is>
      </c>
      <c r="D711" t="inlineStr">
        <is>
          <t>EXPENSE</t>
        </is>
      </c>
      <c r="E711" t="inlineStr">
        <is>
          <t>Marketing</t>
        </is>
      </c>
      <c r="F711" s="5" t="n">
        <v>20361.85</v>
      </c>
      <c r="G711" t="n">
        <v>18</v>
      </c>
      <c r="H711" s="5" t="n">
        <v>3665.13</v>
      </c>
      <c r="I711" s="5" t="n">
        <v>24026.98</v>
      </c>
      <c r="J711" s="5" t="n">
        <v>24026.98</v>
      </c>
      <c r="K711" s="4" t="n">
        <v>46261</v>
      </c>
      <c r="L711" s="5">
        <f>IF(I711="","",I711-J711)</f>
        <v/>
      </c>
      <c r="M711">
        <f>IF(K711="","",K711-B711)</f>
        <v/>
      </c>
    </row>
    <row r="712">
      <c r="A712" t="inlineStr">
        <is>
          <t>E-00162</t>
        </is>
      </c>
      <c r="B712" s="4" t="n">
        <v>46259</v>
      </c>
      <c r="C712" t="inlineStr">
        <is>
          <t>Various</t>
        </is>
      </c>
      <c r="D712" t="inlineStr">
        <is>
          <t>EXPENSE</t>
        </is>
      </c>
      <c r="E712" t="inlineStr">
        <is>
          <t>Professional fees</t>
        </is>
      </c>
      <c r="F712" s="5" t="n">
        <v>5739.29</v>
      </c>
      <c r="G712" t="n">
        <v>18</v>
      </c>
      <c r="H712" s="5" t="n">
        <v>1033.07</v>
      </c>
      <c r="I712" s="5" t="n">
        <v>6772.36</v>
      </c>
      <c r="J712" s="5" t="n">
        <v>6772.36</v>
      </c>
      <c r="K712" s="4" t="n">
        <v>46265</v>
      </c>
      <c r="L712" s="5">
        <f>IF(I712="","",I712-J712)</f>
        <v/>
      </c>
      <c r="M712">
        <f>IF(K712="","",K712-B712)</f>
        <v/>
      </c>
    </row>
    <row r="713">
      <c r="A713" t="inlineStr">
        <is>
          <t>E-00163</t>
        </is>
      </c>
      <c r="B713" s="4" t="n">
        <v>46257</v>
      </c>
      <c r="C713" t="inlineStr">
        <is>
          <t>Various</t>
        </is>
      </c>
      <c r="D713" t="inlineStr">
        <is>
          <t>EXPENSE</t>
        </is>
      </c>
      <c r="E713" t="inlineStr">
        <is>
          <t>Misc</t>
        </is>
      </c>
      <c r="F713" s="5" t="n">
        <v>1200.25</v>
      </c>
      <c r="G713" t="n">
        <v>18</v>
      </c>
      <c r="H713" s="5" t="n">
        <v>216.04</v>
      </c>
      <c r="I713" s="5" t="n">
        <v>1416.29</v>
      </c>
      <c r="J713" s="5" t="n">
        <v>1416.29</v>
      </c>
      <c r="K713" s="4" t="n">
        <v>46263</v>
      </c>
      <c r="L713" s="5">
        <f>IF(I713="","",I713-J713)</f>
        <v/>
      </c>
      <c r="M713">
        <f>IF(K713="","",K713-B713)</f>
        <v/>
      </c>
    </row>
    <row r="714">
      <c r="A714" t="inlineStr">
        <is>
          <t>E-00164</t>
        </is>
      </c>
      <c r="B714" s="4" t="n">
        <v>46249</v>
      </c>
      <c r="C714" t="inlineStr">
        <is>
          <t>Various</t>
        </is>
      </c>
      <c r="D714" t="inlineStr">
        <is>
          <t>EXPENSE</t>
        </is>
      </c>
      <c r="E714" t="inlineStr">
        <is>
          <t>Misc</t>
        </is>
      </c>
      <c r="F714" s="5" t="n">
        <v>2034.76</v>
      </c>
      <c r="G714" t="n">
        <v>18</v>
      </c>
      <c r="H714" s="5" t="n">
        <v>366.26</v>
      </c>
      <c r="I714" s="5" t="n">
        <v>2401.02</v>
      </c>
      <c r="J714" s="5" t="n">
        <v>2401.02</v>
      </c>
      <c r="K714" s="4" t="n">
        <v>46253</v>
      </c>
      <c r="L714" s="5">
        <f>IF(I714="","",I714-J714)</f>
        <v/>
      </c>
      <c r="M714">
        <f>IF(K714="","",K714-B714)</f>
        <v/>
      </c>
    </row>
    <row r="715">
      <c r="A715" t="inlineStr">
        <is>
          <t>E-00165</t>
        </is>
      </c>
      <c r="B715" s="4" t="n">
        <v>46264</v>
      </c>
      <c r="C715" t="inlineStr">
        <is>
          <t>Various</t>
        </is>
      </c>
      <c r="D715" t="inlineStr">
        <is>
          <t>EXPENSE</t>
        </is>
      </c>
      <c r="E715" t="inlineStr">
        <is>
          <t>Misc</t>
        </is>
      </c>
      <c r="F715" s="5" t="n">
        <v>3786.55</v>
      </c>
      <c r="G715" t="n">
        <v>18</v>
      </c>
      <c r="H715" s="5" t="n">
        <v>681.58</v>
      </c>
      <c r="I715" s="5" t="n">
        <v>4468.13</v>
      </c>
      <c r="J715" s="5" t="n">
        <v>4468.13</v>
      </c>
      <c r="K715" s="4" t="n">
        <v>46270</v>
      </c>
      <c r="L715" s="5">
        <f>IF(I715="","",I715-J715)</f>
        <v/>
      </c>
      <c r="M715">
        <f>IF(K715="","",K715-B715)</f>
        <v/>
      </c>
    </row>
    <row r="716">
      <c r="A716" t="inlineStr">
        <is>
          <t>S-00359</t>
        </is>
      </c>
      <c r="B716" s="4" t="n">
        <v>46294</v>
      </c>
      <c r="C716" t="inlineStr">
        <is>
          <t>Bazaar Collection</t>
        </is>
      </c>
      <c r="D716" t="inlineStr">
        <is>
          <t>SALES</t>
        </is>
      </c>
      <c r="E716" t="inlineStr">
        <is>
          <t>Fabrics</t>
        </is>
      </c>
      <c r="F716" s="5" t="n">
        <v>8916.9</v>
      </c>
      <c r="G716" t="n">
        <v>5</v>
      </c>
      <c r="H716" s="5" t="n">
        <v>445.85</v>
      </c>
      <c r="I716" s="5" t="n">
        <v>9362.75</v>
      </c>
      <c r="J716" s="5" t="n">
        <v>0</v>
      </c>
      <c r="K716" s="4" t="inlineStr"/>
      <c r="L716" s="5">
        <f>IF(I716="","",I716-J716)</f>
        <v/>
      </c>
      <c r="M716">
        <f>IF(K716="","",K716-B716)</f>
        <v/>
      </c>
    </row>
    <row r="717">
      <c r="A717" t="inlineStr">
        <is>
          <t>S-00360</t>
        </is>
      </c>
      <c r="B717" s="4" t="n">
        <v>46266</v>
      </c>
      <c r="C717" t="inlineStr">
        <is>
          <t>Vishal Mega Mart (franchise)</t>
        </is>
      </c>
      <c r="D717" t="inlineStr">
        <is>
          <t>SALES</t>
        </is>
      </c>
      <c r="E717" t="inlineStr">
        <is>
          <t>Fabrics</t>
        </is>
      </c>
      <c r="F717" s="5" t="n">
        <v>14217.58</v>
      </c>
      <c r="G717" t="n">
        <v>5</v>
      </c>
      <c r="H717" s="5" t="n">
        <v>710.88</v>
      </c>
      <c r="I717" s="5" t="n">
        <v>14928.46</v>
      </c>
      <c r="J717" s="5" t="n">
        <v>0</v>
      </c>
      <c r="K717" s="4" t="inlineStr"/>
      <c r="L717" s="5">
        <f>IF(I717="","",I717-J717)</f>
        <v/>
      </c>
      <c r="M717">
        <f>IF(K717="","",K717-B717)</f>
        <v/>
      </c>
    </row>
    <row r="718">
      <c r="A718" t="inlineStr">
        <is>
          <t>S-00361</t>
        </is>
      </c>
      <c r="B718" s="4" t="n">
        <v>46276</v>
      </c>
      <c r="C718" t="inlineStr">
        <is>
          <t>City Centre Apparel</t>
        </is>
      </c>
      <c r="D718" t="inlineStr">
        <is>
          <t>SALES</t>
        </is>
      </c>
      <c r="E718" t="inlineStr">
        <is>
          <t>Fabrics</t>
        </is>
      </c>
      <c r="F718" s="5" t="n">
        <v>73542.75</v>
      </c>
      <c r="G718" t="n">
        <v>5</v>
      </c>
      <c r="H718" s="5" t="n">
        <v>3677.14</v>
      </c>
      <c r="I718" s="5" t="n">
        <v>77219.89</v>
      </c>
      <c r="J718" s="5" t="n">
        <v>0</v>
      </c>
      <c r="K718" s="4" t="inlineStr"/>
      <c r="L718" s="5">
        <f>IF(I718="","",I718-J718)</f>
        <v/>
      </c>
      <c r="M718">
        <f>IF(K718="","",K718-B718)</f>
        <v/>
      </c>
    </row>
    <row r="719">
      <c r="A719" t="inlineStr">
        <is>
          <t>S-00362</t>
        </is>
      </c>
      <c r="B719" s="4" t="n">
        <v>46266</v>
      </c>
      <c r="C719" t="inlineStr">
        <is>
          <t>Vishal Mega Mart (franchise)</t>
        </is>
      </c>
      <c r="D719" t="inlineStr">
        <is>
          <t>SALES</t>
        </is>
      </c>
      <c r="E719" t="inlineStr">
        <is>
          <t>Garments</t>
        </is>
      </c>
      <c r="F719" s="5" t="n">
        <v>61673.33</v>
      </c>
      <c r="G719" t="n">
        <v>12</v>
      </c>
      <c r="H719" s="5" t="n">
        <v>7400.8</v>
      </c>
      <c r="I719" s="5" t="n">
        <v>69074.13</v>
      </c>
      <c r="J719" s="5" t="n">
        <v>69074.13</v>
      </c>
      <c r="K719" s="4" t="n">
        <v>46290</v>
      </c>
      <c r="L719" s="5">
        <f>IF(I719="","",I719-J719)</f>
        <v/>
      </c>
      <c r="M719">
        <f>IF(K719="","",K719-B719)</f>
        <v/>
      </c>
    </row>
    <row r="720">
      <c r="A720" t="inlineStr">
        <is>
          <t>S-00363</t>
        </is>
      </c>
      <c r="B720" s="4" t="n">
        <v>46282</v>
      </c>
      <c r="C720" t="inlineStr">
        <is>
          <t>Darbhanga Dress Point</t>
        </is>
      </c>
      <c r="D720" t="inlineStr">
        <is>
          <t>SALES</t>
        </is>
      </c>
      <c r="E720" t="inlineStr">
        <is>
          <t>Garments</t>
        </is>
      </c>
      <c r="F720" s="5" t="n">
        <v>63976.37</v>
      </c>
      <c r="G720" t="n">
        <v>12</v>
      </c>
      <c r="H720" s="5" t="n">
        <v>7677.16</v>
      </c>
      <c r="I720" s="5" t="n">
        <v>71653.53</v>
      </c>
      <c r="J720" s="5" t="n">
        <v>0</v>
      </c>
      <c r="K720" s="4" t="inlineStr"/>
      <c r="L720" s="5">
        <f>IF(I720="","",I720-J720)</f>
        <v/>
      </c>
      <c r="M720">
        <f>IF(K720="","",K720-B720)</f>
        <v/>
      </c>
    </row>
    <row r="721">
      <c r="A721" t="inlineStr">
        <is>
          <t>S-00364</t>
        </is>
      </c>
      <c r="B721" s="4" t="n">
        <v>46283</v>
      </c>
      <c r="C721" t="inlineStr">
        <is>
          <t>Patna Fashion House</t>
        </is>
      </c>
      <c r="D721" t="inlineStr">
        <is>
          <t>SALES</t>
        </is>
      </c>
      <c r="E721" t="inlineStr">
        <is>
          <t>Accessories</t>
        </is>
      </c>
      <c r="F721" s="5" t="n">
        <v>82149.49000000001</v>
      </c>
      <c r="G721" t="n">
        <v>12</v>
      </c>
      <c r="H721" s="5" t="n">
        <v>9857.940000000001</v>
      </c>
      <c r="I721" s="5" t="n">
        <v>92007.42999999999</v>
      </c>
      <c r="J721" s="5" t="n">
        <v>0</v>
      </c>
      <c r="K721" s="4" t="inlineStr"/>
      <c r="L721" s="5">
        <f>IF(I721="","",I721-J721)</f>
        <v/>
      </c>
      <c r="M721">
        <f>IF(K721="","",K721-B721)</f>
        <v/>
      </c>
    </row>
    <row r="722">
      <c r="A722" t="inlineStr">
        <is>
          <t>S-00365</t>
        </is>
      </c>
      <c r="B722" s="4" t="n">
        <v>46279</v>
      </c>
      <c r="C722" t="inlineStr">
        <is>
          <t>Patna Fashion House</t>
        </is>
      </c>
      <c r="D722" t="inlineStr">
        <is>
          <t>SALES</t>
        </is>
      </c>
      <c r="E722" t="inlineStr">
        <is>
          <t>Fabrics</t>
        </is>
      </c>
      <c r="F722" s="5" t="n">
        <v>11680.8</v>
      </c>
      <c r="G722" t="n">
        <v>5</v>
      </c>
      <c r="H722" s="5" t="n">
        <v>584.04</v>
      </c>
      <c r="I722" s="5" t="n">
        <v>12264.84</v>
      </c>
      <c r="J722" s="5" t="n">
        <v>12264.84</v>
      </c>
      <c r="K722" s="4" t="n">
        <v>46293</v>
      </c>
      <c r="L722" s="5">
        <f>IF(I722="","",I722-J722)</f>
        <v/>
      </c>
      <c r="M722">
        <f>IF(K722="","",K722-B722)</f>
        <v/>
      </c>
    </row>
    <row r="723">
      <c r="A723" t="inlineStr">
        <is>
          <t>S-00366</t>
        </is>
      </c>
      <c r="B723" s="4" t="n">
        <v>46266</v>
      </c>
      <c r="C723" t="inlineStr">
        <is>
          <t>Arrah Garment Plaza</t>
        </is>
      </c>
      <c r="D723" t="inlineStr">
        <is>
          <t>SALES</t>
        </is>
      </c>
      <c r="E723" t="inlineStr">
        <is>
          <t>Garments</t>
        </is>
      </c>
      <c r="F723" s="5" t="n">
        <v>40832.91</v>
      </c>
      <c r="G723" t="n">
        <v>12</v>
      </c>
      <c r="H723" s="5" t="n">
        <v>4899.95</v>
      </c>
      <c r="I723" s="5" t="n">
        <v>45732.86</v>
      </c>
      <c r="J723" s="5" t="n">
        <v>0</v>
      </c>
      <c r="K723" s="4" t="inlineStr"/>
      <c r="L723" s="5">
        <f>IF(I723="","",I723-J723)</f>
        <v/>
      </c>
      <c r="M723">
        <f>IF(K723="","",K723-B723)</f>
        <v/>
      </c>
    </row>
    <row r="724">
      <c r="A724" t="inlineStr">
        <is>
          <t>S-00367</t>
        </is>
      </c>
      <c r="B724" s="4" t="n">
        <v>46283</v>
      </c>
      <c r="C724" t="inlineStr">
        <is>
          <t>City Centre Apparel</t>
        </is>
      </c>
      <c r="D724" t="inlineStr">
        <is>
          <t>SALES</t>
        </is>
      </c>
      <c r="E724" t="inlineStr">
        <is>
          <t>Accessories</t>
        </is>
      </c>
      <c r="F724" s="5" t="n">
        <v>14881.77</v>
      </c>
      <c r="G724" t="n">
        <v>12</v>
      </c>
      <c r="H724" s="5" t="n">
        <v>1785.81</v>
      </c>
      <c r="I724" s="5" t="n">
        <v>16667.58</v>
      </c>
      <c r="J724" s="5" t="n">
        <v>0</v>
      </c>
      <c r="K724" s="4" t="inlineStr"/>
      <c r="L724" s="5">
        <f>IF(I724="","",I724-J724)</f>
        <v/>
      </c>
      <c r="M724">
        <f>IF(K724="","",K724-B724)</f>
        <v/>
      </c>
    </row>
    <row r="725">
      <c r="A725" t="inlineStr">
        <is>
          <t>S-00368</t>
        </is>
      </c>
      <c r="B725" s="4" t="n">
        <v>46273</v>
      </c>
      <c r="C725" t="inlineStr">
        <is>
          <t>Muzaffarpur Cloth House</t>
        </is>
      </c>
      <c r="D725" t="inlineStr">
        <is>
          <t>SALES</t>
        </is>
      </c>
      <c r="E725" t="inlineStr">
        <is>
          <t>Fabrics</t>
        </is>
      </c>
      <c r="F725" s="5" t="n">
        <v>16798.92</v>
      </c>
      <c r="G725" t="n">
        <v>5</v>
      </c>
      <c r="H725" s="5" t="n">
        <v>839.95</v>
      </c>
      <c r="I725" s="5" t="n">
        <v>17638.87</v>
      </c>
      <c r="J725" s="5" t="n">
        <v>0</v>
      </c>
      <c r="K725" s="4" t="inlineStr"/>
      <c r="L725" s="5">
        <f>IF(I725="","",I725-J725)</f>
        <v/>
      </c>
      <c r="M725">
        <f>IF(K725="","",K725-B725)</f>
        <v/>
      </c>
    </row>
    <row r="726">
      <c r="A726" t="inlineStr">
        <is>
          <t>S-00369</t>
        </is>
      </c>
      <c r="B726" s="4" t="n">
        <v>46266</v>
      </c>
      <c r="C726" t="inlineStr">
        <is>
          <t>Kumkum Saree Sadan</t>
        </is>
      </c>
      <c r="D726" t="inlineStr">
        <is>
          <t>SALES</t>
        </is>
      </c>
      <c r="E726" t="inlineStr">
        <is>
          <t>Garments</t>
        </is>
      </c>
      <c r="F726" s="5" t="n">
        <v>26123.77</v>
      </c>
      <c r="G726" t="n">
        <v>12</v>
      </c>
      <c r="H726" s="5" t="n">
        <v>3134.85</v>
      </c>
      <c r="I726" s="5" t="n">
        <v>29258.62</v>
      </c>
      <c r="J726" s="5" t="n">
        <v>0</v>
      </c>
      <c r="K726" s="4" t="inlineStr"/>
      <c r="L726" s="5">
        <f>IF(I726="","",I726-J726)</f>
        <v/>
      </c>
      <c r="M726">
        <f>IF(K726="","",K726-B726)</f>
        <v/>
      </c>
    </row>
    <row r="727">
      <c r="A727" t="inlineStr">
        <is>
          <t>S-00370</t>
        </is>
      </c>
      <c r="B727" s="4" t="n">
        <v>46268</v>
      </c>
      <c r="C727" t="inlineStr">
        <is>
          <t>Arrah Garment Plaza</t>
        </is>
      </c>
      <c r="D727" t="inlineStr">
        <is>
          <t>SALES</t>
        </is>
      </c>
      <c r="E727" t="inlineStr">
        <is>
          <t>Accessories</t>
        </is>
      </c>
      <c r="F727" s="5" t="n">
        <v>18461.78</v>
      </c>
      <c r="G727" t="n">
        <v>12</v>
      </c>
      <c r="H727" s="5" t="n">
        <v>2215.41</v>
      </c>
      <c r="I727" s="5" t="n">
        <v>20677.19</v>
      </c>
      <c r="J727" s="5" t="n">
        <v>0</v>
      </c>
      <c r="K727" s="4" t="inlineStr"/>
      <c r="L727" s="5">
        <f>IF(I727="","",I727-J727)</f>
        <v/>
      </c>
      <c r="M727">
        <f>IF(K727="","",K727-B727)</f>
        <v/>
      </c>
    </row>
    <row r="728">
      <c r="A728" t="inlineStr">
        <is>
          <t>S-00371</t>
        </is>
      </c>
      <c r="B728" s="4" t="n">
        <v>46288</v>
      </c>
      <c r="C728" t="inlineStr">
        <is>
          <t>Kumkum Saree Sadan</t>
        </is>
      </c>
      <c r="D728" t="inlineStr">
        <is>
          <t>SALES</t>
        </is>
      </c>
      <c r="E728" t="inlineStr">
        <is>
          <t>Fabrics</t>
        </is>
      </c>
      <c r="F728" s="5" t="n">
        <v>13200.26</v>
      </c>
      <c r="G728" t="n">
        <v>5</v>
      </c>
      <c r="H728" s="5" t="n">
        <v>660.01</v>
      </c>
      <c r="I728" s="5" t="n">
        <v>13860.27</v>
      </c>
      <c r="J728" s="5" t="n">
        <v>0</v>
      </c>
      <c r="K728" s="4" t="inlineStr"/>
      <c r="L728" s="5">
        <f>IF(I728="","",I728-J728)</f>
        <v/>
      </c>
      <c r="M728">
        <f>IF(K728="","",K728-B728)</f>
        <v/>
      </c>
    </row>
    <row r="729">
      <c r="A729" t="inlineStr">
        <is>
          <t>S-00372</t>
        </is>
      </c>
      <c r="B729" s="4" t="n">
        <v>46281</v>
      </c>
      <c r="C729" t="inlineStr">
        <is>
          <t>Bhagalpur Silk Centre</t>
        </is>
      </c>
      <c r="D729" t="inlineStr">
        <is>
          <t>SALES</t>
        </is>
      </c>
      <c r="E729" t="inlineStr">
        <is>
          <t>Garments</t>
        </is>
      </c>
      <c r="F729" s="5" t="n">
        <v>47376.76</v>
      </c>
      <c r="G729" t="n">
        <v>12</v>
      </c>
      <c r="H729" s="5" t="n">
        <v>5685.21</v>
      </c>
      <c r="I729" s="5" t="n">
        <v>53061.97</v>
      </c>
      <c r="J729" s="5" t="n">
        <v>0</v>
      </c>
      <c r="K729" s="4" t="inlineStr"/>
      <c r="L729" s="5">
        <f>IF(I729="","",I729-J729)</f>
        <v/>
      </c>
      <c r="M729">
        <f>IF(K729="","",K729-B729)</f>
        <v/>
      </c>
    </row>
    <row r="730">
      <c r="A730" t="inlineStr">
        <is>
          <t>S-00373</t>
        </is>
      </c>
      <c r="B730" s="4" t="n">
        <v>46282</v>
      </c>
      <c r="C730" t="inlineStr">
        <is>
          <t>Muzaffarpur Cloth House</t>
        </is>
      </c>
      <c r="D730" t="inlineStr">
        <is>
          <t>SALES</t>
        </is>
      </c>
      <c r="E730" t="inlineStr">
        <is>
          <t>Fabrics</t>
        </is>
      </c>
      <c r="F730" s="5" t="n">
        <v>72857.08</v>
      </c>
      <c r="G730" t="n">
        <v>5</v>
      </c>
      <c r="H730" s="5" t="n">
        <v>3642.85</v>
      </c>
      <c r="I730" s="5" t="n">
        <v>76499.92999999999</v>
      </c>
      <c r="J730" s="5" t="n">
        <v>0</v>
      </c>
      <c r="K730" s="4" t="inlineStr"/>
      <c r="L730" s="5">
        <f>IF(I730="","",I730-J730)</f>
        <v/>
      </c>
      <c r="M730">
        <f>IF(K730="","",K730-B730)</f>
        <v/>
      </c>
    </row>
    <row r="731">
      <c r="A731" t="inlineStr">
        <is>
          <t>S-00374</t>
        </is>
      </c>
      <c r="B731" s="4" t="n">
        <v>46292</v>
      </c>
      <c r="C731" t="inlineStr">
        <is>
          <t>City Centre Apparel</t>
        </is>
      </c>
      <c r="D731" t="inlineStr">
        <is>
          <t>SALES</t>
        </is>
      </c>
      <c r="E731" t="inlineStr">
        <is>
          <t>Garments</t>
        </is>
      </c>
      <c r="F731" s="5" t="n">
        <v>11200.24</v>
      </c>
      <c r="G731" t="n">
        <v>12</v>
      </c>
      <c r="H731" s="5" t="n">
        <v>1344.03</v>
      </c>
      <c r="I731" s="5" t="n">
        <v>12544.27</v>
      </c>
      <c r="J731" s="5" t="n">
        <v>0</v>
      </c>
      <c r="K731" s="4" t="inlineStr"/>
      <c r="L731" s="5">
        <f>IF(I731="","",I731-J731)</f>
        <v/>
      </c>
      <c r="M731">
        <f>IF(K731="","",K731-B731)</f>
        <v/>
      </c>
    </row>
    <row r="732">
      <c r="A732" t="inlineStr">
        <is>
          <t>S-00375</t>
        </is>
      </c>
      <c r="B732" s="4" t="n">
        <v>46269</v>
      </c>
      <c r="C732" t="inlineStr">
        <is>
          <t>New Look Garments</t>
        </is>
      </c>
      <c r="D732" t="inlineStr">
        <is>
          <t>SALES</t>
        </is>
      </c>
      <c r="E732" t="inlineStr">
        <is>
          <t>Fabrics</t>
        </is>
      </c>
      <c r="F732" s="5" t="n">
        <v>63830.42</v>
      </c>
      <c r="G732" t="n">
        <v>5</v>
      </c>
      <c r="H732" s="5" t="n">
        <v>3191.52</v>
      </c>
      <c r="I732" s="5" t="n">
        <v>67021.94</v>
      </c>
      <c r="J732" s="5" t="n">
        <v>67021.94</v>
      </c>
      <c r="K732" s="4" t="n">
        <v>46282</v>
      </c>
      <c r="L732" s="5">
        <f>IF(I732="","",I732-J732)</f>
        <v/>
      </c>
      <c r="M732">
        <f>IF(K732="","",K732-B732)</f>
        <v/>
      </c>
    </row>
    <row r="733">
      <c r="A733" t="inlineStr">
        <is>
          <t>S-00376</t>
        </is>
      </c>
      <c r="B733" s="4" t="n">
        <v>46288</v>
      </c>
      <c r="C733" t="inlineStr">
        <is>
          <t>Vishal Mega Mart (franchise)</t>
        </is>
      </c>
      <c r="D733" t="inlineStr">
        <is>
          <t>SALES</t>
        </is>
      </c>
      <c r="E733" t="inlineStr">
        <is>
          <t>Fabrics</t>
        </is>
      </c>
      <c r="F733" s="5" t="n">
        <v>80628.05</v>
      </c>
      <c r="G733" t="n">
        <v>5</v>
      </c>
      <c r="H733" s="5" t="n">
        <v>4031.4</v>
      </c>
      <c r="I733" s="5" t="n">
        <v>84659.45</v>
      </c>
      <c r="J733" s="5" t="n">
        <v>0</v>
      </c>
      <c r="K733" s="4" t="inlineStr"/>
      <c r="L733" s="5">
        <f>IF(I733="","",I733-J733)</f>
        <v/>
      </c>
      <c r="M733">
        <f>IF(K733="","",K733-B733)</f>
        <v/>
      </c>
    </row>
    <row r="734">
      <c r="A734" t="inlineStr">
        <is>
          <t>S-00377</t>
        </is>
      </c>
      <c r="B734" s="4" t="n">
        <v>46268</v>
      </c>
      <c r="C734" t="inlineStr">
        <is>
          <t>Purnia Fashion Hub</t>
        </is>
      </c>
      <c r="D734" t="inlineStr">
        <is>
          <t>SALES</t>
        </is>
      </c>
      <c r="E734" t="inlineStr">
        <is>
          <t>Fabrics</t>
        </is>
      </c>
      <c r="F734" s="5" t="n">
        <v>66023.17999999999</v>
      </c>
      <c r="G734" t="n">
        <v>5</v>
      </c>
      <c r="H734" s="5" t="n">
        <v>3301.16</v>
      </c>
      <c r="I734" s="5" t="n">
        <v>69324.34</v>
      </c>
      <c r="J734" s="5" t="n">
        <v>0</v>
      </c>
      <c r="K734" s="4" t="inlineStr"/>
      <c r="L734" s="5">
        <f>IF(I734="","",I734-J734)</f>
        <v/>
      </c>
      <c r="M734">
        <f>IF(K734="","",K734-B734)</f>
        <v/>
      </c>
    </row>
    <row r="735">
      <c r="A735" t="inlineStr">
        <is>
          <t>S-00378</t>
        </is>
      </c>
      <c r="B735" s="4" t="n">
        <v>46278</v>
      </c>
      <c r="C735" t="inlineStr">
        <is>
          <t>Sharma Retail Store</t>
        </is>
      </c>
      <c r="D735" t="inlineStr">
        <is>
          <t>SALES</t>
        </is>
      </c>
      <c r="E735" t="inlineStr">
        <is>
          <t>Fabrics</t>
        </is>
      </c>
      <c r="F735" s="5" t="n">
        <v>50059.45</v>
      </c>
      <c r="G735" t="n">
        <v>5</v>
      </c>
      <c r="H735" s="5" t="n">
        <v>2502.97</v>
      </c>
      <c r="I735" s="5" t="n">
        <v>52562.42</v>
      </c>
      <c r="J735" s="5" t="n">
        <v>0</v>
      </c>
      <c r="K735" s="4" t="inlineStr"/>
      <c r="L735" s="5">
        <f>IF(I735="","",I735-J735)</f>
        <v/>
      </c>
      <c r="M735">
        <f>IF(K735="","",K735-B735)</f>
        <v/>
      </c>
    </row>
    <row r="736">
      <c r="A736" t="inlineStr">
        <is>
          <t>S-00379</t>
        </is>
      </c>
      <c r="B736" s="4" t="n">
        <v>46268</v>
      </c>
      <c r="C736" t="inlineStr">
        <is>
          <t>Kumkum Saree Sadan</t>
        </is>
      </c>
      <c r="D736" t="inlineStr">
        <is>
          <t>SALES</t>
        </is>
      </c>
      <c r="E736" t="inlineStr">
        <is>
          <t>Accessories</t>
        </is>
      </c>
      <c r="F736" s="5" t="n">
        <v>82830.49000000001</v>
      </c>
      <c r="G736" t="n">
        <v>12</v>
      </c>
      <c r="H736" s="5" t="n">
        <v>9939.66</v>
      </c>
      <c r="I736" s="5" t="n">
        <v>92770.14999999999</v>
      </c>
      <c r="J736" s="5" t="n">
        <v>0</v>
      </c>
      <c r="K736" s="4" t="inlineStr"/>
      <c r="L736" s="5">
        <f>IF(I736="","",I736-J736)</f>
        <v/>
      </c>
      <c r="M736">
        <f>IF(K736="","",K736-B736)</f>
        <v/>
      </c>
    </row>
    <row r="737">
      <c r="A737" t="inlineStr">
        <is>
          <t>S-00380</t>
        </is>
      </c>
      <c r="B737" s="4" t="n">
        <v>46271</v>
      </c>
      <c r="C737" t="inlineStr">
        <is>
          <t>Muzaffarpur Cloth House</t>
        </is>
      </c>
      <c r="D737" t="inlineStr">
        <is>
          <t>SALES</t>
        </is>
      </c>
      <c r="E737" t="inlineStr">
        <is>
          <t>Garments</t>
        </is>
      </c>
      <c r="F737" s="5" t="n">
        <v>21374.45</v>
      </c>
      <c r="G737" t="n">
        <v>12</v>
      </c>
      <c r="H737" s="5" t="n">
        <v>2564.93</v>
      </c>
      <c r="I737" s="5" t="n">
        <v>23939.38</v>
      </c>
      <c r="J737" s="5" t="n">
        <v>0</v>
      </c>
      <c r="K737" s="4" t="inlineStr"/>
      <c r="L737" s="5">
        <f>IF(I737="","",I737-J737)</f>
        <v/>
      </c>
      <c r="M737">
        <f>IF(K737="","",K737-B737)</f>
        <v/>
      </c>
    </row>
    <row r="738">
      <c r="A738" t="inlineStr">
        <is>
          <t>S-00381</t>
        </is>
      </c>
      <c r="B738" s="4" t="n">
        <v>46286</v>
      </c>
      <c r="C738" t="inlineStr">
        <is>
          <t>City Centre Apparel</t>
        </is>
      </c>
      <c r="D738" t="inlineStr">
        <is>
          <t>SALES</t>
        </is>
      </c>
      <c r="E738" t="inlineStr">
        <is>
          <t>Fabrics</t>
        </is>
      </c>
      <c r="F738" s="5" t="n">
        <v>34823.49</v>
      </c>
      <c r="G738" t="n">
        <v>5</v>
      </c>
      <c r="H738" s="5" t="n">
        <v>1741.17</v>
      </c>
      <c r="I738" s="5" t="n">
        <v>36564.66</v>
      </c>
      <c r="J738" s="5" t="n">
        <v>0</v>
      </c>
      <c r="K738" s="4" t="inlineStr"/>
      <c r="L738" s="5">
        <f>IF(I738="","",I738-J738)</f>
        <v/>
      </c>
      <c r="M738">
        <f>IF(K738="","",K738-B738)</f>
        <v/>
      </c>
    </row>
    <row r="739">
      <c r="A739" t="inlineStr">
        <is>
          <t>S-00382</t>
        </is>
      </c>
      <c r="B739" s="4" t="n">
        <v>46288</v>
      </c>
      <c r="C739" t="inlineStr">
        <is>
          <t>City Centre Apparel</t>
        </is>
      </c>
      <c r="D739" t="inlineStr">
        <is>
          <t>SALES</t>
        </is>
      </c>
      <c r="E739" t="inlineStr">
        <is>
          <t>Fabrics</t>
        </is>
      </c>
      <c r="F739" s="5" t="n">
        <v>13084.7</v>
      </c>
      <c r="G739" t="n">
        <v>5</v>
      </c>
      <c r="H739" s="5" t="n">
        <v>654.24</v>
      </c>
      <c r="I739" s="5" t="n">
        <v>13738.94</v>
      </c>
      <c r="J739" s="5" t="n">
        <v>0</v>
      </c>
      <c r="K739" s="4" t="inlineStr"/>
      <c r="L739" s="5">
        <f>IF(I739="","",I739-J739)</f>
        <v/>
      </c>
      <c r="M739">
        <f>IF(K739="","",K739-B739)</f>
        <v/>
      </c>
    </row>
    <row r="740">
      <c r="A740" t="inlineStr">
        <is>
          <t>S-00383</t>
        </is>
      </c>
      <c r="B740" s="4" t="n">
        <v>46295</v>
      </c>
      <c r="C740" t="inlineStr">
        <is>
          <t>Purnia Fashion Hub</t>
        </is>
      </c>
      <c r="D740" t="inlineStr">
        <is>
          <t>SALES</t>
        </is>
      </c>
      <c r="E740" t="inlineStr">
        <is>
          <t>Garments</t>
        </is>
      </c>
      <c r="F740" s="5" t="n">
        <v>66403.72</v>
      </c>
      <c r="G740" t="n">
        <v>12</v>
      </c>
      <c r="H740" s="5" t="n">
        <v>7968.45</v>
      </c>
      <c r="I740" s="5" t="n">
        <v>74372.17</v>
      </c>
      <c r="J740" s="5" t="n">
        <v>0</v>
      </c>
      <c r="K740" s="4" t="inlineStr"/>
      <c r="L740" s="5">
        <f>IF(I740="","",I740-J740)</f>
        <v/>
      </c>
      <c r="M740">
        <f>IF(K740="","",K740-B740)</f>
        <v/>
      </c>
    </row>
    <row r="741">
      <c r="A741" t="inlineStr">
        <is>
          <t>S-00384</t>
        </is>
      </c>
      <c r="B741" s="4" t="n">
        <v>46270</v>
      </c>
      <c r="C741" t="inlineStr">
        <is>
          <t>Trendy Threads</t>
        </is>
      </c>
      <c r="D741" t="inlineStr">
        <is>
          <t>SALES</t>
        </is>
      </c>
      <c r="E741" t="inlineStr">
        <is>
          <t>Garments</t>
        </is>
      </c>
      <c r="F741" s="5" t="n">
        <v>26408.65</v>
      </c>
      <c r="G741" t="n">
        <v>12</v>
      </c>
      <c r="H741" s="5" t="n">
        <v>3169.04</v>
      </c>
      <c r="I741" s="5" t="n">
        <v>29577.69</v>
      </c>
      <c r="J741" s="5" t="n">
        <v>29577.69</v>
      </c>
      <c r="K741" s="4" t="n">
        <v>46288</v>
      </c>
      <c r="L741" s="5">
        <f>IF(I741="","",I741-J741)</f>
        <v/>
      </c>
      <c r="M741">
        <f>IF(K741="","",K741-B741)</f>
        <v/>
      </c>
    </row>
    <row r="742">
      <c r="A742" t="inlineStr">
        <is>
          <t>S-00385</t>
        </is>
      </c>
      <c r="B742" s="4" t="n">
        <v>46282</v>
      </c>
      <c r="C742" t="inlineStr">
        <is>
          <t>Kumkum Saree Sadan</t>
        </is>
      </c>
      <c r="D742" t="inlineStr">
        <is>
          <t>SALES</t>
        </is>
      </c>
      <c r="E742" t="inlineStr">
        <is>
          <t>Fabrics</t>
        </is>
      </c>
      <c r="F742" s="5" t="n">
        <v>64332.83</v>
      </c>
      <c r="G742" t="n">
        <v>5</v>
      </c>
      <c r="H742" s="5" t="n">
        <v>3216.64</v>
      </c>
      <c r="I742" s="5" t="n">
        <v>67549.47</v>
      </c>
      <c r="J742" s="5" t="n">
        <v>0</v>
      </c>
      <c r="K742" s="4" t="inlineStr"/>
      <c r="L742" s="5">
        <f>IF(I742="","",I742-J742)</f>
        <v/>
      </c>
      <c r="M742">
        <f>IF(K742="","",K742-B742)</f>
        <v/>
      </c>
    </row>
    <row r="743">
      <c r="A743" t="inlineStr">
        <is>
          <t>S-00386</t>
        </is>
      </c>
      <c r="B743" s="4" t="n">
        <v>46289</v>
      </c>
      <c r="C743" t="inlineStr">
        <is>
          <t>Bhagalpur Silk Centre</t>
        </is>
      </c>
      <c r="D743" t="inlineStr">
        <is>
          <t>SALES</t>
        </is>
      </c>
      <c r="E743" t="inlineStr">
        <is>
          <t>Garments</t>
        </is>
      </c>
      <c r="F743" s="5" t="n">
        <v>36428.88</v>
      </c>
      <c r="G743" t="n">
        <v>12</v>
      </c>
      <c r="H743" s="5" t="n">
        <v>4371.47</v>
      </c>
      <c r="I743" s="5" t="n">
        <v>40800.35</v>
      </c>
      <c r="J743" s="5" t="n">
        <v>0</v>
      </c>
      <c r="K743" s="4" t="inlineStr"/>
      <c r="L743" s="5">
        <f>IF(I743="","",I743-J743)</f>
        <v/>
      </c>
      <c r="M743">
        <f>IF(K743="","",K743-B743)</f>
        <v/>
      </c>
    </row>
    <row r="744">
      <c r="A744" t="inlineStr">
        <is>
          <t>S-00387</t>
        </is>
      </c>
      <c r="B744" s="4" t="n">
        <v>46291</v>
      </c>
      <c r="C744" t="inlineStr">
        <is>
          <t>Gaya Textile Traders</t>
        </is>
      </c>
      <c r="D744" t="inlineStr">
        <is>
          <t>SALES</t>
        </is>
      </c>
      <c r="E744" t="inlineStr">
        <is>
          <t>Accessories</t>
        </is>
      </c>
      <c r="F744" s="5" t="n">
        <v>36083.06</v>
      </c>
      <c r="G744" t="n">
        <v>12</v>
      </c>
      <c r="H744" s="5" t="n">
        <v>4329.97</v>
      </c>
      <c r="I744" s="5" t="n">
        <v>40413.03</v>
      </c>
      <c r="J744" s="5" t="n">
        <v>0</v>
      </c>
      <c r="K744" s="4" t="inlineStr"/>
      <c r="L744" s="5">
        <f>IF(I744="","",I744-J744)</f>
        <v/>
      </c>
      <c r="M744">
        <f>IF(K744="","",K744-B744)</f>
        <v/>
      </c>
    </row>
    <row r="745">
      <c r="A745" t="inlineStr">
        <is>
          <t>S-00388</t>
        </is>
      </c>
      <c r="B745" s="4" t="n">
        <v>46271</v>
      </c>
      <c r="C745" t="inlineStr">
        <is>
          <t>Arrah Garment Plaza</t>
        </is>
      </c>
      <c r="D745" t="inlineStr">
        <is>
          <t>SALES</t>
        </is>
      </c>
      <c r="E745" t="inlineStr">
        <is>
          <t>Fabrics</t>
        </is>
      </c>
      <c r="F745" s="5" t="n">
        <v>61659.89</v>
      </c>
      <c r="G745" t="n">
        <v>5</v>
      </c>
      <c r="H745" s="5" t="n">
        <v>3082.99</v>
      </c>
      <c r="I745" s="5" t="n">
        <v>64742.88</v>
      </c>
      <c r="J745" s="5" t="n">
        <v>43085.69</v>
      </c>
      <c r="K745" s="4" t="n">
        <v>46291</v>
      </c>
      <c r="L745" s="5">
        <f>IF(I745="","",I745-J745)</f>
        <v/>
      </c>
      <c r="M745">
        <f>IF(K745="","",K745-B745)</f>
        <v/>
      </c>
    </row>
    <row r="746">
      <c r="A746" t="inlineStr">
        <is>
          <t>S-00389</t>
        </is>
      </c>
      <c r="B746" s="4" t="n">
        <v>46282</v>
      </c>
      <c r="C746" t="inlineStr">
        <is>
          <t>Bhagalpur Silk Centre</t>
        </is>
      </c>
      <c r="D746" t="inlineStr">
        <is>
          <t>SALES</t>
        </is>
      </c>
      <c r="E746" t="inlineStr">
        <is>
          <t>Accessories</t>
        </is>
      </c>
      <c r="F746" s="5" t="n">
        <v>36936.79</v>
      </c>
      <c r="G746" t="n">
        <v>12</v>
      </c>
      <c r="H746" s="5" t="n">
        <v>4432.41</v>
      </c>
      <c r="I746" s="5" t="n">
        <v>41369.2</v>
      </c>
      <c r="J746" s="5" t="n">
        <v>0</v>
      </c>
      <c r="K746" s="4" t="inlineStr"/>
      <c r="L746" s="5">
        <f>IF(I746="","",I746-J746)</f>
        <v/>
      </c>
      <c r="M746">
        <f>IF(K746="","",K746-B746)</f>
        <v/>
      </c>
    </row>
    <row r="747">
      <c r="A747" t="inlineStr">
        <is>
          <t>S-00390</t>
        </is>
      </c>
      <c r="B747" s="4" t="n">
        <v>46271</v>
      </c>
      <c r="C747" t="inlineStr">
        <is>
          <t>Kumkum Saree Sadan</t>
        </is>
      </c>
      <c r="D747" t="inlineStr">
        <is>
          <t>SALES</t>
        </is>
      </c>
      <c r="E747" t="inlineStr">
        <is>
          <t>Garments</t>
        </is>
      </c>
      <c r="F747" s="5" t="n">
        <v>40269.36</v>
      </c>
      <c r="G747" t="n">
        <v>12</v>
      </c>
      <c r="H747" s="5" t="n">
        <v>4832.32</v>
      </c>
      <c r="I747" s="5" t="n">
        <v>45101.68</v>
      </c>
      <c r="J747" s="5" t="n">
        <v>0</v>
      </c>
      <c r="K747" s="4" t="inlineStr"/>
      <c r="L747" s="5">
        <f>IF(I747="","",I747-J747)</f>
        <v/>
      </c>
      <c r="M747">
        <f>IF(K747="","",K747-B747)</f>
        <v/>
      </c>
    </row>
    <row r="748">
      <c r="A748" t="inlineStr">
        <is>
          <t>S-00391</t>
        </is>
      </c>
      <c r="B748" s="4" t="n">
        <v>46271</v>
      </c>
      <c r="C748" t="inlineStr">
        <is>
          <t>Lakshmi Cloth Store</t>
        </is>
      </c>
      <c r="D748" t="inlineStr">
        <is>
          <t>SALES</t>
        </is>
      </c>
      <c r="E748" t="inlineStr">
        <is>
          <t>Garments</t>
        </is>
      </c>
      <c r="F748" s="5" t="n">
        <v>40958.99</v>
      </c>
      <c r="G748" t="n">
        <v>12</v>
      </c>
      <c r="H748" s="5" t="n">
        <v>4915.08</v>
      </c>
      <c r="I748" s="5" t="n">
        <v>45874.07</v>
      </c>
      <c r="J748" s="5" t="n">
        <v>0</v>
      </c>
      <c r="K748" s="4" t="inlineStr"/>
      <c r="L748" s="5">
        <f>IF(I748="","",I748-J748)</f>
        <v/>
      </c>
      <c r="M748">
        <f>IF(K748="","",K748-B748)</f>
        <v/>
      </c>
    </row>
    <row r="749">
      <c r="A749" t="inlineStr">
        <is>
          <t>S-00392</t>
        </is>
      </c>
      <c r="B749" s="4" t="n">
        <v>46295</v>
      </c>
      <c r="C749" t="inlineStr">
        <is>
          <t>Patna Fashion House</t>
        </is>
      </c>
      <c r="D749" t="inlineStr">
        <is>
          <t>SALES</t>
        </is>
      </c>
      <c r="E749" t="inlineStr">
        <is>
          <t>Accessories</t>
        </is>
      </c>
      <c r="F749" s="5" t="n">
        <v>39417.18</v>
      </c>
      <c r="G749" t="n">
        <v>12</v>
      </c>
      <c r="H749" s="5" t="n">
        <v>4730.06</v>
      </c>
      <c r="I749" s="5" t="n">
        <v>44147.24</v>
      </c>
      <c r="J749" s="5" t="n">
        <v>0</v>
      </c>
      <c r="K749" s="4" t="inlineStr"/>
      <c r="L749" s="5">
        <f>IF(I749="","",I749-J749)</f>
        <v/>
      </c>
      <c r="M749">
        <f>IF(K749="","",K749-B749)</f>
        <v/>
      </c>
    </row>
    <row r="750">
      <c r="A750" t="inlineStr">
        <is>
          <t>S-00393</t>
        </is>
      </c>
      <c r="B750" s="4" t="n">
        <v>46294</v>
      </c>
      <c r="C750" t="inlineStr">
        <is>
          <t>Kumkum Saree Sadan</t>
        </is>
      </c>
      <c r="D750" t="inlineStr">
        <is>
          <t>SALES</t>
        </is>
      </c>
      <c r="E750" t="inlineStr">
        <is>
          <t>Accessories</t>
        </is>
      </c>
      <c r="F750" s="5" t="n">
        <v>19765.69</v>
      </c>
      <c r="G750" t="n">
        <v>12</v>
      </c>
      <c r="H750" s="5" t="n">
        <v>2371.88</v>
      </c>
      <c r="I750" s="5" t="n">
        <v>22137.57</v>
      </c>
      <c r="J750" s="5" t="n">
        <v>0</v>
      </c>
      <c r="K750" s="4" t="inlineStr"/>
      <c r="L750" s="5">
        <f>IF(I750="","",I750-J750)</f>
        <v/>
      </c>
      <c r="M750">
        <f>IF(K750="","",K750-B750)</f>
        <v/>
      </c>
    </row>
    <row r="751">
      <c r="A751" t="inlineStr">
        <is>
          <t>S-00394</t>
        </is>
      </c>
      <c r="B751" s="4" t="n">
        <v>46291</v>
      </c>
      <c r="C751" t="inlineStr">
        <is>
          <t>Lakshmi Cloth Store</t>
        </is>
      </c>
      <c r="D751" t="inlineStr">
        <is>
          <t>SALES</t>
        </is>
      </c>
      <c r="E751" t="inlineStr">
        <is>
          <t>Fabrics</t>
        </is>
      </c>
      <c r="F751" s="5" t="n">
        <v>83753</v>
      </c>
      <c r="G751" t="n">
        <v>5</v>
      </c>
      <c r="H751" s="5" t="n">
        <v>4187.65</v>
      </c>
      <c r="I751" s="5" t="n">
        <v>87940.64999999999</v>
      </c>
      <c r="J751" s="5" t="n">
        <v>0</v>
      </c>
      <c r="K751" s="4" t="inlineStr"/>
      <c r="L751" s="5">
        <f>IF(I751="","",I751-J751)</f>
        <v/>
      </c>
      <c r="M751">
        <f>IF(K751="","",K751-B751)</f>
        <v/>
      </c>
    </row>
    <row r="752">
      <c r="A752" t="inlineStr">
        <is>
          <t>S-00395</t>
        </is>
      </c>
      <c r="B752" s="4" t="n">
        <v>46269</v>
      </c>
      <c r="C752" t="inlineStr">
        <is>
          <t>Vishal Mega Mart (franchise)</t>
        </is>
      </c>
      <c r="D752" t="inlineStr">
        <is>
          <t>SALES</t>
        </is>
      </c>
      <c r="E752" t="inlineStr">
        <is>
          <t>Garments</t>
        </is>
      </c>
      <c r="F752" s="5" t="n">
        <v>16887.7</v>
      </c>
      <c r="G752" t="n">
        <v>12</v>
      </c>
      <c r="H752" s="5" t="n">
        <v>2026.52</v>
      </c>
      <c r="I752" s="5" t="n">
        <v>18914.22</v>
      </c>
      <c r="J752" s="5" t="n">
        <v>18914.22</v>
      </c>
      <c r="K752" s="4" t="n">
        <v>46283</v>
      </c>
      <c r="L752" s="5">
        <f>IF(I752="","",I752-J752)</f>
        <v/>
      </c>
      <c r="M752">
        <f>IF(K752="","",K752-B752)</f>
        <v/>
      </c>
    </row>
    <row r="753">
      <c r="A753" t="inlineStr">
        <is>
          <t>S-00396</t>
        </is>
      </c>
      <c r="B753" s="4" t="n">
        <v>46291</v>
      </c>
      <c r="C753" t="inlineStr">
        <is>
          <t>Arrah Garment Plaza</t>
        </is>
      </c>
      <c r="D753" t="inlineStr">
        <is>
          <t>SALES</t>
        </is>
      </c>
      <c r="E753" t="inlineStr">
        <is>
          <t>Accessories</t>
        </is>
      </c>
      <c r="F753" s="5" t="n">
        <v>67994.7</v>
      </c>
      <c r="G753" t="n">
        <v>12</v>
      </c>
      <c r="H753" s="5" t="n">
        <v>8159.36</v>
      </c>
      <c r="I753" s="5" t="n">
        <v>76154.06</v>
      </c>
      <c r="J753" s="5" t="n">
        <v>0</v>
      </c>
      <c r="K753" s="4" t="inlineStr"/>
      <c r="L753" s="5">
        <f>IF(I753="","",I753-J753)</f>
        <v/>
      </c>
      <c r="M753">
        <f>IF(K753="","",K753-B753)</f>
        <v/>
      </c>
    </row>
    <row r="754">
      <c r="A754" t="inlineStr">
        <is>
          <t>P-00192</t>
        </is>
      </c>
      <c r="B754" s="4" t="n">
        <v>46287</v>
      </c>
      <c r="C754" t="inlineStr">
        <is>
          <t>Delhi Fabric Suppliers</t>
        </is>
      </c>
      <c r="D754" t="inlineStr">
        <is>
          <t>PURCHASE</t>
        </is>
      </c>
      <c r="E754" t="inlineStr">
        <is>
          <t>Inventory purchases</t>
        </is>
      </c>
      <c r="F754" s="5" t="n">
        <v>63973.43</v>
      </c>
      <c r="G754" t="n">
        <v>5</v>
      </c>
      <c r="H754" s="5" t="n">
        <v>3198.67</v>
      </c>
      <c r="I754" s="5" t="n">
        <v>67172.10000000001</v>
      </c>
      <c r="J754" s="5" t="n">
        <v>0</v>
      </c>
      <c r="K754" s="4" t="inlineStr"/>
      <c r="L754" s="5">
        <f>IF(I754="","",I754-J754)</f>
        <v/>
      </c>
      <c r="M754">
        <f>IF(K754="","",K754-B754)</f>
        <v/>
      </c>
    </row>
    <row r="755">
      <c r="A755" t="inlineStr">
        <is>
          <t>P-00193</t>
        </is>
      </c>
      <c r="B755" s="4" t="n">
        <v>46267</v>
      </c>
      <c r="C755" t="inlineStr">
        <is>
          <t>Surat Textile Mills</t>
        </is>
      </c>
      <c r="D755" t="inlineStr">
        <is>
          <t>PURCHASE</t>
        </is>
      </c>
      <c r="E755" t="inlineStr">
        <is>
          <t>Inventory purchases</t>
        </is>
      </c>
      <c r="F755" s="5" t="n">
        <v>81344.14999999999</v>
      </c>
      <c r="G755" t="n">
        <v>5</v>
      </c>
      <c r="H755" s="5" t="n">
        <v>4067.21</v>
      </c>
      <c r="I755" s="5" t="n">
        <v>85411.36</v>
      </c>
      <c r="J755" s="5" t="n">
        <v>85411.36</v>
      </c>
      <c r="K755" s="4" t="n">
        <v>46283</v>
      </c>
      <c r="L755" s="5">
        <f>IF(I755="","",I755-J755)</f>
        <v/>
      </c>
      <c r="M755">
        <f>IF(K755="","",K755-B755)</f>
        <v/>
      </c>
    </row>
    <row r="756">
      <c r="A756" t="inlineStr">
        <is>
          <t>P-00194</t>
        </is>
      </c>
      <c r="B756" s="4" t="n">
        <v>46292</v>
      </c>
      <c r="C756" t="inlineStr">
        <is>
          <t>Ludhiana Knitwear Co</t>
        </is>
      </c>
      <c r="D756" t="inlineStr">
        <is>
          <t>PURCHASE</t>
        </is>
      </c>
      <c r="E756" t="inlineStr">
        <is>
          <t>Inventory purchases</t>
        </is>
      </c>
      <c r="F756" s="5" t="n">
        <v>47108.68</v>
      </c>
      <c r="G756" t="n">
        <v>5</v>
      </c>
      <c r="H756" s="5" t="n">
        <v>2355.43</v>
      </c>
      <c r="I756" s="5" t="n">
        <v>49464.11</v>
      </c>
      <c r="J756" s="5" t="n">
        <v>0</v>
      </c>
      <c r="K756" s="4" t="inlineStr"/>
      <c r="L756" s="5">
        <f>IF(I756="","",I756-J756)</f>
        <v/>
      </c>
      <c r="M756">
        <f>IF(K756="","",K756-B756)</f>
        <v/>
      </c>
    </row>
    <row r="757">
      <c r="A757" t="inlineStr">
        <is>
          <t>P-00195</t>
        </is>
      </c>
      <c r="B757" s="4" t="n">
        <v>46288</v>
      </c>
      <c r="C757" t="inlineStr">
        <is>
          <t>Tiruppur Garment Works</t>
        </is>
      </c>
      <c r="D757" t="inlineStr">
        <is>
          <t>PURCHASE</t>
        </is>
      </c>
      <c r="E757" t="inlineStr">
        <is>
          <t>Inventory purchases</t>
        </is>
      </c>
      <c r="F757" s="5" t="n">
        <v>101725.71</v>
      </c>
      <c r="G757" t="n">
        <v>5</v>
      </c>
      <c r="H757" s="5" t="n">
        <v>5086.29</v>
      </c>
      <c r="I757" s="5" t="n">
        <v>106812</v>
      </c>
      <c r="J757" s="5" t="n">
        <v>0</v>
      </c>
      <c r="K757" s="4" t="inlineStr"/>
      <c r="L757" s="5">
        <f>IF(I757="","",I757-J757)</f>
        <v/>
      </c>
      <c r="M757">
        <f>IF(K757="","",K757-B757)</f>
        <v/>
      </c>
    </row>
    <row r="758">
      <c r="A758" t="inlineStr">
        <is>
          <t>P-00196</t>
        </is>
      </c>
      <c r="B758" s="4" t="n">
        <v>46279</v>
      </c>
      <c r="C758" t="inlineStr">
        <is>
          <t>Jaipur Print Works</t>
        </is>
      </c>
      <c r="D758" t="inlineStr">
        <is>
          <t>PURCHASE</t>
        </is>
      </c>
      <c r="E758" t="inlineStr">
        <is>
          <t>Inventory purchases</t>
        </is>
      </c>
      <c r="F758" s="5" t="n">
        <v>89534.17</v>
      </c>
      <c r="G758" t="n">
        <v>5</v>
      </c>
      <c r="H758" s="5" t="n">
        <v>4476.71</v>
      </c>
      <c r="I758" s="5" t="n">
        <v>94010.88</v>
      </c>
      <c r="J758" s="5" t="n">
        <v>0</v>
      </c>
      <c r="K758" s="4" t="inlineStr"/>
      <c r="L758" s="5">
        <f>IF(I758="","",I758-J758)</f>
        <v/>
      </c>
      <c r="M758">
        <f>IF(K758="","",K758-B758)</f>
        <v/>
      </c>
    </row>
    <row r="759">
      <c r="A759" t="inlineStr">
        <is>
          <t>P-00197</t>
        </is>
      </c>
      <c r="B759" s="4" t="n">
        <v>46290</v>
      </c>
      <c r="C759" t="inlineStr">
        <is>
          <t>Tiruppur Garment Works</t>
        </is>
      </c>
      <c r="D759" t="inlineStr">
        <is>
          <t>PURCHASE</t>
        </is>
      </c>
      <c r="E759" t="inlineStr">
        <is>
          <t>Inventory purchases</t>
        </is>
      </c>
      <c r="F759" s="5" t="n">
        <v>73679.7</v>
      </c>
      <c r="G759" t="n">
        <v>5</v>
      </c>
      <c r="H759" s="5" t="n">
        <v>3683.99</v>
      </c>
      <c r="I759" s="5" t="n">
        <v>77363.69</v>
      </c>
      <c r="J759" s="5" t="n">
        <v>0</v>
      </c>
      <c r="K759" s="4" t="inlineStr"/>
      <c r="L759" s="5">
        <f>IF(I759="","",I759-J759)</f>
        <v/>
      </c>
      <c r="M759">
        <f>IF(K759="","",K759-B759)</f>
        <v/>
      </c>
    </row>
    <row r="760">
      <c r="A760" t="inlineStr">
        <is>
          <t>P-00198</t>
        </is>
      </c>
      <c r="B760" s="4" t="n">
        <v>46269</v>
      </c>
      <c r="C760" t="inlineStr">
        <is>
          <t>Kolkata Hosiery House</t>
        </is>
      </c>
      <c r="D760" t="inlineStr">
        <is>
          <t>PURCHASE</t>
        </is>
      </c>
      <c r="E760" t="inlineStr">
        <is>
          <t>Inventory purchases</t>
        </is>
      </c>
      <c r="F760" s="5" t="n">
        <v>79444.16</v>
      </c>
      <c r="G760" t="n">
        <v>5</v>
      </c>
      <c r="H760" s="5" t="n">
        <v>3972.21</v>
      </c>
      <c r="I760" s="5" t="n">
        <v>83416.37</v>
      </c>
      <c r="J760" s="5" t="n">
        <v>83416.37</v>
      </c>
      <c r="K760" s="4" t="n">
        <v>46290</v>
      </c>
      <c r="L760" s="5">
        <f>IF(I760="","",I760-J760)</f>
        <v/>
      </c>
      <c r="M760">
        <f>IF(K760="","",K760-B760)</f>
        <v/>
      </c>
    </row>
    <row r="761">
      <c r="A761" t="inlineStr">
        <is>
          <t>P-00199</t>
        </is>
      </c>
      <c r="B761" s="4" t="n">
        <v>46286</v>
      </c>
      <c r="C761" t="inlineStr">
        <is>
          <t>Jaipur Print Works</t>
        </is>
      </c>
      <c r="D761" t="inlineStr">
        <is>
          <t>PURCHASE</t>
        </is>
      </c>
      <c r="E761" t="inlineStr">
        <is>
          <t>Inventory purchases</t>
        </is>
      </c>
      <c r="F761" s="5" t="n">
        <v>37696.07</v>
      </c>
      <c r="G761" t="n">
        <v>5</v>
      </c>
      <c r="H761" s="5" t="n">
        <v>1884.8</v>
      </c>
      <c r="I761" s="5" t="n">
        <v>39580.87</v>
      </c>
      <c r="J761" s="5" t="n">
        <v>0</v>
      </c>
      <c r="K761" s="4" t="inlineStr"/>
      <c r="L761" s="5">
        <f>IF(I761="","",I761-J761)</f>
        <v/>
      </c>
      <c r="M761">
        <f>IF(K761="","",K761-B761)</f>
        <v/>
      </c>
    </row>
    <row r="762">
      <c r="A762" t="inlineStr">
        <is>
          <t>P-00200</t>
        </is>
      </c>
      <c r="B762" s="4" t="n">
        <v>46293</v>
      </c>
      <c r="C762" t="inlineStr">
        <is>
          <t>Tiruppur Garment Works</t>
        </is>
      </c>
      <c r="D762" t="inlineStr">
        <is>
          <t>PURCHASE</t>
        </is>
      </c>
      <c r="E762" t="inlineStr">
        <is>
          <t>Inventory purchases</t>
        </is>
      </c>
      <c r="F762" s="5" t="n">
        <v>96450.63</v>
      </c>
      <c r="G762" t="n">
        <v>5</v>
      </c>
      <c r="H762" s="5" t="n">
        <v>4822.53</v>
      </c>
      <c r="I762" s="5" t="n">
        <v>101273.16</v>
      </c>
      <c r="J762" s="5" t="n">
        <v>0</v>
      </c>
      <c r="K762" s="4" t="inlineStr"/>
      <c r="L762" s="5">
        <f>IF(I762="","",I762-J762)</f>
        <v/>
      </c>
      <c r="M762">
        <f>IF(K762="","",K762-B762)</f>
        <v/>
      </c>
    </row>
    <row r="763">
      <c r="A763" t="inlineStr">
        <is>
          <t>P-00201</t>
        </is>
      </c>
      <c r="B763" s="4" t="n">
        <v>46266</v>
      </c>
      <c r="C763" t="inlineStr">
        <is>
          <t>Surat Textile Mills</t>
        </is>
      </c>
      <c r="D763" t="inlineStr">
        <is>
          <t>PURCHASE</t>
        </is>
      </c>
      <c r="E763" t="inlineStr">
        <is>
          <t>Inventory purchases</t>
        </is>
      </c>
      <c r="F763" s="5" t="n">
        <v>91616.41</v>
      </c>
      <c r="G763" t="n">
        <v>5</v>
      </c>
      <c r="H763" s="5" t="n">
        <v>4580.82</v>
      </c>
      <c r="I763" s="5" t="n">
        <v>96197.23</v>
      </c>
      <c r="J763" s="5" t="n">
        <v>96197.23</v>
      </c>
      <c r="K763" s="4" t="n">
        <v>46289</v>
      </c>
      <c r="L763" s="5">
        <f>IF(I763="","",I763-J763)</f>
        <v/>
      </c>
      <c r="M763">
        <f>IF(K763="","",K763-B763)</f>
        <v/>
      </c>
    </row>
    <row r="764">
      <c r="A764" t="inlineStr">
        <is>
          <t>P-00202</t>
        </is>
      </c>
      <c r="B764" s="4" t="n">
        <v>46288</v>
      </c>
      <c r="C764" t="inlineStr">
        <is>
          <t>Jaipur Print Works</t>
        </is>
      </c>
      <c r="D764" t="inlineStr">
        <is>
          <t>PURCHASE</t>
        </is>
      </c>
      <c r="E764" t="inlineStr">
        <is>
          <t>Inventory purchases</t>
        </is>
      </c>
      <c r="F764" s="5" t="n">
        <v>107391.04</v>
      </c>
      <c r="G764" t="n">
        <v>5</v>
      </c>
      <c r="H764" s="5" t="n">
        <v>5369.55</v>
      </c>
      <c r="I764" s="5" t="n">
        <v>112760.59</v>
      </c>
      <c r="J764" s="5" t="n">
        <v>0</v>
      </c>
      <c r="K764" s="4" t="inlineStr"/>
      <c r="L764" s="5">
        <f>IF(I764="","",I764-J764)</f>
        <v/>
      </c>
      <c r="M764">
        <f>IF(K764="","",K764-B764)</f>
        <v/>
      </c>
    </row>
    <row r="765">
      <c r="A765" t="inlineStr">
        <is>
          <t>P-00203</t>
        </is>
      </c>
      <c r="B765" s="4" t="n">
        <v>46284</v>
      </c>
      <c r="C765" t="inlineStr">
        <is>
          <t>Tiruppur Garment Works</t>
        </is>
      </c>
      <c r="D765" t="inlineStr">
        <is>
          <t>PURCHASE</t>
        </is>
      </c>
      <c r="E765" t="inlineStr">
        <is>
          <t>Inventory purchases</t>
        </is>
      </c>
      <c r="F765" s="5" t="n">
        <v>45316.98</v>
      </c>
      <c r="G765" t="n">
        <v>5</v>
      </c>
      <c r="H765" s="5" t="n">
        <v>2265.85</v>
      </c>
      <c r="I765" s="5" t="n">
        <v>47582.83</v>
      </c>
      <c r="J765" s="5" t="n">
        <v>0</v>
      </c>
      <c r="K765" s="4" t="inlineStr"/>
      <c r="L765" s="5">
        <f>IF(I765="","",I765-J765)</f>
        <v/>
      </c>
      <c r="M765">
        <f>IF(K765="","",K765-B765)</f>
        <v/>
      </c>
    </row>
    <row r="766">
      <c r="A766" t="inlineStr">
        <is>
          <t>P-00204</t>
        </is>
      </c>
      <c r="B766" s="4" t="n">
        <v>46284</v>
      </c>
      <c r="C766" t="inlineStr">
        <is>
          <t>Delhi Fabric Suppliers</t>
        </is>
      </c>
      <c r="D766" t="inlineStr">
        <is>
          <t>PURCHASE</t>
        </is>
      </c>
      <c r="E766" t="inlineStr">
        <is>
          <t>Inventory purchases</t>
        </is>
      </c>
      <c r="F766" s="5" t="n">
        <v>87746.57000000001</v>
      </c>
      <c r="G766" t="n">
        <v>5</v>
      </c>
      <c r="H766" s="5" t="n">
        <v>4387.33</v>
      </c>
      <c r="I766" s="5" t="n">
        <v>92133.89999999999</v>
      </c>
      <c r="J766" s="5" t="n">
        <v>0</v>
      </c>
      <c r="K766" s="4" t="inlineStr"/>
      <c r="L766" s="5">
        <f>IF(I766="","",I766-J766)</f>
        <v/>
      </c>
      <c r="M766">
        <f>IF(K766="","",K766-B766)</f>
        <v/>
      </c>
    </row>
    <row r="767">
      <c r="A767" t="inlineStr">
        <is>
          <t>P-00205</t>
        </is>
      </c>
      <c r="B767" s="4" t="n">
        <v>46288</v>
      </c>
      <c r="C767" t="inlineStr">
        <is>
          <t>Surat Textile Mills</t>
        </is>
      </c>
      <c r="D767" t="inlineStr">
        <is>
          <t>PURCHASE</t>
        </is>
      </c>
      <c r="E767" t="inlineStr">
        <is>
          <t>Inventory purchases</t>
        </is>
      </c>
      <c r="F767" s="5" t="n">
        <v>81620.12</v>
      </c>
      <c r="G767" t="n">
        <v>5</v>
      </c>
      <c r="H767" s="5" t="n">
        <v>4081.01</v>
      </c>
      <c r="I767" s="5" t="n">
        <v>85701.13</v>
      </c>
      <c r="J767" s="5" t="n">
        <v>0</v>
      </c>
      <c r="K767" s="4" t="inlineStr"/>
      <c r="L767" s="5">
        <f>IF(I767="","",I767-J767)</f>
        <v/>
      </c>
      <c r="M767">
        <f>IF(K767="","",K767-B767)</f>
        <v/>
      </c>
    </row>
    <row r="768">
      <c r="A768" t="inlineStr">
        <is>
          <t>P-00206</t>
        </is>
      </c>
      <c r="B768" s="4" t="n">
        <v>46295</v>
      </c>
      <c r="C768" t="inlineStr">
        <is>
          <t>Ludhiana Knitwear Co</t>
        </is>
      </c>
      <c r="D768" t="inlineStr">
        <is>
          <t>PURCHASE</t>
        </is>
      </c>
      <c r="E768" t="inlineStr">
        <is>
          <t>Inventory purchases</t>
        </is>
      </c>
      <c r="F768" s="5" t="n">
        <v>77696.8</v>
      </c>
      <c r="G768" t="n">
        <v>5</v>
      </c>
      <c r="H768" s="5" t="n">
        <v>3884.84</v>
      </c>
      <c r="I768" s="5" t="n">
        <v>81581.64</v>
      </c>
      <c r="J768" s="5" t="n">
        <v>0</v>
      </c>
      <c r="K768" s="4" t="inlineStr"/>
      <c r="L768" s="5">
        <f>IF(I768="","",I768-J768)</f>
        <v/>
      </c>
      <c r="M768">
        <f>IF(K768="","",K768-B768)</f>
        <v/>
      </c>
    </row>
    <row r="769">
      <c r="A769" t="inlineStr">
        <is>
          <t>P-00207</t>
        </is>
      </c>
      <c r="B769" s="4" t="n">
        <v>46292</v>
      </c>
      <c r="C769" t="inlineStr">
        <is>
          <t>Delhi Fabric Suppliers</t>
        </is>
      </c>
      <c r="D769" t="inlineStr">
        <is>
          <t>PURCHASE</t>
        </is>
      </c>
      <c r="E769" t="inlineStr">
        <is>
          <t>Inventory purchases</t>
        </is>
      </c>
      <c r="F769" s="5" t="n">
        <v>24244.17</v>
      </c>
      <c r="G769" t="n">
        <v>5</v>
      </c>
      <c r="H769" s="5" t="n">
        <v>1212.21</v>
      </c>
      <c r="I769" s="5" t="n">
        <v>25456.38</v>
      </c>
      <c r="J769" s="5" t="n">
        <v>0</v>
      </c>
      <c r="K769" s="4" t="inlineStr"/>
      <c r="L769" s="5">
        <f>IF(I769="","",I769-J769)</f>
        <v/>
      </c>
      <c r="M769">
        <f>IF(K769="","",K769-B769)</f>
        <v/>
      </c>
    </row>
    <row r="770">
      <c r="A770" t="inlineStr">
        <is>
          <t>P-00208</t>
        </is>
      </c>
      <c r="B770" s="4" t="n">
        <v>46275</v>
      </c>
      <c r="C770" t="inlineStr">
        <is>
          <t>Kolkata Hosiery House</t>
        </is>
      </c>
      <c r="D770" t="inlineStr">
        <is>
          <t>PURCHASE</t>
        </is>
      </c>
      <c r="E770" t="inlineStr">
        <is>
          <t>Inventory purchases</t>
        </is>
      </c>
      <c r="F770" s="5" t="n">
        <v>82538.8</v>
      </c>
      <c r="G770" t="n">
        <v>5</v>
      </c>
      <c r="H770" s="5" t="n">
        <v>4126.94</v>
      </c>
      <c r="I770" s="5" t="n">
        <v>86665.74000000001</v>
      </c>
      <c r="J770" s="5" t="n">
        <v>86665.74000000001</v>
      </c>
      <c r="K770" s="4" t="n">
        <v>46295</v>
      </c>
      <c r="L770" s="5">
        <f>IF(I770="","",I770-J770)</f>
        <v/>
      </c>
      <c r="M770">
        <f>IF(K770="","",K770-B770)</f>
        <v/>
      </c>
    </row>
    <row r="771">
      <c r="A771" t="inlineStr">
        <is>
          <t>P-00209</t>
        </is>
      </c>
      <c r="B771" s="4" t="n">
        <v>46279</v>
      </c>
      <c r="C771" t="inlineStr">
        <is>
          <t>Jaipur Print Works</t>
        </is>
      </c>
      <c r="D771" t="inlineStr">
        <is>
          <t>PURCHASE</t>
        </is>
      </c>
      <c r="E771" t="inlineStr">
        <is>
          <t>Inventory purchases</t>
        </is>
      </c>
      <c r="F771" s="5" t="n">
        <v>27959.1</v>
      </c>
      <c r="G771" t="n">
        <v>5</v>
      </c>
      <c r="H771" s="5" t="n">
        <v>1397.95</v>
      </c>
      <c r="I771" s="5" t="n">
        <v>29357.05</v>
      </c>
      <c r="J771" s="5" t="n">
        <v>29357.05</v>
      </c>
      <c r="K771" s="4" t="n">
        <v>46291</v>
      </c>
      <c r="L771" s="5">
        <f>IF(I771="","",I771-J771)</f>
        <v/>
      </c>
      <c r="M771">
        <f>IF(K771="","",K771-B771)</f>
        <v/>
      </c>
    </row>
    <row r="772">
      <c r="A772" t="inlineStr">
        <is>
          <t>P-00210</t>
        </is>
      </c>
      <c r="B772" s="4" t="n">
        <v>46285</v>
      </c>
      <c r="C772" t="inlineStr">
        <is>
          <t>Kolkata Hosiery House</t>
        </is>
      </c>
      <c r="D772" t="inlineStr">
        <is>
          <t>PURCHASE</t>
        </is>
      </c>
      <c r="E772" t="inlineStr">
        <is>
          <t>Inventory purchases</t>
        </is>
      </c>
      <c r="F772" s="5" t="n">
        <v>100836.68</v>
      </c>
      <c r="G772" t="n">
        <v>5</v>
      </c>
      <c r="H772" s="5" t="n">
        <v>5041.83</v>
      </c>
      <c r="I772" s="5" t="n">
        <v>105878.51</v>
      </c>
      <c r="J772" s="5" t="n">
        <v>0</v>
      </c>
      <c r="K772" s="4" t="inlineStr"/>
      <c r="L772" s="5">
        <f>IF(I772="","",I772-J772)</f>
        <v/>
      </c>
      <c r="M772">
        <f>IF(K772="","",K772-B772)</f>
        <v/>
      </c>
    </row>
    <row r="773">
      <c r="A773" t="inlineStr">
        <is>
          <t>P-00211</t>
        </is>
      </c>
      <c r="B773" s="4" t="n">
        <v>46281</v>
      </c>
      <c r="C773" t="inlineStr">
        <is>
          <t>Ludhiana Knitwear Co</t>
        </is>
      </c>
      <c r="D773" t="inlineStr">
        <is>
          <t>PURCHASE</t>
        </is>
      </c>
      <c r="E773" t="inlineStr">
        <is>
          <t>Inventory purchases</t>
        </is>
      </c>
      <c r="F773" s="5" t="n">
        <v>102901.29</v>
      </c>
      <c r="G773" t="n">
        <v>5</v>
      </c>
      <c r="H773" s="5" t="n">
        <v>5145.06</v>
      </c>
      <c r="I773" s="5" t="n">
        <v>108046.35</v>
      </c>
      <c r="J773" s="5" t="n">
        <v>0</v>
      </c>
      <c r="K773" s="4" t="inlineStr"/>
      <c r="L773" s="5">
        <f>IF(I773="","",I773-J773)</f>
        <v/>
      </c>
      <c r="M773">
        <f>IF(K773="","",K773-B773)</f>
        <v/>
      </c>
    </row>
    <row r="774">
      <c r="A774" t="inlineStr">
        <is>
          <t>E-00166</t>
        </is>
      </c>
      <c r="B774" s="4" t="n">
        <v>46276</v>
      </c>
      <c r="C774" t="inlineStr">
        <is>
          <t>Various</t>
        </is>
      </c>
      <c r="D774" t="inlineStr">
        <is>
          <t>EXPENSE</t>
        </is>
      </c>
      <c r="E774" t="inlineStr">
        <is>
          <t>Rent</t>
        </is>
      </c>
      <c r="F774" s="5" t="n">
        <v>24575.01</v>
      </c>
      <c r="G774" t="n">
        <v>18</v>
      </c>
      <c r="H774" s="5" t="n">
        <v>4423.5</v>
      </c>
      <c r="I774" s="5" t="n">
        <v>28998.51</v>
      </c>
      <c r="J774" s="5" t="n">
        <v>28998.51</v>
      </c>
      <c r="K774" s="4" t="n">
        <v>46282</v>
      </c>
      <c r="L774" s="5">
        <f>IF(I774="","",I774-J774)</f>
        <v/>
      </c>
      <c r="M774">
        <f>IF(K774="","",K774-B774)</f>
        <v/>
      </c>
    </row>
    <row r="775">
      <c r="A775" t="inlineStr">
        <is>
          <t>E-00167</t>
        </is>
      </c>
      <c r="B775" s="4" t="n">
        <v>46269</v>
      </c>
      <c r="C775" t="inlineStr">
        <is>
          <t>Various</t>
        </is>
      </c>
      <c r="D775" t="inlineStr">
        <is>
          <t>EXPENSE</t>
        </is>
      </c>
      <c r="E775" t="inlineStr">
        <is>
          <t>Salaries</t>
        </is>
      </c>
      <c r="F775" s="5" t="n">
        <v>85672.31</v>
      </c>
      <c r="G775" t="n">
        <v>0</v>
      </c>
      <c r="H775" s="5" t="n">
        <v>0</v>
      </c>
      <c r="I775" s="5" t="n">
        <v>85672.31</v>
      </c>
      <c r="J775" s="5" t="n">
        <v>85672.31</v>
      </c>
      <c r="K775" s="4" t="n">
        <v>46273</v>
      </c>
      <c r="L775" s="5">
        <f>IF(I775="","",I775-J775)</f>
        <v/>
      </c>
      <c r="M775">
        <f>IF(K775="","",K775-B775)</f>
        <v/>
      </c>
    </row>
    <row r="776">
      <c r="A776" t="inlineStr">
        <is>
          <t>E-00168</t>
        </is>
      </c>
      <c r="B776" s="4" t="n">
        <v>46270</v>
      </c>
      <c r="C776" t="inlineStr">
        <is>
          <t>Various</t>
        </is>
      </c>
      <c r="D776" t="inlineStr">
        <is>
          <t>EXPENSE</t>
        </is>
      </c>
      <c r="E776" t="inlineStr">
        <is>
          <t>Utilities</t>
        </is>
      </c>
      <c r="F776" s="5" t="n">
        <v>6417.59</v>
      </c>
      <c r="G776" t="n">
        <v>18</v>
      </c>
      <c r="H776" s="5" t="n">
        <v>1155.17</v>
      </c>
      <c r="I776" s="5" t="n">
        <v>7572.76</v>
      </c>
      <c r="J776" s="5" t="n">
        <v>7572.76</v>
      </c>
      <c r="K776" s="4" t="n">
        <v>46273</v>
      </c>
      <c r="L776" s="5">
        <f>IF(I776="","",I776-J776)</f>
        <v/>
      </c>
      <c r="M776">
        <f>IF(K776="","",K776-B776)</f>
        <v/>
      </c>
    </row>
    <row r="777">
      <c r="A777" t="inlineStr">
        <is>
          <t>E-00169</t>
        </is>
      </c>
      <c r="B777" s="4" t="n">
        <v>46276</v>
      </c>
      <c r="C777" t="inlineStr">
        <is>
          <t>Various</t>
        </is>
      </c>
      <c r="D777" t="inlineStr">
        <is>
          <t>EXPENSE</t>
        </is>
      </c>
      <c r="E777" t="inlineStr">
        <is>
          <t>Transport</t>
        </is>
      </c>
      <c r="F777" s="5" t="n">
        <v>2642.45</v>
      </c>
      <c r="G777" t="n">
        <v>5</v>
      </c>
      <c r="H777" s="5" t="n">
        <v>132.12</v>
      </c>
      <c r="I777" s="5" t="n">
        <v>2774.57</v>
      </c>
      <c r="J777" s="5" t="n">
        <v>2774.57</v>
      </c>
      <c r="K777" s="4" t="n">
        <v>46284</v>
      </c>
      <c r="L777" s="5">
        <f>IF(I777="","",I777-J777)</f>
        <v/>
      </c>
      <c r="M777">
        <f>IF(K777="","",K777-B777)</f>
        <v/>
      </c>
    </row>
    <row r="778">
      <c r="A778" t="inlineStr">
        <is>
          <t>E-00170</t>
        </is>
      </c>
      <c r="B778" s="4" t="n">
        <v>46274</v>
      </c>
      <c r="C778" t="inlineStr">
        <is>
          <t>Various</t>
        </is>
      </c>
      <c r="D778" t="inlineStr">
        <is>
          <t>EXPENSE</t>
        </is>
      </c>
      <c r="E778" t="inlineStr">
        <is>
          <t>Transport</t>
        </is>
      </c>
      <c r="F778" s="5" t="n">
        <v>7182.73</v>
      </c>
      <c r="G778" t="n">
        <v>5</v>
      </c>
      <c r="H778" s="5" t="n">
        <v>359.14</v>
      </c>
      <c r="I778" s="5" t="n">
        <v>7541.87</v>
      </c>
      <c r="J778" s="5" t="n">
        <v>7541.87</v>
      </c>
      <c r="K778" s="4" t="n">
        <v>46276</v>
      </c>
      <c r="L778" s="5">
        <f>IF(I778="","",I778-J778)</f>
        <v/>
      </c>
      <c r="M778">
        <f>IF(K778="","",K778-B778)</f>
        <v/>
      </c>
    </row>
    <row r="779">
      <c r="A779" t="inlineStr">
        <is>
          <t>E-00171</t>
        </is>
      </c>
      <c r="B779" s="4" t="n">
        <v>46286</v>
      </c>
      <c r="C779" t="inlineStr">
        <is>
          <t>Various</t>
        </is>
      </c>
      <c r="D779" t="inlineStr">
        <is>
          <t>EXPENSE</t>
        </is>
      </c>
      <c r="E779" t="inlineStr">
        <is>
          <t>Transport</t>
        </is>
      </c>
      <c r="F779" s="5" t="n">
        <v>5044.98</v>
      </c>
      <c r="G779" t="n">
        <v>5</v>
      </c>
      <c r="H779" s="5" t="n">
        <v>252.25</v>
      </c>
      <c r="I779" s="5" t="n">
        <v>5297.23</v>
      </c>
      <c r="J779" s="5" t="n">
        <v>5297.23</v>
      </c>
      <c r="K779" s="4" t="n">
        <v>46289</v>
      </c>
      <c r="L779" s="5">
        <f>IF(I779="","",I779-J779)</f>
        <v/>
      </c>
      <c r="M779">
        <f>IF(K779="","",K779-B779)</f>
        <v/>
      </c>
    </row>
    <row r="780">
      <c r="A780" t="inlineStr">
        <is>
          <t>E-00172</t>
        </is>
      </c>
      <c r="B780" s="4" t="n">
        <v>46292</v>
      </c>
      <c r="C780" t="inlineStr">
        <is>
          <t>Various</t>
        </is>
      </c>
      <c r="D780" t="inlineStr">
        <is>
          <t>EXPENSE</t>
        </is>
      </c>
      <c r="E780" t="inlineStr">
        <is>
          <t>Transport</t>
        </is>
      </c>
      <c r="F780" s="5" t="n">
        <v>3397.19</v>
      </c>
      <c r="G780" t="n">
        <v>5</v>
      </c>
      <c r="H780" s="5" t="n">
        <v>169.86</v>
      </c>
      <c r="I780" s="5" t="n">
        <v>3567.05</v>
      </c>
      <c r="J780" s="5" t="n">
        <v>0</v>
      </c>
      <c r="K780" s="4" t="inlineStr"/>
      <c r="L780" s="5">
        <f>IF(I780="","",I780-J780)</f>
        <v/>
      </c>
      <c r="M780">
        <f>IF(K780="","",K780-B780)</f>
        <v/>
      </c>
    </row>
    <row r="781">
      <c r="A781" t="inlineStr">
        <is>
          <t>E-00173</t>
        </is>
      </c>
      <c r="B781" s="4" t="n">
        <v>46273</v>
      </c>
      <c r="C781" t="inlineStr">
        <is>
          <t>Various</t>
        </is>
      </c>
      <c r="D781" t="inlineStr">
        <is>
          <t>EXPENSE</t>
        </is>
      </c>
      <c r="E781" t="inlineStr">
        <is>
          <t>Transport</t>
        </is>
      </c>
      <c r="F781" s="5" t="n">
        <v>3138.54</v>
      </c>
      <c r="G781" t="n">
        <v>5</v>
      </c>
      <c r="H781" s="5" t="n">
        <v>156.93</v>
      </c>
      <c r="I781" s="5" t="n">
        <v>3295.47</v>
      </c>
      <c r="J781" s="5" t="n">
        <v>3295.47</v>
      </c>
      <c r="K781" s="4" t="n">
        <v>46280</v>
      </c>
      <c r="L781" s="5">
        <f>IF(I781="","",I781-J781)</f>
        <v/>
      </c>
      <c r="M781">
        <f>IF(K781="","",K781-B781)</f>
        <v/>
      </c>
    </row>
    <row r="782">
      <c r="A782" t="inlineStr">
        <is>
          <t>E-00174</t>
        </is>
      </c>
      <c r="B782" s="4" t="n">
        <v>46293</v>
      </c>
      <c r="C782" t="inlineStr">
        <is>
          <t>Various</t>
        </is>
      </c>
      <c r="D782" t="inlineStr">
        <is>
          <t>EXPENSE</t>
        </is>
      </c>
      <c r="E782" t="inlineStr">
        <is>
          <t>Transport</t>
        </is>
      </c>
      <c r="F782" s="5" t="n">
        <v>3682.15</v>
      </c>
      <c r="G782" t="n">
        <v>5</v>
      </c>
      <c r="H782" s="5" t="n">
        <v>184.11</v>
      </c>
      <c r="I782" s="5" t="n">
        <v>3866.26</v>
      </c>
      <c r="J782" s="5" t="n">
        <v>3866.26</v>
      </c>
      <c r="K782" s="4" t="n">
        <v>46295</v>
      </c>
      <c r="L782" s="5">
        <f>IF(I782="","",I782-J782)</f>
        <v/>
      </c>
      <c r="M782">
        <f>IF(K782="","",K782-B782)</f>
        <v/>
      </c>
    </row>
    <row r="783">
      <c r="A783" t="inlineStr">
        <is>
          <t>E-00175</t>
        </is>
      </c>
      <c r="B783" s="4" t="n">
        <v>46287</v>
      </c>
      <c r="C783" t="inlineStr">
        <is>
          <t>Various</t>
        </is>
      </c>
      <c r="D783" t="inlineStr">
        <is>
          <t>EXPENSE</t>
        </is>
      </c>
      <c r="E783" t="inlineStr">
        <is>
          <t>Marketing</t>
        </is>
      </c>
      <c r="F783" s="5" t="n">
        <v>14772.06</v>
      </c>
      <c r="G783" t="n">
        <v>18</v>
      </c>
      <c r="H783" s="5" t="n">
        <v>2658.97</v>
      </c>
      <c r="I783" s="5" t="n">
        <v>17431.03</v>
      </c>
      <c r="J783" s="5" t="n">
        <v>17431.03</v>
      </c>
      <c r="K783" s="4" t="n">
        <v>46288</v>
      </c>
      <c r="L783" s="5">
        <f>IF(I783="","",I783-J783)</f>
        <v/>
      </c>
      <c r="M783">
        <f>IF(K783="","",K783-B783)</f>
        <v/>
      </c>
    </row>
    <row r="784">
      <c r="A784" t="inlineStr">
        <is>
          <t>E-00176</t>
        </is>
      </c>
      <c r="B784" s="4" t="n">
        <v>46276</v>
      </c>
      <c r="C784" t="inlineStr">
        <is>
          <t>Various</t>
        </is>
      </c>
      <c r="D784" t="inlineStr">
        <is>
          <t>EXPENSE</t>
        </is>
      </c>
      <c r="E784" t="inlineStr">
        <is>
          <t>Marketing</t>
        </is>
      </c>
      <c r="F784" s="5" t="n">
        <v>18314.54</v>
      </c>
      <c r="G784" t="n">
        <v>18</v>
      </c>
      <c r="H784" s="5" t="n">
        <v>3296.62</v>
      </c>
      <c r="I784" s="5" t="n">
        <v>21611.16</v>
      </c>
      <c r="J784" s="5" t="n">
        <v>21611.16</v>
      </c>
      <c r="K784" s="4" t="n">
        <v>46279</v>
      </c>
      <c r="L784" s="5">
        <f>IF(I784="","",I784-J784)</f>
        <v/>
      </c>
      <c r="M784">
        <f>IF(K784="","",K784-B784)</f>
        <v/>
      </c>
    </row>
    <row r="785">
      <c r="A785" t="inlineStr">
        <is>
          <t>E-00177</t>
        </is>
      </c>
      <c r="B785" s="4" t="n">
        <v>46290</v>
      </c>
      <c r="C785" t="inlineStr">
        <is>
          <t>Various</t>
        </is>
      </c>
      <c r="D785" t="inlineStr">
        <is>
          <t>EXPENSE</t>
        </is>
      </c>
      <c r="E785" t="inlineStr">
        <is>
          <t>Professional fees</t>
        </is>
      </c>
      <c r="F785" s="5" t="n">
        <v>11111.32</v>
      </c>
      <c r="G785" t="n">
        <v>18</v>
      </c>
      <c r="H785" s="5" t="n">
        <v>2000.04</v>
      </c>
      <c r="I785" s="5" t="n">
        <v>13111.36</v>
      </c>
      <c r="J785" s="5" t="n">
        <v>13111.36</v>
      </c>
      <c r="K785" s="4" t="n">
        <v>46294</v>
      </c>
      <c r="L785" s="5">
        <f>IF(I785="","",I785-J785)</f>
        <v/>
      </c>
      <c r="M785">
        <f>IF(K785="","",K785-B785)</f>
        <v/>
      </c>
    </row>
    <row r="786">
      <c r="A786" t="inlineStr">
        <is>
          <t>E-00178</t>
        </is>
      </c>
      <c r="B786" s="4" t="n">
        <v>46288</v>
      </c>
      <c r="C786" t="inlineStr">
        <is>
          <t>Various</t>
        </is>
      </c>
      <c r="D786" t="inlineStr">
        <is>
          <t>EXPENSE</t>
        </is>
      </c>
      <c r="E786" t="inlineStr">
        <is>
          <t>Misc</t>
        </is>
      </c>
      <c r="F786" s="5" t="n">
        <v>1448.69</v>
      </c>
      <c r="G786" t="n">
        <v>18</v>
      </c>
      <c r="H786" s="5" t="n">
        <v>260.76</v>
      </c>
      <c r="I786" s="5" t="n">
        <v>1709.45</v>
      </c>
      <c r="J786" s="5" t="n">
        <v>1709.45</v>
      </c>
      <c r="K786" s="4" t="n">
        <v>46292</v>
      </c>
      <c r="L786" s="5">
        <f>IF(I786="","",I786-J786)</f>
        <v/>
      </c>
      <c r="M786">
        <f>IF(K786="","",K786-B786)</f>
        <v/>
      </c>
    </row>
    <row r="787">
      <c r="A787" t="inlineStr">
        <is>
          <t>E-00179</t>
        </is>
      </c>
      <c r="B787" s="4" t="n">
        <v>46269</v>
      </c>
      <c r="C787" t="inlineStr">
        <is>
          <t>Various</t>
        </is>
      </c>
      <c r="D787" t="inlineStr">
        <is>
          <t>EXPENSE</t>
        </is>
      </c>
      <c r="E787" t="inlineStr">
        <is>
          <t>Misc</t>
        </is>
      </c>
      <c r="F787" s="5" t="n">
        <v>1745.05</v>
      </c>
      <c r="G787" t="n">
        <v>18</v>
      </c>
      <c r="H787" s="5" t="n">
        <v>314.11</v>
      </c>
      <c r="I787" s="5" t="n">
        <v>2059.16</v>
      </c>
      <c r="J787" s="5" t="n">
        <v>2059.16</v>
      </c>
      <c r="K787" s="4" t="n">
        <v>46270</v>
      </c>
      <c r="L787" s="5">
        <f>IF(I787="","",I787-J787)</f>
        <v/>
      </c>
      <c r="M787">
        <f>IF(K787="","",K787-B787)</f>
        <v/>
      </c>
    </row>
    <row r="788">
      <c r="A788" t="inlineStr">
        <is>
          <t>E-00180</t>
        </is>
      </c>
      <c r="B788" s="4" t="n">
        <v>46282</v>
      </c>
      <c r="C788" t="inlineStr">
        <is>
          <t>Various</t>
        </is>
      </c>
      <c r="D788" t="inlineStr">
        <is>
          <t>EXPENSE</t>
        </is>
      </c>
      <c r="E788" t="inlineStr">
        <is>
          <t>Misc</t>
        </is>
      </c>
      <c r="F788" s="5" t="n">
        <v>3178.44</v>
      </c>
      <c r="G788" t="n">
        <v>18</v>
      </c>
      <c r="H788" s="5" t="n">
        <v>572.12</v>
      </c>
      <c r="I788" s="5" t="n">
        <v>3750.56</v>
      </c>
      <c r="J788" s="5" t="n">
        <v>3750.56</v>
      </c>
      <c r="K788" s="4" t="n">
        <v>46290</v>
      </c>
      <c r="L788" s="5">
        <f>IF(I788="","",I788-J788)</f>
        <v/>
      </c>
      <c r="M788">
        <f>IF(K788="","",K788-B788)</f>
        <v/>
      </c>
    </row>
  </sheetData>
  <autoFilter ref="A1:M7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2" customWidth="1" min="5" max="5"/>
    <col width="12" customWidth="1" min="6" max="6"/>
  </cols>
  <sheetData>
    <row r="1">
      <c r="A1" s="3" t="inlineStr">
        <is>
          <t>pay_id</t>
        </is>
      </c>
      <c r="B1" s="3" t="inlineStr">
        <is>
          <t>inv_id</t>
        </is>
      </c>
      <c r="C1" s="3" t="inlineStr">
        <is>
          <t>type</t>
        </is>
      </c>
      <c r="D1" s="3" t="inlineStr">
        <is>
          <t>category</t>
        </is>
      </c>
      <c r="E1" s="3" t="inlineStr">
        <is>
          <t>date</t>
        </is>
      </c>
      <c r="F1" s="3" t="inlineStr">
        <is>
          <t>amount</t>
        </is>
      </c>
    </row>
    <row r="2">
      <c r="A2" t="inlineStr">
        <is>
          <t>PAY-00001</t>
        </is>
      </c>
      <c r="B2" t="inlineStr">
        <is>
          <t>S-00001</t>
        </is>
      </c>
      <c r="C2" t="inlineStr">
        <is>
          <t>SALES</t>
        </is>
      </c>
      <c r="D2" t="inlineStr">
        <is>
          <t>Fabrics</t>
        </is>
      </c>
      <c r="E2" s="4" t="n">
        <v>46000</v>
      </c>
      <c r="F2" s="5" t="n">
        <v>35147.89</v>
      </c>
    </row>
    <row r="3">
      <c r="A3" t="inlineStr">
        <is>
          <t>PAY-00002</t>
        </is>
      </c>
      <c r="B3" t="inlineStr">
        <is>
          <t>S-00002</t>
        </is>
      </c>
      <c r="C3" t="inlineStr">
        <is>
          <t>SALES</t>
        </is>
      </c>
      <c r="D3" t="inlineStr">
        <is>
          <t>Fabrics</t>
        </is>
      </c>
      <c r="E3" s="4" t="n">
        <v>45967</v>
      </c>
      <c r="F3" s="5" t="n">
        <v>79385.2</v>
      </c>
    </row>
    <row r="4">
      <c r="A4" t="inlineStr">
        <is>
          <t>PAY-00003</t>
        </is>
      </c>
      <c r="B4" t="inlineStr">
        <is>
          <t>S-00003</t>
        </is>
      </c>
      <c r="C4" t="inlineStr">
        <is>
          <t>SALES</t>
        </is>
      </c>
      <c r="D4" t="inlineStr">
        <is>
          <t>Fabrics</t>
        </is>
      </c>
      <c r="E4" s="4" t="n">
        <v>45977</v>
      </c>
      <c r="F4" s="5" t="n">
        <v>44997.63</v>
      </c>
    </row>
    <row r="5">
      <c r="A5" t="inlineStr">
        <is>
          <t>PAY-00004</t>
        </is>
      </c>
      <c r="B5" t="inlineStr">
        <is>
          <t>S-00004</t>
        </is>
      </c>
      <c r="C5" t="inlineStr">
        <is>
          <t>SALES</t>
        </is>
      </c>
      <c r="D5" t="inlineStr">
        <is>
          <t>Fabrics</t>
        </is>
      </c>
      <c r="E5" s="4" t="n">
        <v>45963</v>
      </c>
      <c r="F5" s="5" t="n">
        <v>41171.55</v>
      </c>
    </row>
    <row r="6">
      <c r="A6" t="inlineStr">
        <is>
          <t>PAY-00005</t>
        </is>
      </c>
      <c r="B6" t="inlineStr">
        <is>
          <t>S-00005</t>
        </is>
      </c>
      <c r="C6" t="inlineStr">
        <is>
          <t>SALES</t>
        </is>
      </c>
      <c r="D6" t="inlineStr">
        <is>
          <t>Fabrics</t>
        </is>
      </c>
      <c r="E6" s="4" t="n">
        <v>45983</v>
      </c>
      <c r="F6" s="5" t="n">
        <v>81360.00999999999</v>
      </c>
    </row>
    <row r="7">
      <c r="A7" t="inlineStr">
        <is>
          <t>PAY-00006</t>
        </is>
      </c>
      <c r="B7" t="inlineStr">
        <is>
          <t>S-00006</t>
        </is>
      </c>
      <c r="C7" t="inlineStr">
        <is>
          <t>SALES</t>
        </is>
      </c>
      <c r="D7" t="inlineStr">
        <is>
          <t>Fabrics</t>
        </is>
      </c>
      <c r="E7" s="4" t="n">
        <v>46017</v>
      </c>
      <c r="F7" s="5" t="n">
        <v>47036.71</v>
      </c>
    </row>
    <row r="8">
      <c r="A8" t="inlineStr">
        <is>
          <t>PAY-00007</t>
        </is>
      </c>
      <c r="B8" t="inlineStr">
        <is>
          <t>S-00007</t>
        </is>
      </c>
      <c r="C8" t="inlineStr">
        <is>
          <t>SALES</t>
        </is>
      </c>
      <c r="D8" t="inlineStr">
        <is>
          <t>Garments</t>
        </is>
      </c>
      <c r="E8" s="4" t="n">
        <v>45986</v>
      </c>
      <c r="F8" s="5" t="n">
        <v>44493.59</v>
      </c>
    </row>
    <row r="9">
      <c r="A9" t="inlineStr">
        <is>
          <t>PAY-00008</t>
        </is>
      </c>
      <c r="B9" t="inlineStr">
        <is>
          <t>S-00009</t>
        </is>
      </c>
      <c r="C9" t="inlineStr">
        <is>
          <t>SALES</t>
        </is>
      </c>
      <c r="D9" t="inlineStr">
        <is>
          <t>Garments</t>
        </is>
      </c>
      <c r="E9" s="4" t="n">
        <v>45955</v>
      </c>
      <c r="F9" s="5" t="n">
        <v>45569.08</v>
      </c>
    </row>
    <row r="10">
      <c r="A10" t="inlineStr">
        <is>
          <t>PAY-00009</t>
        </is>
      </c>
      <c r="B10" t="inlineStr">
        <is>
          <t>S-00010</t>
        </is>
      </c>
      <c r="C10" t="inlineStr">
        <is>
          <t>SALES</t>
        </is>
      </c>
      <c r="D10" t="inlineStr">
        <is>
          <t>Fabrics</t>
        </is>
      </c>
      <c r="E10" s="4" t="n">
        <v>46022</v>
      </c>
      <c r="F10" s="5" t="n">
        <v>19167.18</v>
      </c>
    </row>
    <row r="11">
      <c r="A11" t="inlineStr">
        <is>
          <t>PAY-00010</t>
        </is>
      </c>
      <c r="B11" t="inlineStr">
        <is>
          <t>S-00011</t>
        </is>
      </c>
      <c r="C11" t="inlineStr">
        <is>
          <t>SALES</t>
        </is>
      </c>
      <c r="D11" t="inlineStr">
        <is>
          <t>Garments</t>
        </is>
      </c>
      <c r="E11" s="4" t="n">
        <v>45996</v>
      </c>
      <c r="F11" s="5" t="n">
        <v>51934.11</v>
      </c>
    </row>
    <row r="12">
      <c r="A12" t="inlineStr">
        <is>
          <t>PAY-00011</t>
        </is>
      </c>
      <c r="B12" t="inlineStr">
        <is>
          <t>S-00012</t>
        </is>
      </c>
      <c r="C12" t="inlineStr">
        <is>
          <t>SALES</t>
        </is>
      </c>
      <c r="D12" t="inlineStr">
        <is>
          <t>Accessories</t>
        </is>
      </c>
      <c r="E12" s="4" t="n">
        <v>45971</v>
      </c>
      <c r="F12" s="5" t="n">
        <v>12965.33</v>
      </c>
    </row>
    <row r="13">
      <c r="A13" t="inlineStr">
        <is>
          <t>PAY-00012</t>
        </is>
      </c>
      <c r="B13" t="inlineStr">
        <is>
          <t>S-00013</t>
        </is>
      </c>
      <c r="C13" t="inlineStr">
        <is>
          <t>SALES</t>
        </is>
      </c>
      <c r="D13" t="inlineStr">
        <is>
          <t>Fabrics</t>
        </is>
      </c>
      <c r="E13" s="4" t="n">
        <v>45999</v>
      </c>
      <c r="F13" s="5" t="n">
        <v>97627.88</v>
      </c>
    </row>
    <row r="14">
      <c r="A14" t="inlineStr">
        <is>
          <t>PAY-00013</t>
        </is>
      </c>
      <c r="B14" t="inlineStr">
        <is>
          <t>S-00015</t>
        </is>
      </c>
      <c r="C14" t="inlineStr">
        <is>
          <t>SALES</t>
        </is>
      </c>
      <c r="D14" t="inlineStr">
        <is>
          <t>Garments</t>
        </is>
      </c>
      <c r="E14" s="4" t="n">
        <v>45975</v>
      </c>
      <c r="F14" s="5" t="n">
        <v>43173.46</v>
      </c>
    </row>
    <row r="15">
      <c r="A15" t="inlineStr">
        <is>
          <t>PAY-00014</t>
        </is>
      </c>
      <c r="B15" t="inlineStr">
        <is>
          <t>S-00017</t>
        </is>
      </c>
      <c r="C15" t="inlineStr">
        <is>
          <t>SALES</t>
        </is>
      </c>
      <c r="D15" t="inlineStr">
        <is>
          <t>Garments</t>
        </is>
      </c>
      <c r="E15" s="4" t="n">
        <v>46031</v>
      </c>
      <c r="F15" s="5" t="n">
        <v>21505.52</v>
      </c>
    </row>
    <row r="16">
      <c r="A16" t="inlineStr">
        <is>
          <t>PAY-00015</t>
        </is>
      </c>
      <c r="B16" t="inlineStr">
        <is>
          <t>S-00018</t>
        </is>
      </c>
      <c r="C16" t="inlineStr">
        <is>
          <t>SALES</t>
        </is>
      </c>
      <c r="D16" t="inlineStr">
        <is>
          <t>Fabrics</t>
        </is>
      </c>
      <c r="E16" s="4" t="n">
        <v>46002</v>
      </c>
      <c r="F16" s="5" t="n">
        <v>48055.6</v>
      </c>
    </row>
    <row r="17">
      <c r="A17" t="inlineStr">
        <is>
          <t>PAY-00016</t>
        </is>
      </c>
      <c r="B17" t="inlineStr">
        <is>
          <t>S-00019</t>
        </is>
      </c>
      <c r="C17" t="inlineStr">
        <is>
          <t>SALES</t>
        </is>
      </c>
      <c r="D17" t="inlineStr">
        <is>
          <t>Fabrics</t>
        </is>
      </c>
      <c r="E17" s="4" t="n">
        <v>45968</v>
      </c>
      <c r="F17" s="5" t="n">
        <v>89636.47</v>
      </c>
    </row>
    <row r="18">
      <c r="A18" t="inlineStr">
        <is>
          <t>PAY-00017</t>
        </is>
      </c>
      <c r="B18" t="inlineStr">
        <is>
          <t>S-00020</t>
        </is>
      </c>
      <c r="C18" t="inlineStr">
        <is>
          <t>SALES</t>
        </is>
      </c>
      <c r="D18" t="inlineStr">
        <is>
          <t>Fabrics</t>
        </is>
      </c>
      <c r="E18" s="4" t="n">
        <v>45953</v>
      </c>
      <c r="F18" s="5" t="n">
        <v>50569.26</v>
      </c>
    </row>
    <row r="19">
      <c r="A19" t="inlineStr">
        <is>
          <t>PAY-00018</t>
        </is>
      </c>
      <c r="B19" t="inlineStr">
        <is>
          <t>S-00021</t>
        </is>
      </c>
      <c r="C19" t="inlineStr">
        <is>
          <t>SALES</t>
        </is>
      </c>
      <c r="D19" t="inlineStr">
        <is>
          <t>Accessories</t>
        </is>
      </c>
      <c r="E19" s="4" t="n">
        <v>45980</v>
      </c>
      <c r="F19" s="5" t="n">
        <v>29265.75</v>
      </c>
    </row>
    <row r="20">
      <c r="A20" t="inlineStr">
        <is>
          <t>PAY-00019</t>
        </is>
      </c>
      <c r="B20" t="inlineStr">
        <is>
          <t>S-00022</t>
        </is>
      </c>
      <c r="C20" t="inlineStr">
        <is>
          <t>SALES</t>
        </is>
      </c>
      <c r="D20" t="inlineStr">
        <is>
          <t>Garments</t>
        </is>
      </c>
      <c r="E20" s="4" t="n">
        <v>46016</v>
      </c>
      <c r="F20" s="5" t="n">
        <v>61243.09</v>
      </c>
    </row>
    <row r="21">
      <c r="A21" t="inlineStr">
        <is>
          <t>PAY-00020</t>
        </is>
      </c>
      <c r="B21" t="inlineStr">
        <is>
          <t>S-00023</t>
        </is>
      </c>
      <c r="C21" t="inlineStr">
        <is>
          <t>SALES</t>
        </is>
      </c>
      <c r="D21" t="inlineStr">
        <is>
          <t>Garments</t>
        </is>
      </c>
      <c r="E21" s="4" t="n">
        <v>45986</v>
      </c>
      <c r="F21" s="5" t="n">
        <v>24107.54</v>
      </c>
    </row>
    <row r="22">
      <c r="A22" t="inlineStr">
        <is>
          <t>PAY-00021</t>
        </is>
      </c>
      <c r="B22" t="inlineStr">
        <is>
          <t>S-00024</t>
        </is>
      </c>
      <c r="C22" t="inlineStr">
        <is>
          <t>SALES</t>
        </is>
      </c>
      <c r="D22" t="inlineStr">
        <is>
          <t>Garments</t>
        </is>
      </c>
      <c r="E22" s="4" t="n">
        <v>45963</v>
      </c>
      <c r="F22" s="5" t="n">
        <v>94447.66</v>
      </c>
    </row>
    <row r="23">
      <c r="A23" t="inlineStr">
        <is>
          <t>PAY-00022</t>
        </is>
      </c>
      <c r="B23" t="inlineStr">
        <is>
          <t>S-00025</t>
        </is>
      </c>
      <c r="C23" t="inlineStr">
        <is>
          <t>SALES</t>
        </is>
      </c>
      <c r="D23" t="inlineStr">
        <is>
          <t>Garments</t>
        </is>
      </c>
      <c r="E23" s="4" t="n">
        <v>45973</v>
      </c>
      <c r="F23" s="5" t="n">
        <v>103830.2</v>
      </c>
    </row>
    <row r="24">
      <c r="A24" t="inlineStr">
        <is>
          <t>PAY-00023</t>
        </is>
      </c>
      <c r="B24" t="inlineStr">
        <is>
          <t>S-00026</t>
        </is>
      </c>
      <c r="C24" t="inlineStr">
        <is>
          <t>SALES</t>
        </is>
      </c>
      <c r="D24" t="inlineStr">
        <is>
          <t>Accessories</t>
        </is>
      </c>
      <c r="E24" s="4" t="n">
        <v>46009</v>
      </c>
      <c r="F24" s="5" t="n">
        <v>26916.26</v>
      </c>
    </row>
    <row r="25">
      <c r="A25" t="inlineStr">
        <is>
          <t>PAY-00024</t>
        </is>
      </c>
      <c r="B25" t="inlineStr">
        <is>
          <t>S-00027</t>
        </is>
      </c>
      <c r="C25" t="inlineStr">
        <is>
          <t>SALES</t>
        </is>
      </c>
      <c r="D25" t="inlineStr">
        <is>
          <t>Garments</t>
        </is>
      </c>
      <c r="E25" s="4" t="n">
        <v>45985</v>
      </c>
      <c r="F25" s="5" t="n">
        <v>39851.26</v>
      </c>
    </row>
    <row r="26">
      <c r="A26" t="inlineStr">
        <is>
          <t>PAY-00025</t>
        </is>
      </c>
      <c r="B26" t="inlineStr">
        <is>
          <t>S-00028</t>
        </is>
      </c>
      <c r="C26" t="inlineStr">
        <is>
          <t>SALES</t>
        </is>
      </c>
      <c r="D26" t="inlineStr">
        <is>
          <t>Fabrics</t>
        </is>
      </c>
      <c r="E26" s="4" t="n">
        <v>45968</v>
      </c>
      <c r="F26" s="5" t="n">
        <v>77603.75999999999</v>
      </c>
    </row>
    <row r="27">
      <c r="A27" t="inlineStr">
        <is>
          <t>PAY-00026</t>
        </is>
      </c>
      <c r="B27" t="inlineStr">
        <is>
          <t>S-00029</t>
        </is>
      </c>
      <c r="C27" t="inlineStr">
        <is>
          <t>SALES</t>
        </is>
      </c>
      <c r="D27" t="inlineStr">
        <is>
          <t>Garments</t>
        </is>
      </c>
      <c r="E27" s="4" t="n">
        <v>46004</v>
      </c>
      <c r="F27" s="5" t="n">
        <v>43251.66</v>
      </c>
    </row>
    <row r="28">
      <c r="A28" t="inlineStr">
        <is>
          <t>PAY-00027</t>
        </is>
      </c>
      <c r="B28" t="inlineStr">
        <is>
          <t>S-00030</t>
        </is>
      </c>
      <c r="C28" t="inlineStr">
        <is>
          <t>SALES</t>
        </is>
      </c>
      <c r="D28" t="inlineStr">
        <is>
          <t>Garments</t>
        </is>
      </c>
      <c r="E28" s="4" t="n">
        <v>45975</v>
      </c>
      <c r="F28" s="5" t="n">
        <v>40598.37</v>
      </c>
    </row>
    <row r="29">
      <c r="A29" t="inlineStr">
        <is>
          <t>PAY-00028</t>
        </is>
      </c>
      <c r="B29" t="inlineStr">
        <is>
          <t>S-00031</t>
        </is>
      </c>
      <c r="C29" t="inlineStr">
        <is>
          <t>SALES</t>
        </is>
      </c>
      <c r="D29" t="inlineStr">
        <is>
          <t>Garments</t>
        </is>
      </c>
      <c r="E29" s="4" t="n">
        <v>45975</v>
      </c>
      <c r="F29" s="5" t="n">
        <v>73594.42</v>
      </c>
    </row>
    <row r="30">
      <c r="A30" t="inlineStr">
        <is>
          <t>PAY-00029</t>
        </is>
      </c>
      <c r="B30" t="inlineStr">
        <is>
          <t>S-00032</t>
        </is>
      </c>
      <c r="C30" t="inlineStr">
        <is>
          <t>SALES</t>
        </is>
      </c>
      <c r="D30" t="inlineStr">
        <is>
          <t>Garments</t>
        </is>
      </c>
      <c r="E30" s="4" t="n">
        <v>45983</v>
      </c>
      <c r="F30" s="5" t="n">
        <v>67722.03999999999</v>
      </c>
    </row>
    <row r="31">
      <c r="A31" t="inlineStr">
        <is>
          <t>PAY-00030</t>
        </is>
      </c>
      <c r="B31" t="inlineStr">
        <is>
          <t>S-00033</t>
        </is>
      </c>
      <c r="C31" t="inlineStr">
        <is>
          <t>SALES</t>
        </is>
      </c>
      <c r="D31" t="inlineStr">
        <is>
          <t>Fabrics</t>
        </is>
      </c>
      <c r="E31" s="4" t="n">
        <v>45978</v>
      </c>
      <c r="F31" s="5" t="n">
        <v>63900.61</v>
      </c>
    </row>
    <row r="32">
      <c r="A32" t="inlineStr">
        <is>
          <t>PAY-00031</t>
        </is>
      </c>
      <c r="B32" t="inlineStr">
        <is>
          <t>S-00034</t>
        </is>
      </c>
      <c r="C32" t="inlineStr">
        <is>
          <t>SALES</t>
        </is>
      </c>
      <c r="D32" t="inlineStr">
        <is>
          <t>Garments</t>
        </is>
      </c>
      <c r="E32" s="4" t="n">
        <v>45983</v>
      </c>
      <c r="F32" s="5" t="n">
        <v>67342.44</v>
      </c>
    </row>
    <row r="33">
      <c r="A33" t="inlineStr">
        <is>
          <t>PAY-00032</t>
        </is>
      </c>
      <c r="B33" t="inlineStr">
        <is>
          <t>S-00035</t>
        </is>
      </c>
      <c r="C33" t="inlineStr">
        <is>
          <t>SALES</t>
        </is>
      </c>
      <c r="D33" t="inlineStr">
        <is>
          <t>Fabrics</t>
        </is>
      </c>
      <c r="E33" s="4" t="n">
        <v>46004</v>
      </c>
      <c r="F33" s="5" t="n">
        <v>70084.17999999999</v>
      </c>
    </row>
    <row r="34">
      <c r="A34" t="inlineStr">
        <is>
          <t>PAY-00033</t>
        </is>
      </c>
      <c r="B34" t="inlineStr">
        <is>
          <t>S-00036</t>
        </is>
      </c>
      <c r="C34" t="inlineStr">
        <is>
          <t>SALES</t>
        </is>
      </c>
      <c r="D34" t="inlineStr">
        <is>
          <t>Fabrics</t>
        </is>
      </c>
      <c r="E34" s="4" t="n">
        <v>45985</v>
      </c>
      <c r="F34" s="5" t="n">
        <v>39563.34</v>
      </c>
    </row>
    <row r="35">
      <c r="A35" t="inlineStr">
        <is>
          <t>PAY-00034</t>
        </is>
      </c>
      <c r="B35" t="inlineStr">
        <is>
          <t>S-00037</t>
        </is>
      </c>
      <c r="C35" t="inlineStr">
        <is>
          <t>SALES</t>
        </is>
      </c>
      <c r="D35" t="inlineStr">
        <is>
          <t>Garments</t>
        </is>
      </c>
      <c r="E35" s="4" t="n">
        <v>45975</v>
      </c>
      <c r="F35" s="5" t="n">
        <v>84622.97</v>
      </c>
    </row>
    <row r="36">
      <c r="A36" t="inlineStr">
        <is>
          <t>PAY-00035</t>
        </is>
      </c>
      <c r="B36" t="inlineStr">
        <is>
          <t>S-00038</t>
        </is>
      </c>
      <c r="C36" t="inlineStr">
        <is>
          <t>SALES</t>
        </is>
      </c>
      <c r="D36" t="inlineStr">
        <is>
          <t>Fabrics</t>
        </is>
      </c>
      <c r="E36" s="4" t="n">
        <v>45957</v>
      </c>
      <c r="F36" s="5" t="n">
        <v>54724.2</v>
      </c>
    </row>
    <row r="37">
      <c r="A37" t="inlineStr">
        <is>
          <t>PAY-00036</t>
        </is>
      </c>
      <c r="B37" t="inlineStr">
        <is>
          <t>S-00039</t>
        </is>
      </c>
      <c r="C37" t="inlineStr">
        <is>
          <t>SALES</t>
        </is>
      </c>
      <c r="D37" t="inlineStr">
        <is>
          <t>Accessories</t>
        </is>
      </c>
      <c r="E37" s="4" t="n">
        <v>45959</v>
      </c>
      <c r="F37" s="5" t="n">
        <v>43893.36</v>
      </c>
    </row>
    <row r="38">
      <c r="A38" t="inlineStr">
        <is>
          <t>PAY-00037</t>
        </is>
      </c>
      <c r="B38" t="inlineStr">
        <is>
          <t>P-00001</t>
        </is>
      </c>
      <c r="C38" t="inlineStr">
        <is>
          <t>PURCHASE</t>
        </is>
      </c>
      <c r="D38" t="inlineStr">
        <is>
          <t>Inventory purchases</t>
        </is>
      </c>
      <c r="E38" s="4" t="n">
        <v>45962</v>
      </c>
      <c r="F38" s="5" t="n">
        <v>71530.11</v>
      </c>
    </row>
    <row r="39">
      <c r="A39" t="inlineStr">
        <is>
          <t>PAY-00038</t>
        </is>
      </c>
      <c r="B39" t="inlineStr">
        <is>
          <t>P-00003</t>
        </is>
      </c>
      <c r="C39" t="inlineStr">
        <is>
          <t>PURCHASE</t>
        </is>
      </c>
      <c r="D39" t="inlineStr">
        <is>
          <t>Inventory purchases</t>
        </is>
      </c>
      <c r="E39" s="4" t="n">
        <v>45954</v>
      </c>
      <c r="F39" s="5" t="n">
        <v>14601.13</v>
      </c>
    </row>
    <row r="40">
      <c r="A40" t="inlineStr">
        <is>
          <t>PAY-00039</t>
        </is>
      </c>
      <c r="B40" t="inlineStr">
        <is>
          <t>P-00004</t>
        </is>
      </c>
      <c r="C40" t="inlineStr">
        <is>
          <t>PURCHASE</t>
        </is>
      </c>
      <c r="D40" t="inlineStr">
        <is>
          <t>Inventory purchases</t>
        </is>
      </c>
      <c r="E40" s="4" t="n">
        <v>45976</v>
      </c>
      <c r="F40" s="5" t="n">
        <v>121482.85</v>
      </c>
    </row>
    <row r="41">
      <c r="A41" t="inlineStr">
        <is>
          <t>PAY-00040</t>
        </is>
      </c>
      <c r="B41" t="inlineStr">
        <is>
          <t>P-00005</t>
        </is>
      </c>
      <c r="C41" t="inlineStr">
        <is>
          <t>PURCHASE</t>
        </is>
      </c>
      <c r="D41" t="inlineStr">
        <is>
          <t>Inventory purchases</t>
        </is>
      </c>
      <c r="E41" s="4" t="n">
        <v>45959</v>
      </c>
      <c r="F41" s="5" t="n">
        <v>71929.64999999999</v>
      </c>
    </row>
    <row r="42">
      <c r="A42" t="inlineStr">
        <is>
          <t>PAY-00041</t>
        </is>
      </c>
      <c r="B42" t="inlineStr">
        <is>
          <t>P-00006</t>
        </is>
      </c>
      <c r="C42" t="inlineStr">
        <is>
          <t>PURCHASE</t>
        </is>
      </c>
      <c r="D42" t="inlineStr">
        <is>
          <t>Inventory purchases</t>
        </is>
      </c>
      <c r="E42" s="4" t="n">
        <v>45971</v>
      </c>
      <c r="F42" s="5" t="n">
        <v>52307.47</v>
      </c>
    </row>
    <row r="43">
      <c r="A43" t="inlineStr">
        <is>
          <t>PAY-00042</t>
        </is>
      </c>
      <c r="B43" t="inlineStr">
        <is>
          <t>P-00007</t>
        </is>
      </c>
      <c r="C43" t="inlineStr">
        <is>
          <t>PURCHASE</t>
        </is>
      </c>
      <c r="D43" t="inlineStr">
        <is>
          <t>Inventory purchases</t>
        </is>
      </c>
      <c r="E43" s="4" t="n">
        <v>45961</v>
      </c>
      <c r="F43" s="5" t="n">
        <v>120256.97</v>
      </c>
    </row>
    <row r="44">
      <c r="A44" t="inlineStr">
        <is>
          <t>PAY-00043</t>
        </is>
      </c>
      <c r="B44" t="inlineStr">
        <is>
          <t>P-00008</t>
        </is>
      </c>
      <c r="C44" t="inlineStr">
        <is>
          <t>PURCHASE</t>
        </is>
      </c>
      <c r="D44" t="inlineStr">
        <is>
          <t>Inventory purchases</t>
        </is>
      </c>
      <c r="E44" s="4" t="n">
        <v>45966</v>
      </c>
      <c r="F44" s="5" t="n">
        <v>70764.14</v>
      </c>
    </row>
    <row r="45">
      <c r="A45" t="inlineStr">
        <is>
          <t>PAY-00044</t>
        </is>
      </c>
      <c r="B45" t="inlineStr">
        <is>
          <t>P-00009</t>
        </is>
      </c>
      <c r="C45" t="inlineStr">
        <is>
          <t>PURCHASE</t>
        </is>
      </c>
      <c r="D45" t="inlineStr">
        <is>
          <t>Inventory purchases</t>
        </is>
      </c>
      <c r="E45" s="4" t="n">
        <v>45963</v>
      </c>
      <c r="F45" s="5" t="n">
        <v>48854.72</v>
      </c>
    </row>
    <row r="46">
      <c r="A46" t="inlineStr">
        <is>
          <t>PAY-00045</t>
        </is>
      </c>
      <c r="B46" t="inlineStr">
        <is>
          <t>P-00010</t>
        </is>
      </c>
      <c r="C46" t="inlineStr">
        <is>
          <t>PURCHASE</t>
        </is>
      </c>
      <c r="D46" t="inlineStr">
        <is>
          <t>Inventory purchases</t>
        </is>
      </c>
      <c r="E46" s="4" t="n">
        <v>45964</v>
      </c>
      <c r="F46" s="5" t="n">
        <v>112082.34</v>
      </c>
    </row>
    <row r="47">
      <c r="A47" t="inlineStr">
        <is>
          <t>PAY-00046</t>
        </is>
      </c>
      <c r="B47" t="inlineStr">
        <is>
          <t>P-00012</t>
        </is>
      </c>
      <c r="C47" t="inlineStr">
        <is>
          <t>PURCHASE</t>
        </is>
      </c>
      <c r="D47" t="inlineStr">
        <is>
          <t>Inventory purchases</t>
        </is>
      </c>
      <c r="E47" s="4" t="n">
        <v>45950</v>
      </c>
      <c r="F47" s="5" t="n">
        <v>75748.72</v>
      </c>
    </row>
    <row r="48">
      <c r="A48" t="inlineStr">
        <is>
          <t>PAY-00047</t>
        </is>
      </c>
      <c r="B48" t="inlineStr">
        <is>
          <t>P-00013</t>
        </is>
      </c>
      <c r="C48" t="inlineStr">
        <is>
          <t>PURCHASE</t>
        </is>
      </c>
      <c r="D48" t="inlineStr">
        <is>
          <t>Inventory purchases</t>
        </is>
      </c>
      <c r="E48" s="4" t="n">
        <v>45971</v>
      </c>
      <c r="F48" s="5" t="n">
        <v>49318.35</v>
      </c>
    </row>
    <row r="49">
      <c r="A49" t="inlineStr">
        <is>
          <t>PAY-00048</t>
        </is>
      </c>
      <c r="B49" t="inlineStr">
        <is>
          <t>P-00014</t>
        </is>
      </c>
      <c r="C49" t="inlineStr">
        <is>
          <t>PURCHASE</t>
        </is>
      </c>
      <c r="D49" t="inlineStr">
        <is>
          <t>Inventory purchases</t>
        </is>
      </c>
      <c r="E49" s="4" t="n">
        <v>45941</v>
      </c>
      <c r="F49" s="5" t="n">
        <v>52396.77</v>
      </c>
    </row>
    <row r="50">
      <c r="A50" t="inlineStr">
        <is>
          <t>PAY-00049</t>
        </is>
      </c>
      <c r="B50" t="inlineStr">
        <is>
          <t>P-00015</t>
        </is>
      </c>
      <c r="C50" t="inlineStr">
        <is>
          <t>PURCHASE</t>
        </is>
      </c>
      <c r="D50" t="inlineStr">
        <is>
          <t>Inventory purchases</t>
        </is>
      </c>
      <c r="E50" s="4" t="n">
        <v>45962</v>
      </c>
      <c r="F50" s="5" t="n">
        <v>37492.76</v>
      </c>
    </row>
    <row r="51">
      <c r="A51" t="inlineStr">
        <is>
          <t>PAY-00050</t>
        </is>
      </c>
      <c r="B51" t="inlineStr">
        <is>
          <t>P-00016</t>
        </is>
      </c>
      <c r="C51" t="inlineStr">
        <is>
          <t>PURCHASE</t>
        </is>
      </c>
      <c r="D51" t="inlineStr">
        <is>
          <t>Inventory purchases</t>
        </is>
      </c>
      <c r="E51" s="4" t="n">
        <v>45981</v>
      </c>
      <c r="F51" s="5" t="n">
        <v>68257.16</v>
      </c>
    </row>
    <row r="52">
      <c r="A52" t="inlineStr">
        <is>
          <t>PAY-00051</t>
        </is>
      </c>
      <c r="B52" t="inlineStr">
        <is>
          <t>E-00001</t>
        </is>
      </c>
      <c r="C52" t="inlineStr">
        <is>
          <t>EXPENSE</t>
        </is>
      </c>
      <c r="D52" t="inlineStr">
        <is>
          <t>Rent</t>
        </is>
      </c>
      <c r="E52" s="4" t="n">
        <v>45938</v>
      </c>
      <c r="F52" s="5" t="n">
        <v>29881.62</v>
      </c>
    </row>
    <row r="53">
      <c r="A53" t="inlineStr">
        <is>
          <t>PAY-00052</t>
        </is>
      </c>
      <c r="B53" t="inlineStr">
        <is>
          <t>E-00002</t>
        </is>
      </c>
      <c r="C53" t="inlineStr">
        <is>
          <t>EXPENSE</t>
        </is>
      </c>
      <c r="D53" t="inlineStr">
        <is>
          <t>Salaries</t>
        </is>
      </c>
      <c r="E53" s="4" t="n">
        <v>45962</v>
      </c>
      <c r="F53" s="5" t="n">
        <v>85376.86</v>
      </c>
    </row>
    <row r="54">
      <c r="A54" t="inlineStr">
        <is>
          <t>PAY-00053</t>
        </is>
      </c>
      <c r="B54" t="inlineStr">
        <is>
          <t>E-00003</t>
        </is>
      </c>
      <c r="C54" t="inlineStr">
        <is>
          <t>EXPENSE</t>
        </is>
      </c>
      <c r="D54" t="inlineStr">
        <is>
          <t>Utilities</t>
        </is>
      </c>
      <c r="E54" s="4" t="n">
        <v>45936</v>
      </c>
      <c r="F54" s="5" t="n">
        <v>7589.76</v>
      </c>
    </row>
    <row r="55">
      <c r="A55" t="inlineStr">
        <is>
          <t>PAY-00054</t>
        </is>
      </c>
      <c r="B55" t="inlineStr">
        <is>
          <t>E-00004</t>
        </is>
      </c>
      <c r="C55" t="inlineStr">
        <is>
          <t>EXPENSE</t>
        </is>
      </c>
      <c r="D55" t="inlineStr">
        <is>
          <t>Transport</t>
        </is>
      </c>
      <c r="E55" s="4" t="n">
        <v>45947</v>
      </c>
      <c r="F55" s="5" t="n">
        <v>6801.58</v>
      </c>
    </row>
    <row r="56">
      <c r="A56" t="inlineStr">
        <is>
          <t>PAY-00055</t>
        </is>
      </c>
      <c r="B56" t="inlineStr">
        <is>
          <t>E-00005</t>
        </is>
      </c>
      <c r="C56" t="inlineStr">
        <is>
          <t>EXPENSE</t>
        </is>
      </c>
      <c r="D56" t="inlineStr">
        <is>
          <t>Transport</t>
        </is>
      </c>
      <c r="E56" s="4" t="n">
        <v>45952</v>
      </c>
      <c r="F56" s="5" t="n">
        <v>5145.91</v>
      </c>
    </row>
    <row r="57">
      <c r="A57" t="inlineStr">
        <is>
          <t>PAY-00056</t>
        </is>
      </c>
      <c r="B57" t="inlineStr">
        <is>
          <t>E-00007</t>
        </is>
      </c>
      <c r="C57" t="inlineStr">
        <is>
          <t>EXPENSE</t>
        </is>
      </c>
      <c r="D57" t="inlineStr">
        <is>
          <t>Transport</t>
        </is>
      </c>
      <c r="E57" s="4" t="n">
        <v>45955</v>
      </c>
      <c r="F57" s="5" t="n">
        <v>4661.6</v>
      </c>
    </row>
    <row r="58">
      <c r="A58" t="inlineStr">
        <is>
          <t>PAY-00057</t>
        </is>
      </c>
      <c r="B58" t="inlineStr">
        <is>
          <t>E-00008</t>
        </is>
      </c>
      <c r="C58" t="inlineStr">
        <is>
          <t>EXPENSE</t>
        </is>
      </c>
      <c r="D58" t="inlineStr">
        <is>
          <t>Transport</t>
        </is>
      </c>
      <c r="E58" s="4" t="n">
        <v>45956</v>
      </c>
      <c r="F58" s="5" t="n">
        <v>4106.21</v>
      </c>
    </row>
    <row r="59">
      <c r="A59" t="inlineStr">
        <is>
          <t>PAY-00058</t>
        </is>
      </c>
      <c r="B59" t="inlineStr">
        <is>
          <t>E-00009</t>
        </is>
      </c>
      <c r="C59" t="inlineStr">
        <is>
          <t>EXPENSE</t>
        </is>
      </c>
      <c r="D59" t="inlineStr">
        <is>
          <t>Transport</t>
        </is>
      </c>
      <c r="E59" s="4" t="n">
        <v>45954</v>
      </c>
      <c r="F59" s="5" t="n">
        <v>5429.88</v>
      </c>
    </row>
    <row r="60">
      <c r="A60" t="inlineStr">
        <is>
          <t>PAY-00059</t>
        </is>
      </c>
      <c r="B60" t="inlineStr">
        <is>
          <t>E-00010</t>
        </is>
      </c>
      <c r="C60" t="inlineStr">
        <is>
          <t>EXPENSE</t>
        </is>
      </c>
      <c r="D60" t="inlineStr">
        <is>
          <t>Marketing</t>
        </is>
      </c>
      <c r="E60" s="4" t="n">
        <v>45939</v>
      </c>
      <c r="F60" s="5" t="n">
        <v>27628.2</v>
      </c>
    </row>
    <row r="61">
      <c r="A61" t="inlineStr">
        <is>
          <t>PAY-00060</t>
        </is>
      </c>
      <c r="B61" t="inlineStr">
        <is>
          <t>E-00011</t>
        </is>
      </c>
      <c r="C61" t="inlineStr">
        <is>
          <t>EXPENSE</t>
        </is>
      </c>
      <c r="D61" t="inlineStr">
        <is>
          <t>Marketing</t>
        </is>
      </c>
      <c r="E61" s="4" t="n">
        <v>45942</v>
      </c>
      <c r="F61" s="5" t="n">
        <v>21560.49</v>
      </c>
    </row>
    <row r="62">
      <c r="A62" t="inlineStr">
        <is>
          <t>PAY-00061</t>
        </is>
      </c>
      <c r="B62" t="inlineStr">
        <is>
          <t>E-00012</t>
        </is>
      </c>
      <c r="C62" t="inlineStr">
        <is>
          <t>EXPENSE</t>
        </is>
      </c>
      <c r="D62" t="inlineStr">
        <is>
          <t>Professional fees</t>
        </is>
      </c>
      <c r="E62" s="4" t="n">
        <v>45955</v>
      </c>
      <c r="F62" s="5" t="n">
        <v>7512.84</v>
      </c>
    </row>
    <row r="63">
      <c r="A63" t="inlineStr">
        <is>
          <t>PAY-00062</t>
        </is>
      </c>
      <c r="B63" t="inlineStr">
        <is>
          <t>E-00013</t>
        </is>
      </c>
      <c r="C63" t="inlineStr">
        <is>
          <t>EXPENSE</t>
        </is>
      </c>
      <c r="D63" t="inlineStr">
        <is>
          <t>Misc</t>
        </is>
      </c>
      <c r="E63" s="4" t="n">
        <v>45954</v>
      </c>
      <c r="F63" s="5" t="n">
        <v>1683.78</v>
      </c>
    </row>
    <row r="64">
      <c r="A64" t="inlineStr">
        <is>
          <t>PAY-00063</t>
        </is>
      </c>
      <c r="B64" t="inlineStr">
        <is>
          <t>E-00014</t>
        </is>
      </c>
      <c r="C64" t="inlineStr">
        <is>
          <t>EXPENSE</t>
        </is>
      </c>
      <c r="D64" t="inlineStr">
        <is>
          <t>Misc</t>
        </is>
      </c>
      <c r="E64" s="4" t="n">
        <v>45938</v>
      </c>
      <c r="F64" s="5" t="n">
        <v>7057.93</v>
      </c>
    </row>
    <row r="65">
      <c r="A65" t="inlineStr">
        <is>
          <t>PAY-00064</t>
        </is>
      </c>
      <c r="B65" t="inlineStr">
        <is>
          <t>E-00015</t>
        </is>
      </c>
      <c r="C65" t="inlineStr">
        <is>
          <t>EXPENSE</t>
        </is>
      </c>
      <c r="D65" t="inlineStr">
        <is>
          <t>Misc</t>
        </is>
      </c>
      <c r="E65" s="4" t="n">
        <v>45954</v>
      </c>
      <c r="F65" s="5" t="n">
        <v>3602.46</v>
      </c>
    </row>
    <row r="66">
      <c r="A66" t="inlineStr">
        <is>
          <t>PAY-00065</t>
        </is>
      </c>
      <c r="B66" t="inlineStr">
        <is>
          <t>S-00040</t>
        </is>
      </c>
      <c r="C66" t="inlineStr">
        <is>
          <t>SALES</t>
        </is>
      </c>
      <c r="D66" t="inlineStr">
        <is>
          <t>Fabrics</t>
        </is>
      </c>
      <c r="E66" s="4" t="n">
        <v>46014</v>
      </c>
      <c r="F66" s="5" t="n">
        <v>46996.08</v>
      </c>
    </row>
    <row r="67">
      <c r="A67" t="inlineStr">
        <is>
          <t>PAY-00066</t>
        </is>
      </c>
      <c r="B67" t="inlineStr">
        <is>
          <t>S-00041</t>
        </is>
      </c>
      <c r="C67" t="inlineStr">
        <is>
          <t>SALES</t>
        </is>
      </c>
      <c r="D67" t="inlineStr">
        <is>
          <t>Fabrics</t>
        </is>
      </c>
      <c r="E67" s="4" t="n">
        <v>46016</v>
      </c>
      <c r="F67" s="5" t="n">
        <v>8084.75</v>
      </c>
    </row>
    <row r="68">
      <c r="A68" t="inlineStr">
        <is>
          <t>PAY-00067</t>
        </is>
      </c>
      <c r="B68" t="inlineStr">
        <is>
          <t>S-00042</t>
        </is>
      </c>
      <c r="C68" t="inlineStr">
        <is>
          <t>SALES</t>
        </is>
      </c>
      <c r="D68" t="inlineStr">
        <is>
          <t>Garments</t>
        </is>
      </c>
      <c r="E68" s="4" t="n">
        <v>46040</v>
      </c>
      <c r="F68" s="5" t="n">
        <v>72963.14999999999</v>
      </c>
    </row>
    <row r="69">
      <c r="A69" t="inlineStr">
        <is>
          <t>PAY-00068</t>
        </is>
      </c>
      <c r="B69" t="inlineStr">
        <is>
          <t>S-00043</t>
        </is>
      </c>
      <c r="C69" t="inlineStr">
        <is>
          <t>SALES</t>
        </is>
      </c>
      <c r="D69" t="inlineStr">
        <is>
          <t>Garments</t>
        </is>
      </c>
      <c r="E69" s="4" t="n">
        <v>46025</v>
      </c>
      <c r="F69" s="5" t="n">
        <v>50528.81</v>
      </c>
    </row>
    <row r="70">
      <c r="A70" t="inlineStr">
        <is>
          <t>PAY-00069</t>
        </is>
      </c>
      <c r="B70" t="inlineStr">
        <is>
          <t>S-00044</t>
        </is>
      </c>
      <c r="C70" t="inlineStr">
        <is>
          <t>SALES</t>
        </is>
      </c>
      <c r="D70" t="inlineStr">
        <is>
          <t>Fabrics</t>
        </is>
      </c>
      <c r="E70" s="4" t="n">
        <v>46005</v>
      </c>
      <c r="F70" s="5" t="n">
        <v>79594.67</v>
      </c>
    </row>
    <row r="71">
      <c r="A71" t="inlineStr">
        <is>
          <t>PAY-00070</t>
        </is>
      </c>
      <c r="B71" t="inlineStr">
        <is>
          <t>S-00046</t>
        </is>
      </c>
      <c r="C71" t="inlineStr">
        <is>
          <t>SALES</t>
        </is>
      </c>
      <c r="D71" t="inlineStr">
        <is>
          <t>Garments</t>
        </is>
      </c>
      <c r="E71" s="4" t="n">
        <v>45994</v>
      </c>
      <c r="F71" s="5" t="n">
        <v>9637.959999999999</v>
      </c>
    </row>
    <row r="72">
      <c r="A72" t="inlineStr">
        <is>
          <t>PAY-00071</t>
        </is>
      </c>
      <c r="B72" t="inlineStr">
        <is>
          <t>S-00047</t>
        </is>
      </c>
      <c r="C72" t="inlineStr">
        <is>
          <t>SALES</t>
        </is>
      </c>
      <c r="D72" t="inlineStr">
        <is>
          <t>Accessories</t>
        </is>
      </c>
      <c r="E72" s="4" t="n">
        <v>45976</v>
      </c>
      <c r="F72" s="5" t="n">
        <v>13064.87</v>
      </c>
    </row>
    <row r="73">
      <c r="A73" t="inlineStr">
        <is>
          <t>PAY-00072</t>
        </is>
      </c>
      <c r="B73" t="inlineStr">
        <is>
          <t>S-00048</t>
        </is>
      </c>
      <c r="C73" t="inlineStr">
        <is>
          <t>SALES</t>
        </is>
      </c>
      <c r="D73" t="inlineStr">
        <is>
          <t>Fabrics</t>
        </is>
      </c>
      <c r="E73" s="4" t="n">
        <v>46019</v>
      </c>
      <c r="F73" s="5" t="n">
        <v>83462.97</v>
      </c>
    </row>
    <row r="74">
      <c r="A74" t="inlineStr">
        <is>
          <t>PAY-00073</t>
        </is>
      </c>
      <c r="B74" t="inlineStr">
        <is>
          <t>S-00049</t>
        </is>
      </c>
      <c r="C74" t="inlineStr">
        <is>
          <t>SALES</t>
        </is>
      </c>
      <c r="D74" t="inlineStr">
        <is>
          <t>Garments</t>
        </is>
      </c>
      <c r="E74" s="4" t="n">
        <v>46018</v>
      </c>
      <c r="F74" s="5" t="n">
        <v>91228.8</v>
      </c>
    </row>
    <row r="75">
      <c r="A75" t="inlineStr">
        <is>
          <t>PAY-00074</t>
        </is>
      </c>
      <c r="B75" t="inlineStr">
        <is>
          <t>S-00050</t>
        </is>
      </c>
      <c r="C75" t="inlineStr">
        <is>
          <t>SALES</t>
        </is>
      </c>
      <c r="D75" t="inlineStr">
        <is>
          <t>Fabrics</t>
        </is>
      </c>
      <c r="E75" s="4" t="n">
        <v>46043</v>
      </c>
      <c r="F75" s="5" t="n">
        <v>93280.02</v>
      </c>
    </row>
    <row r="76">
      <c r="A76" t="inlineStr">
        <is>
          <t>PAY-00075</t>
        </is>
      </c>
      <c r="B76" t="inlineStr">
        <is>
          <t>S-00051</t>
        </is>
      </c>
      <c r="C76" t="inlineStr">
        <is>
          <t>SALES</t>
        </is>
      </c>
      <c r="D76" t="inlineStr">
        <is>
          <t>Garments</t>
        </is>
      </c>
      <c r="E76" s="4" t="n">
        <v>45991</v>
      </c>
      <c r="F76" s="5" t="n">
        <v>69144.07000000001</v>
      </c>
    </row>
    <row r="77">
      <c r="A77" t="inlineStr">
        <is>
          <t>PAY-00076</t>
        </is>
      </c>
      <c r="B77" t="inlineStr">
        <is>
          <t>S-00054</t>
        </is>
      </c>
      <c r="C77" t="inlineStr">
        <is>
          <t>SALES</t>
        </is>
      </c>
      <c r="D77" t="inlineStr">
        <is>
          <t>Garments</t>
        </is>
      </c>
      <c r="E77" s="4" t="n">
        <v>46001</v>
      </c>
      <c r="F77" s="5" t="n">
        <v>29853.58</v>
      </c>
    </row>
    <row r="78">
      <c r="A78" t="inlineStr">
        <is>
          <t>PAY-00077</t>
        </is>
      </c>
      <c r="B78" t="inlineStr">
        <is>
          <t>S-00056</t>
        </is>
      </c>
      <c r="C78" t="inlineStr">
        <is>
          <t>SALES</t>
        </is>
      </c>
      <c r="D78" t="inlineStr">
        <is>
          <t>Garments</t>
        </is>
      </c>
      <c r="E78" s="4" t="n">
        <v>45982</v>
      </c>
      <c r="F78" s="5" t="n">
        <v>45633.2</v>
      </c>
    </row>
    <row r="79">
      <c r="A79" t="inlineStr">
        <is>
          <t>PAY-00078</t>
        </is>
      </c>
      <c r="B79" t="inlineStr">
        <is>
          <t>S-00057</t>
        </is>
      </c>
      <c r="C79" t="inlineStr">
        <is>
          <t>SALES</t>
        </is>
      </c>
      <c r="D79" t="inlineStr">
        <is>
          <t>Garments</t>
        </is>
      </c>
      <c r="E79" s="4" t="n">
        <v>46024</v>
      </c>
      <c r="F79" s="5" t="n">
        <v>58269.31</v>
      </c>
    </row>
    <row r="80">
      <c r="A80" t="inlineStr">
        <is>
          <t>PAY-00079</t>
        </is>
      </c>
      <c r="B80" t="inlineStr">
        <is>
          <t>S-00058</t>
        </is>
      </c>
      <c r="C80" t="inlineStr">
        <is>
          <t>SALES</t>
        </is>
      </c>
      <c r="D80" t="inlineStr">
        <is>
          <t>Accessories</t>
        </is>
      </c>
      <c r="E80" s="4" t="n">
        <v>46025</v>
      </c>
      <c r="F80" s="5" t="n">
        <v>21579.3</v>
      </c>
    </row>
    <row r="81">
      <c r="A81" t="inlineStr">
        <is>
          <t>PAY-00080</t>
        </is>
      </c>
      <c r="B81" t="inlineStr">
        <is>
          <t>S-00059</t>
        </is>
      </c>
      <c r="C81" t="inlineStr">
        <is>
          <t>SALES</t>
        </is>
      </c>
      <c r="D81" t="inlineStr">
        <is>
          <t>Garments</t>
        </is>
      </c>
      <c r="E81" s="4" t="n">
        <v>46004</v>
      </c>
      <c r="F81" s="5" t="n">
        <v>46621.95</v>
      </c>
    </row>
    <row r="82">
      <c r="A82" t="inlineStr">
        <is>
          <t>PAY-00081</t>
        </is>
      </c>
      <c r="B82" t="inlineStr">
        <is>
          <t>S-00061</t>
        </is>
      </c>
      <c r="C82" t="inlineStr">
        <is>
          <t>SALES</t>
        </is>
      </c>
      <c r="D82" t="inlineStr">
        <is>
          <t>Fabrics</t>
        </is>
      </c>
      <c r="E82" s="4" t="n">
        <v>46047</v>
      </c>
      <c r="F82" s="5" t="n">
        <v>81062.28999999999</v>
      </c>
    </row>
    <row r="83">
      <c r="A83" t="inlineStr">
        <is>
          <t>PAY-00082</t>
        </is>
      </c>
      <c r="B83" t="inlineStr">
        <is>
          <t>S-00062</t>
        </is>
      </c>
      <c r="C83" t="inlineStr">
        <is>
          <t>SALES</t>
        </is>
      </c>
      <c r="D83" t="inlineStr">
        <is>
          <t>Accessories</t>
        </is>
      </c>
      <c r="E83" s="4" t="n">
        <v>46021</v>
      </c>
      <c r="F83" s="5" t="n">
        <v>15786.15</v>
      </c>
    </row>
    <row r="84">
      <c r="A84" t="inlineStr">
        <is>
          <t>PAY-00083</t>
        </is>
      </c>
      <c r="B84" t="inlineStr">
        <is>
          <t>S-00063</t>
        </is>
      </c>
      <c r="C84" t="inlineStr">
        <is>
          <t>SALES</t>
        </is>
      </c>
      <c r="D84" t="inlineStr">
        <is>
          <t>Fabrics</t>
        </is>
      </c>
      <c r="E84" s="4" t="n">
        <v>46034</v>
      </c>
      <c r="F84" s="5" t="n">
        <v>48442.05</v>
      </c>
    </row>
    <row r="85">
      <c r="A85" t="inlineStr">
        <is>
          <t>PAY-00084</t>
        </is>
      </c>
      <c r="B85" t="inlineStr">
        <is>
          <t>S-00064</t>
        </is>
      </c>
      <c r="C85" t="inlineStr">
        <is>
          <t>SALES</t>
        </is>
      </c>
      <c r="D85" t="inlineStr">
        <is>
          <t>Fabrics</t>
        </is>
      </c>
      <c r="E85" s="4" t="n">
        <v>46015</v>
      </c>
      <c r="F85" s="5" t="n">
        <v>59871.19</v>
      </c>
    </row>
    <row r="86">
      <c r="A86" t="inlineStr">
        <is>
          <t>PAY-00085</t>
        </is>
      </c>
      <c r="B86" t="inlineStr">
        <is>
          <t>S-00065</t>
        </is>
      </c>
      <c r="C86" t="inlineStr">
        <is>
          <t>SALES</t>
        </is>
      </c>
      <c r="D86" t="inlineStr">
        <is>
          <t>Garments</t>
        </is>
      </c>
      <c r="E86" s="4" t="n">
        <v>46032</v>
      </c>
      <c r="F86" s="5" t="n">
        <v>75207.19</v>
      </c>
    </row>
    <row r="87">
      <c r="A87" t="inlineStr">
        <is>
          <t>PAY-00086</t>
        </is>
      </c>
      <c r="B87" t="inlineStr">
        <is>
          <t>S-00066</t>
        </is>
      </c>
      <c r="C87" t="inlineStr">
        <is>
          <t>SALES</t>
        </is>
      </c>
      <c r="D87" t="inlineStr">
        <is>
          <t>Fabrics</t>
        </is>
      </c>
      <c r="E87" s="4" t="n">
        <v>46030</v>
      </c>
      <c r="F87" s="5" t="n">
        <v>19558.11</v>
      </c>
    </row>
    <row r="88">
      <c r="A88" t="inlineStr">
        <is>
          <t>PAY-00087</t>
        </is>
      </c>
      <c r="B88" t="inlineStr">
        <is>
          <t>S-00067</t>
        </is>
      </c>
      <c r="C88" t="inlineStr">
        <is>
          <t>SALES</t>
        </is>
      </c>
      <c r="D88" t="inlineStr">
        <is>
          <t>Fabrics</t>
        </is>
      </c>
      <c r="E88" s="4" t="n">
        <v>46011</v>
      </c>
      <c r="F88" s="5" t="n">
        <v>16404.24</v>
      </c>
    </row>
    <row r="89">
      <c r="A89" t="inlineStr">
        <is>
          <t>PAY-00088</t>
        </is>
      </c>
      <c r="B89" t="inlineStr">
        <is>
          <t>S-00068</t>
        </is>
      </c>
      <c r="C89" t="inlineStr">
        <is>
          <t>SALES</t>
        </is>
      </c>
      <c r="D89" t="inlineStr">
        <is>
          <t>Accessories</t>
        </is>
      </c>
      <c r="E89" s="4" t="n">
        <v>46017</v>
      </c>
      <c r="F89" s="5" t="n">
        <v>81270.42999999999</v>
      </c>
    </row>
    <row r="90">
      <c r="A90" t="inlineStr">
        <is>
          <t>PAY-00089</t>
        </is>
      </c>
      <c r="B90" t="inlineStr">
        <is>
          <t>S-00069</t>
        </is>
      </c>
      <c r="C90" t="inlineStr">
        <is>
          <t>SALES</t>
        </is>
      </c>
      <c r="D90" t="inlineStr">
        <is>
          <t>Accessories</t>
        </is>
      </c>
      <c r="E90" s="4" t="n">
        <v>45992</v>
      </c>
      <c r="F90" s="5" t="n">
        <v>71631.45</v>
      </c>
    </row>
    <row r="91">
      <c r="A91" t="inlineStr">
        <is>
          <t>PAY-00090</t>
        </is>
      </c>
      <c r="B91" t="inlineStr">
        <is>
          <t>S-00070</t>
        </is>
      </c>
      <c r="C91" t="inlineStr">
        <is>
          <t>SALES</t>
        </is>
      </c>
      <c r="D91" t="inlineStr">
        <is>
          <t>Fabrics</t>
        </is>
      </c>
      <c r="E91" s="4" t="n">
        <v>46014</v>
      </c>
      <c r="F91" s="5" t="n">
        <v>15681.46</v>
      </c>
    </row>
    <row r="92">
      <c r="A92" t="inlineStr">
        <is>
          <t>PAY-00091</t>
        </is>
      </c>
      <c r="B92" t="inlineStr">
        <is>
          <t>S-00071</t>
        </is>
      </c>
      <c r="C92" t="inlineStr">
        <is>
          <t>SALES</t>
        </is>
      </c>
      <c r="D92" t="inlineStr">
        <is>
          <t>Accessories</t>
        </is>
      </c>
      <c r="E92" s="4" t="n">
        <v>46010</v>
      </c>
      <c r="F92" s="5" t="n">
        <v>52085.31</v>
      </c>
    </row>
    <row r="93">
      <c r="A93" t="inlineStr">
        <is>
          <t>PAY-00092</t>
        </is>
      </c>
      <c r="B93" t="inlineStr">
        <is>
          <t>S-00072</t>
        </is>
      </c>
      <c r="C93" t="inlineStr">
        <is>
          <t>SALES</t>
        </is>
      </c>
      <c r="D93" t="inlineStr">
        <is>
          <t>Fabrics</t>
        </is>
      </c>
      <c r="E93" s="4" t="n">
        <v>46040</v>
      </c>
      <c r="F93" s="5" t="n">
        <v>84814.35000000001</v>
      </c>
    </row>
    <row r="94">
      <c r="A94" t="inlineStr">
        <is>
          <t>PAY-00093</t>
        </is>
      </c>
      <c r="B94" t="inlineStr">
        <is>
          <t>S-00073</t>
        </is>
      </c>
      <c r="C94" t="inlineStr">
        <is>
          <t>SALES</t>
        </is>
      </c>
      <c r="D94" t="inlineStr">
        <is>
          <t>Garments</t>
        </is>
      </c>
      <c r="E94" s="4" t="n">
        <v>45990</v>
      </c>
      <c r="F94" s="5" t="n">
        <v>16378.71</v>
      </c>
    </row>
    <row r="95">
      <c r="A95" t="inlineStr">
        <is>
          <t>PAY-00094</t>
        </is>
      </c>
      <c r="B95" t="inlineStr">
        <is>
          <t>S-00074</t>
        </is>
      </c>
      <c r="C95" t="inlineStr">
        <is>
          <t>SALES</t>
        </is>
      </c>
      <c r="D95" t="inlineStr">
        <is>
          <t>Fabrics</t>
        </is>
      </c>
      <c r="E95" s="4" t="n">
        <v>45980</v>
      </c>
      <c r="F95" s="5" t="n">
        <v>32029.16</v>
      </c>
    </row>
    <row r="96">
      <c r="A96" t="inlineStr">
        <is>
          <t>PAY-00095</t>
        </is>
      </c>
      <c r="B96" t="inlineStr">
        <is>
          <t>S-00075</t>
        </is>
      </c>
      <c r="C96" t="inlineStr">
        <is>
          <t>SALES</t>
        </is>
      </c>
      <c r="D96" t="inlineStr">
        <is>
          <t>Fabrics</t>
        </is>
      </c>
      <c r="E96" s="4" t="n">
        <v>46027</v>
      </c>
      <c r="F96" s="5" t="n">
        <v>23302.75</v>
      </c>
    </row>
    <row r="97">
      <c r="A97" t="inlineStr">
        <is>
          <t>PAY-00096</t>
        </is>
      </c>
      <c r="B97" t="inlineStr">
        <is>
          <t>S-00076</t>
        </is>
      </c>
      <c r="C97" t="inlineStr">
        <is>
          <t>SALES</t>
        </is>
      </c>
      <c r="D97" t="inlineStr">
        <is>
          <t>Fabrics</t>
        </is>
      </c>
      <c r="E97" s="4" t="n">
        <v>46018</v>
      </c>
      <c r="F97" s="5" t="n">
        <v>62878.89</v>
      </c>
    </row>
    <row r="98">
      <c r="A98" t="inlineStr">
        <is>
          <t>PAY-00097</t>
        </is>
      </c>
      <c r="B98" t="inlineStr">
        <is>
          <t>S-00077</t>
        </is>
      </c>
      <c r="C98" t="inlineStr">
        <is>
          <t>SALES</t>
        </is>
      </c>
      <c r="D98" t="inlineStr">
        <is>
          <t>Fabrics</t>
        </is>
      </c>
      <c r="E98" s="4" t="n">
        <v>46006</v>
      </c>
      <c r="F98" s="5" t="n">
        <v>30185.88</v>
      </c>
    </row>
    <row r="99">
      <c r="A99" t="inlineStr">
        <is>
          <t>PAY-00098</t>
        </is>
      </c>
      <c r="B99" t="inlineStr">
        <is>
          <t>S-00078</t>
        </is>
      </c>
      <c r="C99" t="inlineStr">
        <is>
          <t>SALES</t>
        </is>
      </c>
      <c r="D99" t="inlineStr">
        <is>
          <t>Fabrics</t>
        </is>
      </c>
      <c r="E99" s="4" t="n">
        <v>46012</v>
      </c>
      <c r="F99" s="5" t="n">
        <v>8599.26</v>
      </c>
    </row>
    <row r="100">
      <c r="A100" t="inlineStr">
        <is>
          <t>PAY-00099</t>
        </is>
      </c>
      <c r="B100" t="inlineStr">
        <is>
          <t>P-00017</t>
        </is>
      </c>
      <c r="C100" t="inlineStr">
        <is>
          <t>PURCHASE</t>
        </is>
      </c>
      <c r="D100" t="inlineStr">
        <is>
          <t>Inventory purchases</t>
        </is>
      </c>
      <c r="E100" s="4" t="n">
        <v>45977</v>
      </c>
      <c r="F100" s="5" t="n">
        <v>29214.63</v>
      </c>
    </row>
    <row r="101">
      <c r="A101" t="inlineStr">
        <is>
          <t>PAY-00100</t>
        </is>
      </c>
      <c r="B101" t="inlineStr">
        <is>
          <t>P-00018</t>
        </is>
      </c>
      <c r="C101" t="inlineStr">
        <is>
          <t>PURCHASE</t>
        </is>
      </c>
      <c r="D101" t="inlineStr">
        <is>
          <t>Inventory purchases</t>
        </is>
      </c>
      <c r="E101" s="4" t="n">
        <v>46011</v>
      </c>
      <c r="F101" s="5" t="n">
        <v>37690.56</v>
      </c>
    </row>
    <row r="102">
      <c r="A102" t="inlineStr">
        <is>
          <t>PAY-00101</t>
        </is>
      </c>
      <c r="B102" t="inlineStr">
        <is>
          <t>P-00019</t>
        </is>
      </c>
      <c r="C102" t="inlineStr">
        <is>
          <t>PURCHASE</t>
        </is>
      </c>
      <c r="D102" t="inlineStr">
        <is>
          <t>Inventory purchases</t>
        </is>
      </c>
      <c r="E102" s="4" t="n">
        <v>45988</v>
      </c>
      <c r="F102" s="5" t="n">
        <v>77805.64999999999</v>
      </c>
    </row>
    <row r="103">
      <c r="A103" t="inlineStr">
        <is>
          <t>PAY-00102</t>
        </is>
      </c>
      <c r="B103" t="inlineStr">
        <is>
          <t>P-00020</t>
        </is>
      </c>
      <c r="C103" t="inlineStr">
        <is>
          <t>PURCHASE</t>
        </is>
      </c>
      <c r="D103" t="inlineStr">
        <is>
          <t>Inventory purchases</t>
        </is>
      </c>
      <c r="E103" s="4" t="n">
        <v>46000</v>
      </c>
      <c r="F103" s="5" t="n">
        <v>87799.07000000001</v>
      </c>
    </row>
    <row r="104">
      <c r="A104" t="inlineStr">
        <is>
          <t>PAY-00103</t>
        </is>
      </c>
      <c r="B104" t="inlineStr">
        <is>
          <t>P-00021</t>
        </is>
      </c>
      <c r="C104" t="inlineStr">
        <is>
          <t>PURCHASE</t>
        </is>
      </c>
      <c r="D104" t="inlineStr">
        <is>
          <t>Inventory purchases</t>
        </is>
      </c>
      <c r="E104" s="4" t="n">
        <v>45984</v>
      </c>
      <c r="F104" s="5" t="n">
        <v>92472.45</v>
      </c>
    </row>
    <row r="105">
      <c r="A105" t="inlineStr">
        <is>
          <t>PAY-00104</t>
        </is>
      </c>
      <c r="B105" t="inlineStr">
        <is>
          <t>P-00022</t>
        </is>
      </c>
      <c r="C105" t="inlineStr">
        <is>
          <t>PURCHASE</t>
        </is>
      </c>
      <c r="D105" t="inlineStr">
        <is>
          <t>Inventory purchases</t>
        </is>
      </c>
      <c r="E105" s="4" t="n">
        <v>45996</v>
      </c>
      <c r="F105" s="5" t="n">
        <v>42060.33</v>
      </c>
    </row>
    <row r="106">
      <c r="A106" t="inlineStr">
        <is>
          <t>PAY-00105</t>
        </is>
      </c>
      <c r="B106" t="inlineStr">
        <is>
          <t>P-00023</t>
        </is>
      </c>
      <c r="C106" t="inlineStr">
        <is>
          <t>PURCHASE</t>
        </is>
      </c>
      <c r="D106" t="inlineStr">
        <is>
          <t>Inventory purchases</t>
        </is>
      </c>
      <c r="E106" s="4" t="n">
        <v>45989</v>
      </c>
      <c r="F106" s="5" t="n">
        <v>30892.39</v>
      </c>
    </row>
    <row r="107">
      <c r="A107" t="inlineStr">
        <is>
          <t>PAY-00106</t>
        </is>
      </c>
      <c r="B107" t="inlineStr">
        <is>
          <t>P-00024</t>
        </is>
      </c>
      <c r="C107" t="inlineStr">
        <is>
          <t>PURCHASE</t>
        </is>
      </c>
      <c r="D107" t="inlineStr">
        <is>
          <t>Inventory purchases</t>
        </is>
      </c>
      <c r="E107" s="4" t="n">
        <v>45980</v>
      </c>
      <c r="F107" s="5" t="n">
        <v>87108.53999999999</v>
      </c>
    </row>
    <row r="108">
      <c r="A108" t="inlineStr">
        <is>
          <t>PAY-00107</t>
        </is>
      </c>
      <c r="B108" t="inlineStr">
        <is>
          <t>P-00025</t>
        </is>
      </c>
      <c r="C108" t="inlineStr">
        <is>
          <t>PURCHASE</t>
        </is>
      </c>
      <c r="D108" t="inlineStr">
        <is>
          <t>Inventory purchases</t>
        </is>
      </c>
      <c r="E108" s="4" t="n">
        <v>46008</v>
      </c>
      <c r="F108" s="5" t="n">
        <v>44215.3</v>
      </c>
    </row>
    <row r="109">
      <c r="A109" t="inlineStr">
        <is>
          <t>PAY-00108</t>
        </is>
      </c>
      <c r="B109" t="inlineStr">
        <is>
          <t>P-00027</t>
        </is>
      </c>
      <c r="C109" t="inlineStr">
        <is>
          <t>PURCHASE</t>
        </is>
      </c>
      <c r="D109" t="inlineStr">
        <is>
          <t>Inventory purchases</t>
        </is>
      </c>
      <c r="E109" s="4" t="n">
        <v>46003</v>
      </c>
      <c r="F109" s="5" t="n">
        <v>97257.42</v>
      </c>
    </row>
    <row r="110">
      <c r="A110" t="inlineStr">
        <is>
          <t>PAY-00109</t>
        </is>
      </c>
      <c r="B110" t="inlineStr">
        <is>
          <t>P-00028</t>
        </is>
      </c>
      <c r="C110" t="inlineStr">
        <is>
          <t>PURCHASE</t>
        </is>
      </c>
      <c r="D110" t="inlineStr">
        <is>
          <t>Inventory purchases</t>
        </is>
      </c>
      <c r="E110" s="4" t="n">
        <v>46000</v>
      </c>
      <c r="F110" s="5" t="n">
        <v>36782.21</v>
      </c>
    </row>
    <row r="111">
      <c r="A111" t="inlineStr">
        <is>
          <t>PAY-00110</t>
        </is>
      </c>
      <c r="B111" t="inlineStr">
        <is>
          <t>P-00029</t>
        </is>
      </c>
      <c r="C111" t="inlineStr">
        <is>
          <t>PURCHASE</t>
        </is>
      </c>
      <c r="D111" t="inlineStr">
        <is>
          <t>Inventory purchases</t>
        </is>
      </c>
      <c r="E111" s="4" t="n">
        <v>45987</v>
      </c>
      <c r="F111" s="5" t="n">
        <v>80406.42</v>
      </c>
    </row>
    <row r="112">
      <c r="A112" t="inlineStr">
        <is>
          <t>PAY-00111</t>
        </is>
      </c>
      <c r="B112" t="inlineStr">
        <is>
          <t>P-00030</t>
        </is>
      </c>
      <c r="C112" t="inlineStr">
        <is>
          <t>PURCHASE</t>
        </is>
      </c>
      <c r="D112" t="inlineStr">
        <is>
          <t>Inventory purchases</t>
        </is>
      </c>
      <c r="E112" s="4" t="n">
        <v>46001</v>
      </c>
      <c r="F112" s="5" t="n">
        <v>18515.94</v>
      </c>
    </row>
    <row r="113">
      <c r="A113" t="inlineStr">
        <is>
          <t>PAY-00112</t>
        </is>
      </c>
      <c r="B113" t="inlineStr">
        <is>
          <t>P-00031</t>
        </is>
      </c>
      <c r="C113" t="inlineStr">
        <is>
          <t>PURCHASE</t>
        </is>
      </c>
      <c r="D113" t="inlineStr">
        <is>
          <t>Inventory purchases</t>
        </is>
      </c>
      <c r="E113" s="4" t="n">
        <v>46001</v>
      </c>
      <c r="F113" s="5" t="n">
        <v>94603.94</v>
      </c>
    </row>
    <row r="114">
      <c r="A114" t="inlineStr">
        <is>
          <t>PAY-00113</t>
        </is>
      </c>
      <c r="B114" t="inlineStr">
        <is>
          <t>P-00032</t>
        </is>
      </c>
      <c r="C114" t="inlineStr">
        <is>
          <t>PURCHASE</t>
        </is>
      </c>
      <c r="D114" t="inlineStr">
        <is>
          <t>Inventory purchases</t>
        </is>
      </c>
      <c r="E114" s="4" t="n">
        <v>45981</v>
      </c>
      <c r="F114" s="5" t="n">
        <v>119473.11</v>
      </c>
    </row>
    <row r="115">
      <c r="A115" t="inlineStr">
        <is>
          <t>PAY-00114</t>
        </is>
      </c>
      <c r="B115" t="inlineStr">
        <is>
          <t>P-00033</t>
        </is>
      </c>
      <c r="C115" t="inlineStr">
        <is>
          <t>PURCHASE</t>
        </is>
      </c>
      <c r="D115" t="inlineStr">
        <is>
          <t>Inventory purchases</t>
        </is>
      </c>
      <c r="E115" s="4" t="n">
        <v>45990</v>
      </c>
      <c r="F115" s="5" t="n">
        <v>62622.79</v>
      </c>
    </row>
    <row r="116">
      <c r="A116" t="inlineStr">
        <is>
          <t>PAY-00115</t>
        </is>
      </c>
      <c r="B116" t="inlineStr">
        <is>
          <t>E-00016</t>
        </is>
      </c>
      <c r="C116" t="inlineStr">
        <is>
          <t>EXPENSE</t>
        </is>
      </c>
      <c r="D116" t="inlineStr">
        <is>
          <t>Rent</t>
        </is>
      </c>
      <c r="E116" s="4" t="n">
        <v>45963</v>
      </c>
      <c r="F116" s="5" t="n">
        <v>29152.69</v>
      </c>
    </row>
    <row r="117">
      <c r="A117" t="inlineStr">
        <is>
          <t>PAY-00116</t>
        </is>
      </c>
      <c r="B117" t="inlineStr">
        <is>
          <t>E-00017</t>
        </is>
      </c>
      <c r="C117" t="inlineStr">
        <is>
          <t>EXPENSE</t>
        </is>
      </c>
      <c r="D117" t="inlineStr">
        <is>
          <t>Salaries</t>
        </is>
      </c>
      <c r="E117" s="4" t="n">
        <v>45973</v>
      </c>
      <c r="F117" s="5" t="n">
        <v>85406.31</v>
      </c>
    </row>
    <row r="118">
      <c r="A118" t="inlineStr">
        <is>
          <t>PAY-00117</t>
        </is>
      </c>
      <c r="B118" t="inlineStr">
        <is>
          <t>E-00018</t>
        </is>
      </c>
      <c r="C118" t="inlineStr">
        <is>
          <t>EXPENSE</t>
        </is>
      </c>
      <c r="D118" t="inlineStr">
        <is>
          <t>Utilities</t>
        </is>
      </c>
      <c r="E118" s="4" t="n">
        <v>45985</v>
      </c>
      <c r="F118" s="5" t="n">
        <v>7807.86</v>
      </c>
    </row>
    <row r="119">
      <c r="A119" t="inlineStr">
        <is>
          <t>PAY-00118</t>
        </is>
      </c>
      <c r="B119" t="inlineStr">
        <is>
          <t>E-00019</t>
        </is>
      </c>
      <c r="C119" t="inlineStr">
        <is>
          <t>EXPENSE</t>
        </is>
      </c>
      <c r="D119" t="inlineStr">
        <is>
          <t>Transport</t>
        </is>
      </c>
      <c r="E119" s="4" t="n">
        <v>45979</v>
      </c>
      <c r="F119" s="5" t="n">
        <v>5206.4</v>
      </c>
    </row>
    <row r="120">
      <c r="A120" t="inlineStr">
        <is>
          <t>PAY-00119</t>
        </is>
      </c>
      <c r="B120" t="inlineStr">
        <is>
          <t>E-00020</t>
        </is>
      </c>
      <c r="C120" t="inlineStr">
        <is>
          <t>EXPENSE</t>
        </is>
      </c>
      <c r="D120" t="inlineStr">
        <is>
          <t>Transport</t>
        </is>
      </c>
      <c r="E120" s="4" t="n">
        <v>45986</v>
      </c>
      <c r="F120" s="5" t="n">
        <v>5777.95</v>
      </c>
    </row>
    <row r="121">
      <c r="A121" t="inlineStr">
        <is>
          <t>PAY-00120</t>
        </is>
      </c>
      <c r="B121" t="inlineStr">
        <is>
          <t>E-00021</t>
        </is>
      </c>
      <c r="C121" t="inlineStr">
        <is>
          <t>EXPENSE</t>
        </is>
      </c>
      <c r="D121" t="inlineStr">
        <is>
          <t>Transport</t>
        </is>
      </c>
      <c r="E121" s="4" t="n">
        <v>45975</v>
      </c>
      <c r="F121" s="5" t="n">
        <v>3447.69</v>
      </c>
    </row>
    <row r="122">
      <c r="A122" t="inlineStr">
        <is>
          <t>PAY-00121</t>
        </is>
      </c>
      <c r="B122" t="inlineStr">
        <is>
          <t>E-00022</t>
        </is>
      </c>
      <c r="C122" t="inlineStr">
        <is>
          <t>EXPENSE</t>
        </is>
      </c>
      <c r="D122" t="inlineStr">
        <is>
          <t>Transport</t>
        </is>
      </c>
      <c r="E122" s="4" t="n">
        <v>45965</v>
      </c>
      <c r="F122" s="5" t="n">
        <v>5557.91</v>
      </c>
    </row>
    <row r="123">
      <c r="A123" t="inlineStr">
        <is>
          <t>PAY-00122</t>
        </is>
      </c>
      <c r="B123" t="inlineStr">
        <is>
          <t>E-00023</t>
        </is>
      </c>
      <c r="C123" t="inlineStr">
        <is>
          <t>EXPENSE</t>
        </is>
      </c>
      <c r="D123" t="inlineStr">
        <is>
          <t>Transport</t>
        </is>
      </c>
      <c r="E123" s="4" t="n">
        <v>45978</v>
      </c>
      <c r="F123" s="5" t="n">
        <v>1270.5</v>
      </c>
    </row>
    <row r="124">
      <c r="A124" t="inlineStr">
        <is>
          <t>PAY-00123</t>
        </is>
      </c>
      <c r="B124" t="inlineStr">
        <is>
          <t>E-00024</t>
        </is>
      </c>
      <c r="C124" t="inlineStr">
        <is>
          <t>EXPENSE</t>
        </is>
      </c>
      <c r="D124" t="inlineStr">
        <is>
          <t>Transport</t>
        </is>
      </c>
      <c r="E124" s="4" t="n">
        <v>45989</v>
      </c>
      <c r="F124" s="5" t="n">
        <v>8422.450000000001</v>
      </c>
    </row>
    <row r="125">
      <c r="A125" t="inlineStr">
        <is>
          <t>PAY-00124</t>
        </is>
      </c>
      <c r="B125" t="inlineStr">
        <is>
          <t>E-00025</t>
        </is>
      </c>
      <c r="C125" t="inlineStr">
        <is>
          <t>EXPENSE</t>
        </is>
      </c>
      <c r="D125" t="inlineStr">
        <is>
          <t>Marketing</t>
        </is>
      </c>
      <c r="E125" s="4" t="n">
        <v>45972</v>
      </c>
      <c r="F125" s="5" t="n">
        <v>7945.83</v>
      </c>
    </row>
    <row r="126">
      <c r="A126" t="inlineStr">
        <is>
          <t>PAY-00125</t>
        </is>
      </c>
      <c r="B126" t="inlineStr">
        <is>
          <t>E-00026</t>
        </is>
      </c>
      <c r="C126" t="inlineStr">
        <is>
          <t>EXPENSE</t>
        </is>
      </c>
      <c r="D126" t="inlineStr">
        <is>
          <t>Marketing</t>
        </is>
      </c>
      <c r="E126" s="4" t="n">
        <v>45985</v>
      </c>
      <c r="F126" s="5" t="n">
        <v>11932.21</v>
      </c>
    </row>
    <row r="127">
      <c r="A127" t="inlineStr">
        <is>
          <t>PAY-00126</t>
        </is>
      </c>
      <c r="B127" t="inlineStr">
        <is>
          <t>E-00027</t>
        </is>
      </c>
      <c r="C127" t="inlineStr">
        <is>
          <t>EXPENSE</t>
        </is>
      </c>
      <c r="D127" t="inlineStr">
        <is>
          <t>Professional fees</t>
        </is>
      </c>
      <c r="E127" s="4" t="n">
        <v>45967</v>
      </c>
      <c r="F127" s="5" t="n">
        <v>14167.5</v>
      </c>
    </row>
    <row r="128">
      <c r="A128" t="inlineStr">
        <is>
          <t>PAY-00127</t>
        </is>
      </c>
      <c r="B128" t="inlineStr">
        <is>
          <t>E-00028</t>
        </is>
      </c>
      <c r="C128" t="inlineStr">
        <is>
          <t>EXPENSE</t>
        </is>
      </c>
      <c r="D128" t="inlineStr">
        <is>
          <t>Misc</t>
        </is>
      </c>
      <c r="E128" s="4" t="n">
        <v>45991</v>
      </c>
      <c r="F128" s="5" t="n">
        <v>3105.82</v>
      </c>
    </row>
    <row r="129">
      <c r="A129" t="inlineStr">
        <is>
          <t>PAY-00128</t>
        </is>
      </c>
      <c r="B129" t="inlineStr">
        <is>
          <t>E-00029</t>
        </is>
      </c>
      <c r="C129" t="inlineStr">
        <is>
          <t>EXPENSE</t>
        </is>
      </c>
      <c r="D129" t="inlineStr">
        <is>
          <t>Misc</t>
        </is>
      </c>
      <c r="E129" s="4" t="n">
        <v>45986</v>
      </c>
      <c r="F129" s="5" t="n">
        <v>6845.52</v>
      </c>
    </row>
    <row r="130">
      <c r="A130" t="inlineStr">
        <is>
          <t>PAY-00129</t>
        </is>
      </c>
      <c r="B130" t="inlineStr">
        <is>
          <t>E-00030</t>
        </is>
      </c>
      <c r="C130" t="inlineStr">
        <is>
          <t>EXPENSE</t>
        </is>
      </c>
      <c r="D130" t="inlineStr">
        <is>
          <t>Misc</t>
        </is>
      </c>
      <c r="E130" s="4" t="n">
        <v>45988</v>
      </c>
      <c r="F130" s="5" t="n">
        <v>4943.61</v>
      </c>
    </row>
    <row r="131">
      <c r="A131" t="inlineStr">
        <is>
          <t>PAY-00130</t>
        </is>
      </c>
      <c r="B131" t="inlineStr">
        <is>
          <t>S-00080</t>
        </is>
      </c>
      <c r="C131" t="inlineStr">
        <is>
          <t>SALES</t>
        </is>
      </c>
      <c r="D131" t="inlineStr">
        <is>
          <t>Garments</t>
        </is>
      </c>
      <c r="E131" s="4" t="n">
        <v>46036</v>
      </c>
      <c r="F131" s="5" t="n">
        <v>16430.09</v>
      </c>
    </row>
    <row r="132">
      <c r="A132" t="inlineStr">
        <is>
          <t>PAY-00131</t>
        </is>
      </c>
      <c r="B132" t="inlineStr">
        <is>
          <t>S-00081</t>
        </is>
      </c>
      <c r="C132" t="inlineStr">
        <is>
          <t>SALES</t>
        </is>
      </c>
      <c r="D132" t="inlineStr">
        <is>
          <t>Fabrics</t>
        </is>
      </c>
      <c r="E132" s="4" t="n">
        <v>46055</v>
      </c>
      <c r="F132" s="5" t="n">
        <v>60832.79</v>
      </c>
    </row>
    <row r="133">
      <c r="A133" t="inlineStr">
        <is>
          <t>PAY-00132</t>
        </is>
      </c>
      <c r="B133" t="inlineStr">
        <is>
          <t>S-00082</t>
        </is>
      </c>
      <c r="C133" t="inlineStr">
        <is>
          <t>SALES</t>
        </is>
      </c>
      <c r="D133" t="inlineStr">
        <is>
          <t>Fabrics</t>
        </is>
      </c>
      <c r="E133" s="4" t="n">
        <v>46026</v>
      </c>
      <c r="F133" s="5" t="n">
        <v>31973.56</v>
      </c>
    </row>
    <row r="134">
      <c r="A134" t="inlineStr">
        <is>
          <t>PAY-00133</t>
        </is>
      </c>
      <c r="B134" t="inlineStr">
        <is>
          <t>S-00083</t>
        </is>
      </c>
      <c r="C134" t="inlineStr">
        <is>
          <t>SALES</t>
        </is>
      </c>
      <c r="D134" t="inlineStr">
        <is>
          <t>Garments</t>
        </is>
      </c>
      <c r="E134" s="4" t="n">
        <v>46057</v>
      </c>
      <c r="F134" s="5" t="n">
        <v>20354.81</v>
      </c>
    </row>
    <row r="135">
      <c r="A135" t="inlineStr">
        <is>
          <t>PAY-00134</t>
        </is>
      </c>
      <c r="B135" t="inlineStr">
        <is>
          <t>S-00084</t>
        </is>
      </c>
      <c r="C135" t="inlineStr">
        <is>
          <t>SALES</t>
        </is>
      </c>
      <c r="D135" t="inlineStr">
        <is>
          <t>Fabrics</t>
        </is>
      </c>
      <c r="E135" s="4" t="n">
        <v>46045</v>
      </c>
      <c r="F135" s="5" t="n">
        <v>69600.88</v>
      </c>
    </row>
    <row r="136">
      <c r="A136" t="inlineStr">
        <is>
          <t>PAY-00135</t>
        </is>
      </c>
      <c r="B136" t="inlineStr">
        <is>
          <t>S-00086</t>
        </is>
      </c>
      <c r="C136" t="inlineStr">
        <is>
          <t>SALES</t>
        </is>
      </c>
      <c r="D136" t="inlineStr">
        <is>
          <t>Accessories</t>
        </is>
      </c>
      <c r="E136" s="4" t="n">
        <v>46016</v>
      </c>
      <c r="F136" s="5" t="n">
        <v>87936.34</v>
      </c>
    </row>
    <row r="137">
      <c r="A137" t="inlineStr">
        <is>
          <t>PAY-00136</t>
        </is>
      </c>
      <c r="B137" t="inlineStr">
        <is>
          <t>S-00087</t>
        </is>
      </c>
      <c r="C137" t="inlineStr">
        <is>
          <t>SALES</t>
        </is>
      </c>
      <c r="D137" t="inlineStr">
        <is>
          <t>Fabrics</t>
        </is>
      </c>
      <c r="E137" s="4" t="n">
        <v>46057</v>
      </c>
      <c r="F137" s="5" t="n">
        <v>23156.72</v>
      </c>
    </row>
    <row r="138">
      <c r="A138" t="inlineStr">
        <is>
          <t>PAY-00137</t>
        </is>
      </c>
      <c r="B138" t="inlineStr">
        <is>
          <t>S-00088</t>
        </is>
      </c>
      <c r="C138" t="inlineStr">
        <is>
          <t>SALES</t>
        </is>
      </c>
      <c r="D138" t="inlineStr">
        <is>
          <t>Garments</t>
        </is>
      </c>
      <c r="E138" s="4" t="n">
        <v>46064</v>
      </c>
      <c r="F138" s="5" t="n">
        <v>85506.75</v>
      </c>
    </row>
    <row r="139">
      <c r="A139" t="inlineStr">
        <is>
          <t>PAY-00138</t>
        </is>
      </c>
      <c r="B139" t="inlineStr">
        <is>
          <t>S-00089</t>
        </is>
      </c>
      <c r="C139" t="inlineStr">
        <is>
          <t>SALES</t>
        </is>
      </c>
      <c r="D139" t="inlineStr">
        <is>
          <t>Fabrics</t>
        </is>
      </c>
      <c r="E139" s="4" t="n">
        <v>46063</v>
      </c>
      <c r="F139" s="5" t="n">
        <v>96469.95</v>
      </c>
    </row>
    <row r="140">
      <c r="A140" t="inlineStr">
        <is>
          <t>PAY-00139</t>
        </is>
      </c>
      <c r="B140" t="inlineStr">
        <is>
          <t>S-00090</t>
        </is>
      </c>
      <c r="C140" t="inlineStr">
        <is>
          <t>SALES</t>
        </is>
      </c>
      <c r="D140" t="inlineStr">
        <is>
          <t>Accessories</t>
        </is>
      </c>
      <c r="E140" s="4" t="n">
        <v>46035</v>
      </c>
      <c r="F140" s="5" t="n">
        <v>41775.28</v>
      </c>
    </row>
    <row r="141">
      <c r="A141" t="inlineStr">
        <is>
          <t>PAY-00140</t>
        </is>
      </c>
      <c r="B141" t="inlineStr">
        <is>
          <t>S-00091</t>
        </is>
      </c>
      <c r="C141" t="inlineStr">
        <is>
          <t>SALES</t>
        </is>
      </c>
      <c r="D141" t="inlineStr">
        <is>
          <t>Garments</t>
        </is>
      </c>
      <c r="E141" s="4" t="n">
        <v>46054</v>
      </c>
      <c r="F141" s="5" t="n">
        <v>11330.2</v>
      </c>
    </row>
    <row r="142">
      <c r="A142" t="inlineStr">
        <is>
          <t>PAY-00141</t>
        </is>
      </c>
      <c r="B142" t="inlineStr">
        <is>
          <t>S-00092</t>
        </is>
      </c>
      <c r="C142" t="inlineStr">
        <is>
          <t>SALES</t>
        </is>
      </c>
      <c r="D142" t="inlineStr">
        <is>
          <t>Garments</t>
        </is>
      </c>
      <c r="E142" s="4" t="n">
        <v>46041</v>
      </c>
      <c r="F142" s="5" t="n">
        <v>69955.8</v>
      </c>
    </row>
    <row r="143">
      <c r="A143" t="inlineStr">
        <is>
          <t>PAY-00142</t>
        </is>
      </c>
      <c r="B143" t="inlineStr">
        <is>
          <t>S-00093</t>
        </is>
      </c>
      <c r="C143" t="inlineStr">
        <is>
          <t>SALES</t>
        </is>
      </c>
      <c r="D143" t="inlineStr">
        <is>
          <t>Garments</t>
        </is>
      </c>
      <c r="E143" s="4" t="n">
        <v>46035</v>
      </c>
      <c r="F143" s="5" t="n">
        <v>9126.02</v>
      </c>
    </row>
    <row r="144">
      <c r="A144" t="inlineStr">
        <is>
          <t>PAY-00143</t>
        </is>
      </c>
      <c r="B144" t="inlineStr">
        <is>
          <t>S-00094</t>
        </is>
      </c>
      <c r="C144" t="inlineStr">
        <is>
          <t>SALES</t>
        </is>
      </c>
      <c r="D144" t="inlineStr">
        <is>
          <t>Fabrics</t>
        </is>
      </c>
      <c r="E144" s="4" t="n">
        <v>46028</v>
      </c>
      <c r="F144" s="5" t="n">
        <v>24921.4</v>
      </c>
    </row>
    <row r="145">
      <c r="A145" t="inlineStr">
        <is>
          <t>PAY-00144</t>
        </is>
      </c>
      <c r="B145" t="inlineStr">
        <is>
          <t>S-00095</t>
        </is>
      </c>
      <c r="C145" t="inlineStr">
        <is>
          <t>SALES</t>
        </is>
      </c>
      <c r="D145" t="inlineStr">
        <is>
          <t>Accessories</t>
        </is>
      </c>
      <c r="E145" s="4" t="n">
        <v>46017</v>
      </c>
      <c r="F145" s="5" t="n">
        <v>34392.28</v>
      </c>
    </row>
    <row r="146">
      <c r="A146" t="inlineStr">
        <is>
          <t>PAY-00145</t>
        </is>
      </c>
      <c r="B146" t="inlineStr">
        <is>
          <t>S-00096</t>
        </is>
      </c>
      <c r="C146" t="inlineStr">
        <is>
          <t>SALES</t>
        </is>
      </c>
      <c r="D146" t="inlineStr">
        <is>
          <t>Fabrics</t>
        </is>
      </c>
      <c r="E146" s="4" t="n">
        <v>46035</v>
      </c>
      <c r="F146" s="5" t="n">
        <v>89137.67999999999</v>
      </c>
    </row>
    <row r="147">
      <c r="A147" t="inlineStr">
        <is>
          <t>PAY-00146</t>
        </is>
      </c>
      <c r="B147" t="inlineStr">
        <is>
          <t>S-00097</t>
        </is>
      </c>
      <c r="C147" t="inlineStr">
        <is>
          <t>SALES</t>
        </is>
      </c>
      <c r="D147" t="inlineStr">
        <is>
          <t>Accessories</t>
        </is>
      </c>
      <c r="E147" s="4" t="n">
        <v>46041</v>
      </c>
      <c r="F147" s="5" t="n">
        <v>72289.24000000001</v>
      </c>
    </row>
    <row r="148">
      <c r="A148" t="inlineStr">
        <is>
          <t>PAY-00147</t>
        </is>
      </c>
      <c r="B148" t="inlineStr">
        <is>
          <t>S-00098</t>
        </is>
      </c>
      <c r="C148" t="inlineStr">
        <is>
          <t>SALES</t>
        </is>
      </c>
      <c r="D148" t="inlineStr">
        <is>
          <t>Garments</t>
        </is>
      </c>
      <c r="E148" s="4" t="n">
        <v>46039</v>
      </c>
      <c r="F148" s="5" t="n">
        <v>43886.19</v>
      </c>
    </row>
    <row r="149">
      <c r="A149" t="inlineStr">
        <is>
          <t>PAY-00148</t>
        </is>
      </c>
      <c r="B149" t="inlineStr">
        <is>
          <t>S-00099</t>
        </is>
      </c>
      <c r="C149" t="inlineStr">
        <is>
          <t>SALES</t>
        </is>
      </c>
      <c r="D149" t="inlineStr">
        <is>
          <t>Garments</t>
        </is>
      </c>
      <c r="E149" s="4" t="n">
        <v>46030</v>
      </c>
      <c r="F149" s="5" t="n">
        <v>44152.16</v>
      </c>
    </row>
    <row r="150">
      <c r="A150" t="inlineStr">
        <is>
          <t>PAY-00149</t>
        </is>
      </c>
      <c r="B150" t="inlineStr">
        <is>
          <t>S-00101</t>
        </is>
      </c>
      <c r="C150" t="inlineStr">
        <is>
          <t>SALES</t>
        </is>
      </c>
      <c r="D150" t="inlineStr">
        <is>
          <t>Garments</t>
        </is>
      </c>
      <c r="E150" s="4" t="n">
        <v>46059</v>
      </c>
      <c r="F150" s="5" t="n">
        <v>35866.32</v>
      </c>
    </row>
    <row r="151">
      <c r="A151" t="inlineStr">
        <is>
          <t>PAY-00150</t>
        </is>
      </c>
      <c r="B151" t="inlineStr">
        <is>
          <t>S-00102</t>
        </is>
      </c>
      <c r="C151" t="inlineStr">
        <is>
          <t>SALES</t>
        </is>
      </c>
      <c r="D151" t="inlineStr">
        <is>
          <t>Garments</t>
        </is>
      </c>
      <c r="E151" s="4" t="n">
        <v>46036</v>
      </c>
      <c r="F151" s="5" t="n">
        <v>71531.3</v>
      </c>
    </row>
    <row r="152">
      <c r="A152" t="inlineStr">
        <is>
          <t>PAY-00151</t>
        </is>
      </c>
      <c r="B152" t="inlineStr">
        <is>
          <t>S-00103</t>
        </is>
      </c>
      <c r="C152" t="inlineStr">
        <is>
          <t>SALES</t>
        </is>
      </c>
      <c r="D152" t="inlineStr">
        <is>
          <t>Fabrics</t>
        </is>
      </c>
      <c r="E152" s="4" t="n">
        <v>46036</v>
      </c>
      <c r="F152" s="5" t="n">
        <v>93162.55</v>
      </c>
    </row>
    <row r="153">
      <c r="A153" t="inlineStr">
        <is>
          <t>PAY-00152</t>
        </is>
      </c>
      <c r="B153" t="inlineStr">
        <is>
          <t>S-00104</t>
        </is>
      </c>
      <c r="C153" t="inlineStr">
        <is>
          <t>SALES</t>
        </is>
      </c>
      <c r="D153" t="inlineStr">
        <is>
          <t>Fabrics</t>
        </is>
      </c>
      <c r="E153" s="4" t="n">
        <v>46046</v>
      </c>
      <c r="F153" s="5" t="n">
        <v>94656.06</v>
      </c>
    </row>
    <row r="154">
      <c r="A154" t="inlineStr">
        <is>
          <t>PAY-00153</t>
        </is>
      </c>
      <c r="B154" t="inlineStr">
        <is>
          <t>S-00106</t>
        </is>
      </c>
      <c r="C154" t="inlineStr">
        <is>
          <t>SALES</t>
        </is>
      </c>
      <c r="D154" t="inlineStr">
        <is>
          <t>Garments</t>
        </is>
      </c>
      <c r="E154" s="4" t="n">
        <v>46062</v>
      </c>
      <c r="F154" s="5" t="n">
        <v>72293.21000000001</v>
      </c>
    </row>
    <row r="155">
      <c r="A155" t="inlineStr">
        <is>
          <t>PAY-00154</t>
        </is>
      </c>
      <c r="B155" t="inlineStr">
        <is>
          <t>S-00107</t>
        </is>
      </c>
      <c r="C155" t="inlineStr">
        <is>
          <t>SALES</t>
        </is>
      </c>
      <c r="D155" t="inlineStr">
        <is>
          <t>Accessories</t>
        </is>
      </c>
      <c r="E155" s="4" t="n">
        <v>46048</v>
      </c>
      <c r="F155" s="5" t="n">
        <v>101713.01</v>
      </c>
    </row>
    <row r="156">
      <c r="A156" t="inlineStr">
        <is>
          <t>PAY-00155</t>
        </is>
      </c>
      <c r="B156" t="inlineStr">
        <is>
          <t>S-00109</t>
        </is>
      </c>
      <c r="C156" t="inlineStr">
        <is>
          <t>SALES</t>
        </is>
      </c>
      <c r="D156" t="inlineStr">
        <is>
          <t>Fabrics</t>
        </is>
      </c>
      <c r="E156" s="4" t="n">
        <v>46064</v>
      </c>
      <c r="F156" s="5" t="n">
        <v>97609.24000000001</v>
      </c>
    </row>
    <row r="157">
      <c r="A157" t="inlineStr">
        <is>
          <t>PAY-00156</t>
        </is>
      </c>
      <c r="B157" t="inlineStr">
        <is>
          <t>S-00110</t>
        </is>
      </c>
      <c r="C157" t="inlineStr">
        <is>
          <t>SALES</t>
        </is>
      </c>
      <c r="D157" t="inlineStr">
        <is>
          <t>Accessories</t>
        </is>
      </c>
      <c r="E157" s="4" t="n">
        <v>46034</v>
      </c>
      <c r="F157" s="5" t="n">
        <v>53747.25</v>
      </c>
    </row>
    <row r="158">
      <c r="A158" t="inlineStr">
        <is>
          <t>PAY-00157</t>
        </is>
      </c>
      <c r="B158" t="inlineStr">
        <is>
          <t>S-00111</t>
        </is>
      </c>
      <c r="C158" t="inlineStr">
        <is>
          <t>SALES</t>
        </is>
      </c>
      <c r="D158" t="inlineStr">
        <is>
          <t>Garments</t>
        </is>
      </c>
      <c r="E158" s="4" t="n">
        <v>46035</v>
      </c>
      <c r="F158" s="5" t="n">
        <v>75802.67999999999</v>
      </c>
    </row>
    <row r="159">
      <c r="A159" t="inlineStr">
        <is>
          <t>PAY-00158</t>
        </is>
      </c>
      <c r="B159" t="inlineStr">
        <is>
          <t>S-00113</t>
        </is>
      </c>
      <c r="C159" t="inlineStr">
        <is>
          <t>SALES</t>
        </is>
      </c>
      <c r="D159" t="inlineStr">
        <is>
          <t>Garments</t>
        </is>
      </c>
      <c r="E159" s="4" t="n">
        <v>46012</v>
      </c>
      <c r="F159" s="5" t="n">
        <v>62643.57</v>
      </c>
    </row>
    <row r="160">
      <c r="A160" t="inlineStr">
        <is>
          <t>PAY-00159</t>
        </is>
      </c>
      <c r="B160" t="inlineStr">
        <is>
          <t>P-00034</t>
        </is>
      </c>
      <c r="C160" t="inlineStr">
        <is>
          <t>PURCHASE</t>
        </is>
      </c>
      <c r="D160" t="inlineStr">
        <is>
          <t>Inventory purchases</t>
        </is>
      </c>
      <c r="E160" s="4" t="n">
        <v>46014</v>
      </c>
      <c r="F160" s="5" t="n">
        <v>41765.41</v>
      </c>
    </row>
    <row r="161">
      <c r="A161" t="inlineStr">
        <is>
          <t>PAY-00160</t>
        </is>
      </c>
      <c r="B161" t="inlineStr">
        <is>
          <t>P-00036</t>
        </is>
      </c>
      <c r="C161" t="inlineStr">
        <is>
          <t>PURCHASE</t>
        </is>
      </c>
      <c r="D161" t="inlineStr">
        <is>
          <t>Inventory purchases</t>
        </is>
      </c>
      <c r="E161" s="4" t="n">
        <v>46024</v>
      </c>
      <c r="F161" s="5" t="n">
        <v>48610.75</v>
      </c>
    </row>
    <row r="162">
      <c r="A162" t="inlineStr">
        <is>
          <t>PAY-00161</t>
        </is>
      </c>
      <c r="B162" t="inlineStr">
        <is>
          <t>P-00037</t>
        </is>
      </c>
      <c r="C162" t="inlineStr">
        <is>
          <t>PURCHASE</t>
        </is>
      </c>
      <c r="D162" t="inlineStr">
        <is>
          <t>Inventory purchases</t>
        </is>
      </c>
      <c r="E162" s="4" t="n">
        <v>46022</v>
      </c>
      <c r="F162" s="5" t="n">
        <v>65966.39</v>
      </c>
    </row>
    <row r="163">
      <c r="A163" t="inlineStr">
        <is>
          <t>PAY-00162</t>
        </is>
      </c>
      <c r="B163" t="inlineStr">
        <is>
          <t>P-00038</t>
        </is>
      </c>
      <c r="C163" t="inlineStr">
        <is>
          <t>PURCHASE</t>
        </is>
      </c>
      <c r="D163" t="inlineStr">
        <is>
          <t>Inventory purchases</t>
        </is>
      </c>
      <c r="E163" s="4" t="n">
        <v>46017</v>
      </c>
      <c r="F163" s="5" t="n">
        <v>66466.85000000001</v>
      </c>
    </row>
    <row r="164">
      <c r="A164" t="inlineStr">
        <is>
          <t>PAY-00163</t>
        </is>
      </c>
      <c r="B164" t="inlineStr">
        <is>
          <t>P-00039</t>
        </is>
      </c>
      <c r="C164" t="inlineStr">
        <is>
          <t>PURCHASE</t>
        </is>
      </c>
      <c r="D164" t="inlineStr">
        <is>
          <t>Inventory purchases</t>
        </is>
      </c>
      <c r="E164" s="4" t="n">
        <v>46028</v>
      </c>
      <c r="F164" s="5" t="n">
        <v>16234.68</v>
      </c>
    </row>
    <row r="165">
      <c r="A165" t="inlineStr">
        <is>
          <t>PAY-00164</t>
        </is>
      </c>
      <c r="B165" t="inlineStr">
        <is>
          <t>P-00040</t>
        </is>
      </c>
      <c r="C165" t="inlineStr">
        <is>
          <t>PURCHASE</t>
        </is>
      </c>
      <c r="D165" t="inlineStr">
        <is>
          <t>Inventory purchases</t>
        </is>
      </c>
      <c r="E165" s="4" t="n">
        <v>46039</v>
      </c>
      <c r="F165" s="5" t="n">
        <v>16783.63</v>
      </c>
    </row>
    <row r="166">
      <c r="A166" t="inlineStr">
        <is>
          <t>PAY-00165</t>
        </is>
      </c>
      <c r="B166" t="inlineStr">
        <is>
          <t>P-00041</t>
        </is>
      </c>
      <c r="C166" t="inlineStr">
        <is>
          <t>PURCHASE</t>
        </is>
      </c>
      <c r="D166" t="inlineStr">
        <is>
          <t>Inventory purchases</t>
        </is>
      </c>
      <c r="E166" s="4" t="n">
        <v>46039</v>
      </c>
      <c r="F166" s="5" t="n">
        <v>51576.51</v>
      </c>
    </row>
    <row r="167">
      <c r="A167" t="inlineStr">
        <is>
          <t>PAY-00166</t>
        </is>
      </c>
      <c r="B167" t="inlineStr">
        <is>
          <t>P-00043</t>
        </is>
      </c>
      <c r="C167" t="inlineStr">
        <is>
          <t>PURCHASE</t>
        </is>
      </c>
      <c r="D167" t="inlineStr">
        <is>
          <t>Inventory purchases</t>
        </is>
      </c>
      <c r="E167" s="4" t="n">
        <v>46024</v>
      </c>
      <c r="F167" s="5" t="n">
        <v>117893.15</v>
      </c>
    </row>
    <row r="168">
      <c r="A168" t="inlineStr">
        <is>
          <t>PAY-00167</t>
        </is>
      </c>
      <c r="B168" t="inlineStr">
        <is>
          <t>P-00044</t>
        </is>
      </c>
      <c r="C168" t="inlineStr">
        <is>
          <t>PURCHASE</t>
        </is>
      </c>
      <c r="D168" t="inlineStr">
        <is>
          <t>Inventory purchases</t>
        </is>
      </c>
      <c r="E168" s="4" t="n">
        <v>46039</v>
      </c>
      <c r="F168" s="5" t="n">
        <v>118296.38</v>
      </c>
    </row>
    <row r="169">
      <c r="A169" t="inlineStr">
        <is>
          <t>PAY-00168</t>
        </is>
      </c>
      <c r="B169" t="inlineStr">
        <is>
          <t>P-00045</t>
        </is>
      </c>
      <c r="C169" t="inlineStr">
        <is>
          <t>PURCHASE</t>
        </is>
      </c>
      <c r="D169" t="inlineStr">
        <is>
          <t>Inventory purchases</t>
        </is>
      </c>
      <c r="E169" s="4" t="n">
        <v>46012</v>
      </c>
      <c r="F169" s="5" t="n">
        <v>13251.09</v>
      </c>
    </row>
    <row r="170">
      <c r="A170" t="inlineStr">
        <is>
          <t>PAY-00169</t>
        </is>
      </c>
      <c r="B170" t="inlineStr">
        <is>
          <t>P-00046</t>
        </is>
      </c>
      <c r="C170" t="inlineStr">
        <is>
          <t>PURCHASE</t>
        </is>
      </c>
      <c r="D170" t="inlineStr">
        <is>
          <t>Inventory purchases</t>
        </is>
      </c>
      <c r="E170" s="4" t="n">
        <v>46018</v>
      </c>
      <c r="F170" s="5" t="n">
        <v>65161.21</v>
      </c>
    </row>
    <row r="171">
      <c r="A171" t="inlineStr">
        <is>
          <t>PAY-00170</t>
        </is>
      </c>
      <c r="B171" t="inlineStr">
        <is>
          <t>P-00047</t>
        </is>
      </c>
      <c r="C171" t="inlineStr">
        <is>
          <t>PURCHASE</t>
        </is>
      </c>
      <c r="D171" t="inlineStr">
        <is>
          <t>Inventory purchases</t>
        </is>
      </c>
      <c r="E171" s="4" t="n">
        <v>46012</v>
      </c>
      <c r="F171" s="5" t="n">
        <v>62283.43</v>
      </c>
    </row>
    <row r="172">
      <c r="A172" t="inlineStr">
        <is>
          <t>PAY-00171</t>
        </is>
      </c>
      <c r="B172" t="inlineStr">
        <is>
          <t>P-00048</t>
        </is>
      </c>
      <c r="C172" t="inlineStr">
        <is>
          <t>PURCHASE</t>
        </is>
      </c>
      <c r="D172" t="inlineStr">
        <is>
          <t>Inventory purchases</t>
        </is>
      </c>
      <c r="E172" s="4" t="n">
        <v>46043</v>
      </c>
      <c r="F172" s="5" t="n">
        <v>125337.87</v>
      </c>
    </row>
    <row r="173">
      <c r="A173" t="inlineStr">
        <is>
          <t>PAY-00172</t>
        </is>
      </c>
      <c r="B173" t="inlineStr">
        <is>
          <t>P-00049</t>
        </is>
      </c>
      <c r="C173" t="inlineStr">
        <is>
          <t>PURCHASE</t>
        </is>
      </c>
      <c r="D173" t="inlineStr">
        <is>
          <t>Inventory purchases</t>
        </is>
      </c>
      <c r="E173" s="4" t="n">
        <v>46032</v>
      </c>
      <c r="F173" s="5" t="n">
        <v>31523.86</v>
      </c>
    </row>
    <row r="174">
      <c r="A174" t="inlineStr">
        <is>
          <t>PAY-00173</t>
        </is>
      </c>
      <c r="B174" t="inlineStr">
        <is>
          <t>E-00031</t>
        </is>
      </c>
      <c r="C174" t="inlineStr">
        <is>
          <t>EXPENSE</t>
        </is>
      </c>
      <c r="D174" t="inlineStr">
        <is>
          <t>Rent</t>
        </is>
      </c>
      <c r="E174" s="4" t="n">
        <v>46021</v>
      </c>
      <c r="F174" s="5" t="n">
        <v>29881.05</v>
      </c>
    </row>
    <row r="175">
      <c r="A175" t="inlineStr">
        <is>
          <t>PAY-00174</t>
        </is>
      </c>
      <c r="B175" t="inlineStr">
        <is>
          <t>E-00032</t>
        </is>
      </c>
      <c r="C175" t="inlineStr">
        <is>
          <t>EXPENSE</t>
        </is>
      </c>
      <c r="D175" t="inlineStr">
        <is>
          <t>Salaries</t>
        </is>
      </c>
      <c r="E175" s="4" t="n">
        <v>46019</v>
      </c>
      <c r="F175" s="5" t="n">
        <v>83427.7</v>
      </c>
    </row>
    <row r="176">
      <c r="A176" t="inlineStr">
        <is>
          <t>PAY-00175</t>
        </is>
      </c>
      <c r="B176" t="inlineStr">
        <is>
          <t>E-00033</t>
        </is>
      </c>
      <c r="C176" t="inlineStr">
        <is>
          <t>EXPENSE</t>
        </is>
      </c>
      <c r="D176" t="inlineStr">
        <is>
          <t>Utilities</t>
        </is>
      </c>
      <c r="E176" s="4" t="n">
        <v>46011</v>
      </c>
      <c r="F176" s="5" t="n">
        <v>7789</v>
      </c>
    </row>
    <row r="177">
      <c r="A177" t="inlineStr">
        <is>
          <t>PAY-00176</t>
        </is>
      </c>
      <c r="B177" t="inlineStr">
        <is>
          <t>E-00034</t>
        </is>
      </c>
      <c r="C177" t="inlineStr">
        <is>
          <t>EXPENSE</t>
        </is>
      </c>
      <c r="D177" t="inlineStr">
        <is>
          <t>Transport</t>
        </is>
      </c>
      <c r="E177" s="4" t="n">
        <v>46002</v>
      </c>
      <c r="F177" s="5" t="n">
        <v>4733.39</v>
      </c>
    </row>
    <row r="178">
      <c r="A178" t="inlineStr">
        <is>
          <t>PAY-00177</t>
        </is>
      </c>
      <c r="B178" t="inlineStr">
        <is>
          <t>E-00035</t>
        </is>
      </c>
      <c r="C178" t="inlineStr">
        <is>
          <t>EXPENSE</t>
        </is>
      </c>
      <c r="D178" t="inlineStr">
        <is>
          <t>Transport</t>
        </is>
      </c>
      <c r="E178" s="4" t="n">
        <v>46023</v>
      </c>
      <c r="F178" s="5" t="n">
        <v>5573.35</v>
      </c>
    </row>
    <row r="179">
      <c r="A179" t="inlineStr">
        <is>
          <t>PAY-00178</t>
        </is>
      </c>
      <c r="B179" t="inlineStr">
        <is>
          <t>E-00036</t>
        </is>
      </c>
      <c r="C179" t="inlineStr">
        <is>
          <t>EXPENSE</t>
        </is>
      </c>
      <c r="D179" t="inlineStr">
        <is>
          <t>Transport</t>
        </is>
      </c>
      <c r="E179" s="4" t="n">
        <v>46009</v>
      </c>
      <c r="F179" s="5" t="n">
        <v>7257.66</v>
      </c>
    </row>
    <row r="180">
      <c r="A180" t="inlineStr">
        <is>
          <t>PAY-00179</t>
        </is>
      </c>
      <c r="B180" t="inlineStr">
        <is>
          <t>E-00037</t>
        </is>
      </c>
      <c r="C180" t="inlineStr">
        <is>
          <t>EXPENSE</t>
        </is>
      </c>
      <c r="D180" t="inlineStr">
        <is>
          <t>Transport</t>
        </is>
      </c>
      <c r="E180" s="4" t="n">
        <v>46020</v>
      </c>
      <c r="F180" s="5" t="n">
        <v>5820.49</v>
      </c>
    </row>
    <row r="181">
      <c r="A181" t="inlineStr">
        <is>
          <t>PAY-00180</t>
        </is>
      </c>
      <c r="B181" t="inlineStr">
        <is>
          <t>E-00038</t>
        </is>
      </c>
      <c r="C181" t="inlineStr">
        <is>
          <t>EXPENSE</t>
        </is>
      </c>
      <c r="D181" t="inlineStr">
        <is>
          <t>Transport</t>
        </is>
      </c>
      <c r="E181" s="4" t="n">
        <v>46008</v>
      </c>
      <c r="F181" s="5" t="n">
        <v>4616.92</v>
      </c>
    </row>
    <row r="182">
      <c r="A182" t="inlineStr">
        <is>
          <t>PAY-00181</t>
        </is>
      </c>
      <c r="B182" t="inlineStr">
        <is>
          <t>E-00039</t>
        </is>
      </c>
      <c r="C182" t="inlineStr">
        <is>
          <t>EXPENSE</t>
        </is>
      </c>
      <c r="D182" t="inlineStr">
        <is>
          <t>Transport</t>
        </is>
      </c>
      <c r="E182" s="4" t="n">
        <v>46006</v>
      </c>
      <c r="F182" s="5" t="n">
        <v>5407.21</v>
      </c>
    </row>
    <row r="183">
      <c r="A183" t="inlineStr">
        <is>
          <t>PAY-00182</t>
        </is>
      </c>
      <c r="B183" t="inlineStr">
        <is>
          <t>E-00040</t>
        </is>
      </c>
      <c r="C183" t="inlineStr">
        <is>
          <t>EXPENSE</t>
        </is>
      </c>
      <c r="D183" t="inlineStr">
        <is>
          <t>Marketing</t>
        </is>
      </c>
      <c r="E183" s="4" t="n">
        <v>46020</v>
      </c>
      <c r="F183" s="5" t="n">
        <v>7519.63</v>
      </c>
    </row>
    <row r="184">
      <c r="A184" t="inlineStr">
        <is>
          <t>PAY-00183</t>
        </is>
      </c>
      <c r="B184" t="inlineStr">
        <is>
          <t>E-00041</t>
        </is>
      </c>
      <c r="C184" t="inlineStr">
        <is>
          <t>EXPENSE</t>
        </is>
      </c>
      <c r="D184" t="inlineStr">
        <is>
          <t>Marketing</t>
        </is>
      </c>
      <c r="E184" s="4" t="n">
        <v>46000</v>
      </c>
      <c r="F184" s="5" t="n">
        <v>11842.17</v>
      </c>
    </row>
    <row r="185">
      <c r="A185" t="inlineStr">
        <is>
          <t>PAY-00184</t>
        </is>
      </c>
      <c r="B185" t="inlineStr">
        <is>
          <t>E-00042</t>
        </is>
      </c>
      <c r="C185" t="inlineStr">
        <is>
          <t>EXPENSE</t>
        </is>
      </c>
      <c r="D185" t="inlineStr">
        <is>
          <t>Professional fees</t>
        </is>
      </c>
      <c r="E185" s="4" t="n">
        <v>46014</v>
      </c>
      <c r="F185" s="5" t="n">
        <v>16743.32</v>
      </c>
    </row>
    <row r="186">
      <c r="A186" t="inlineStr">
        <is>
          <t>PAY-00185</t>
        </is>
      </c>
      <c r="B186" t="inlineStr">
        <is>
          <t>E-00044</t>
        </is>
      </c>
      <c r="C186" t="inlineStr">
        <is>
          <t>EXPENSE</t>
        </is>
      </c>
      <c r="D186" t="inlineStr">
        <is>
          <t>Misc</t>
        </is>
      </c>
      <c r="E186" s="4" t="n">
        <v>46025</v>
      </c>
      <c r="F186" s="5" t="n">
        <v>4952.53</v>
      </c>
    </row>
    <row r="187">
      <c r="A187" t="inlineStr">
        <is>
          <t>PAY-00186</t>
        </is>
      </c>
      <c r="B187" t="inlineStr">
        <is>
          <t>E-00045</t>
        </is>
      </c>
      <c r="C187" t="inlineStr">
        <is>
          <t>EXPENSE</t>
        </is>
      </c>
      <c r="D187" t="inlineStr">
        <is>
          <t>Misc</t>
        </is>
      </c>
      <c r="E187" s="4" t="n">
        <v>46006</v>
      </c>
      <c r="F187" s="5" t="n">
        <v>1865.16</v>
      </c>
    </row>
    <row r="188">
      <c r="A188" t="inlineStr">
        <is>
          <t>PAY-00187</t>
        </is>
      </c>
      <c r="B188" t="inlineStr">
        <is>
          <t>S-00114</t>
        </is>
      </c>
      <c r="C188" t="inlineStr">
        <is>
          <t>SALES</t>
        </is>
      </c>
      <c r="D188" t="inlineStr">
        <is>
          <t>Garments</t>
        </is>
      </c>
      <c r="E188" s="4" t="n">
        <v>46067</v>
      </c>
      <c r="F188" s="5" t="n">
        <v>36272.13</v>
      </c>
    </row>
    <row r="189">
      <c r="A189" t="inlineStr">
        <is>
          <t>PAY-00188</t>
        </is>
      </c>
      <c r="B189" t="inlineStr">
        <is>
          <t>S-00115</t>
        </is>
      </c>
      <c r="C189" t="inlineStr">
        <is>
          <t>SALES</t>
        </is>
      </c>
      <c r="D189" t="inlineStr">
        <is>
          <t>Garments</t>
        </is>
      </c>
      <c r="E189" s="4" t="n">
        <v>46068</v>
      </c>
      <c r="F189" s="5" t="n">
        <v>8630.690000000001</v>
      </c>
    </row>
    <row r="190">
      <c r="A190" t="inlineStr">
        <is>
          <t>PAY-00189</t>
        </is>
      </c>
      <c r="B190" t="inlineStr">
        <is>
          <t>S-00116</t>
        </is>
      </c>
      <c r="C190" t="inlineStr">
        <is>
          <t>SALES</t>
        </is>
      </c>
      <c r="D190" t="inlineStr">
        <is>
          <t>Accessories</t>
        </is>
      </c>
      <c r="E190" s="4" t="n">
        <v>46049</v>
      </c>
      <c r="F190" s="5" t="n">
        <v>84497.49000000001</v>
      </c>
    </row>
    <row r="191">
      <c r="A191" t="inlineStr">
        <is>
          <t>PAY-00190</t>
        </is>
      </c>
      <c r="B191" t="inlineStr">
        <is>
          <t>S-00118</t>
        </is>
      </c>
      <c r="C191" t="inlineStr">
        <is>
          <t>SALES</t>
        </is>
      </c>
      <c r="D191" t="inlineStr">
        <is>
          <t>Fabrics</t>
        </is>
      </c>
      <c r="E191" s="4" t="n">
        <v>46053</v>
      </c>
      <c r="F191" s="5" t="n">
        <v>9145.25</v>
      </c>
    </row>
    <row r="192">
      <c r="A192" t="inlineStr">
        <is>
          <t>PAY-00191</t>
        </is>
      </c>
      <c r="B192" t="inlineStr">
        <is>
          <t>S-00119</t>
        </is>
      </c>
      <c r="C192" t="inlineStr">
        <is>
          <t>SALES</t>
        </is>
      </c>
      <c r="D192" t="inlineStr">
        <is>
          <t>Fabrics</t>
        </is>
      </c>
      <c r="E192" s="4" t="n">
        <v>46091</v>
      </c>
      <c r="F192" s="5" t="n">
        <v>71541.81</v>
      </c>
    </row>
    <row r="193">
      <c r="A193" t="inlineStr">
        <is>
          <t>PAY-00192</t>
        </is>
      </c>
      <c r="B193" t="inlineStr">
        <is>
          <t>S-00120</t>
        </is>
      </c>
      <c r="C193" t="inlineStr">
        <is>
          <t>SALES</t>
        </is>
      </c>
      <c r="D193" t="inlineStr">
        <is>
          <t>Garments</t>
        </is>
      </c>
      <c r="E193" s="4" t="n">
        <v>46068</v>
      </c>
      <c r="F193" s="5" t="n">
        <v>37770.16</v>
      </c>
    </row>
    <row r="194">
      <c r="A194" t="inlineStr">
        <is>
          <t>PAY-00193</t>
        </is>
      </c>
      <c r="B194" t="inlineStr">
        <is>
          <t>S-00122</t>
        </is>
      </c>
      <c r="C194" t="inlineStr">
        <is>
          <t>SALES</t>
        </is>
      </c>
      <c r="D194" t="inlineStr">
        <is>
          <t>Garments</t>
        </is>
      </c>
      <c r="E194" s="4" t="n">
        <v>46087</v>
      </c>
      <c r="F194" s="5" t="n">
        <v>89309.33</v>
      </c>
    </row>
    <row r="195">
      <c r="A195" t="inlineStr">
        <is>
          <t>PAY-00194</t>
        </is>
      </c>
      <c r="B195" t="inlineStr">
        <is>
          <t>S-00123</t>
        </is>
      </c>
      <c r="C195" t="inlineStr">
        <is>
          <t>SALES</t>
        </is>
      </c>
      <c r="D195" t="inlineStr">
        <is>
          <t>Accessories</t>
        </is>
      </c>
      <c r="E195" s="4" t="n">
        <v>46087</v>
      </c>
      <c r="F195" s="5" t="n">
        <v>72688.38</v>
      </c>
    </row>
    <row r="196">
      <c r="A196" t="inlineStr">
        <is>
          <t>PAY-00195</t>
        </is>
      </c>
      <c r="B196" t="inlineStr">
        <is>
          <t>S-00124</t>
        </is>
      </c>
      <c r="C196" t="inlineStr">
        <is>
          <t>SALES</t>
        </is>
      </c>
      <c r="D196" t="inlineStr">
        <is>
          <t>Fabrics</t>
        </is>
      </c>
      <c r="E196" s="4" t="n">
        <v>46064</v>
      </c>
      <c r="F196" s="5" t="n">
        <v>47126.12</v>
      </c>
    </row>
    <row r="197">
      <c r="A197" t="inlineStr">
        <is>
          <t>PAY-00196</t>
        </is>
      </c>
      <c r="B197" t="inlineStr">
        <is>
          <t>S-00125</t>
        </is>
      </c>
      <c r="C197" t="inlineStr">
        <is>
          <t>SALES</t>
        </is>
      </c>
      <c r="D197" t="inlineStr">
        <is>
          <t>Fabrics</t>
        </is>
      </c>
      <c r="E197" s="4" t="n">
        <v>46092</v>
      </c>
      <c r="F197" s="5" t="n">
        <v>74621.64999999999</v>
      </c>
    </row>
    <row r="198">
      <c r="A198" t="inlineStr">
        <is>
          <t>PAY-00197</t>
        </is>
      </c>
      <c r="B198" t="inlineStr">
        <is>
          <t>S-00126</t>
        </is>
      </c>
      <c r="C198" t="inlineStr">
        <is>
          <t>SALES</t>
        </is>
      </c>
      <c r="D198" t="inlineStr">
        <is>
          <t>Garments</t>
        </is>
      </c>
      <c r="E198" s="4" t="n">
        <v>46075</v>
      </c>
      <c r="F198" s="5" t="n">
        <v>85267.24000000001</v>
      </c>
    </row>
    <row r="199">
      <c r="A199" t="inlineStr">
        <is>
          <t>PAY-00198</t>
        </is>
      </c>
      <c r="B199" t="inlineStr">
        <is>
          <t>S-00127</t>
        </is>
      </c>
      <c r="C199" t="inlineStr">
        <is>
          <t>SALES</t>
        </is>
      </c>
      <c r="D199" t="inlineStr">
        <is>
          <t>Garments</t>
        </is>
      </c>
      <c r="E199" s="4" t="n">
        <v>46049</v>
      </c>
      <c r="F199" s="5" t="n">
        <v>26821.3</v>
      </c>
    </row>
    <row r="200">
      <c r="A200" t="inlineStr">
        <is>
          <t>PAY-00199</t>
        </is>
      </c>
      <c r="B200" t="inlineStr">
        <is>
          <t>S-00128</t>
        </is>
      </c>
      <c r="C200" t="inlineStr">
        <is>
          <t>SALES</t>
        </is>
      </c>
      <c r="D200" t="inlineStr">
        <is>
          <t>Garments</t>
        </is>
      </c>
      <c r="E200" s="4" t="n">
        <v>46075</v>
      </c>
      <c r="F200" s="5" t="n">
        <v>89501.59</v>
      </c>
    </row>
    <row r="201">
      <c r="A201" t="inlineStr">
        <is>
          <t>PAY-00200</t>
        </is>
      </c>
      <c r="B201" t="inlineStr">
        <is>
          <t>S-00129</t>
        </is>
      </c>
      <c r="C201" t="inlineStr">
        <is>
          <t>SALES</t>
        </is>
      </c>
      <c r="D201" t="inlineStr">
        <is>
          <t>Accessories</t>
        </is>
      </c>
      <c r="E201" s="4" t="n">
        <v>46069</v>
      </c>
      <c r="F201" s="5" t="n">
        <v>49150.47</v>
      </c>
    </row>
    <row r="202">
      <c r="A202" t="inlineStr">
        <is>
          <t>PAY-00201</t>
        </is>
      </c>
      <c r="B202" t="inlineStr">
        <is>
          <t>S-00130</t>
        </is>
      </c>
      <c r="C202" t="inlineStr">
        <is>
          <t>SALES</t>
        </is>
      </c>
      <c r="D202" t="inlineStr">
        <is>
          <t>Accessories</t>
        </is>
      </c>
      <c r="E202" s="4" t="n">
        <v>46079</v>
      </c>
      <c r="F202" s="5" t="n">
        <v>40995.6</v>
      </c>
    </row>
    <row r="203">
      <c r="A203" t="inlineStr">
        <is>
          <t>PAY-00202</t>
        </is>
      </c>
      <c r="B203" t="inlineStr">
        <is>
          <t>S-00131</t>
        </is>
      </c>
      <c r="C203" t="inlineStr">
        <is>
          <t>SALES</t>
        </is>
      </c>
      <c r="D203" t="inlineStr">
        <is>
          <t>Fabrics</t>
        </is>
      </c>
      <c r="E203" s="4" t="n">
        <v>46049</v>
      </c>
      <c r="F203" s="5" t="n">
        <v>48582.22</v>
      </c>
    </row>
    <row r="204">
      <c r="A204" t="inlineStr">
        <is>
          <t>PAY-00203</t>
        </is>
      </c>
      <c r="B204" t="inlineStr">
        <is>
          <t>S-00133</t>
        </is>
      </c>
      <c r="C204" t="inlineStr">
        <is>
          <t>SALES</t>
        </is>
      </c>
      <c r="D204" t="inlineStr">
        <is>
          <t>Garments</t>
        </is>
      </c>
      <c r="E204" s="4" t="n">
        <v>46061</v>
      </c>
      <c r="F204" s="5" t="n">
        <v>77080.86</v>
      </c>
    </row>
    <row r="205">
      <c r="A205" t="inlineStr">
        <is>
          <t>PAY-00204</t>
        </is>
      </c>
      <c r="B205" t="inlineStr">
        <is>
          <t>S-00134</t>
        </is>
      </c>
      <c r="C205" t="inlineStr">
        <is>
          <t>SALES</t>
        </is>
      </c>
      <c r="D205" t="inlineStr">
        <is>
          <t>Accessories</t>
        </is>
      </c>
      <c r="E205" s="4" t="n">
        <v>46065</v>
      </c>
      <c r="F205" s="5" t="n">
        <v>23762.23</v>
      </c>
    </row>
    <row r="206">
      <c r="A206" t="inlineStr">
        <is>
          <t>PAY-00205</t>
        </is>
      </c>
      <c r="B206" t="inlineStr">
        <is>
          <t>S-00135</t>
        </is>
      </c>
      <c r="C206" t="inlineStr">
        <is>
          <t>SALES</t>
        </is>
      </c>
      <c r="D206" t="inlineStr">
        <is>
          <t>Fabrics</t>
        </is>
      </c>
      <c r="E206" s="4" t="n">
        <v>46062</v>
      </c>
      <c r="F206" s="5" t="n">
        <v>66272.39999999999</v>
      </c>
    </row>
    <row r="207">
      <c r="A207" t="inlineStr">
        <is>
          <t>PAY-00206</t>
        </is>
      </c>
      <c r="B207" t="inlineStr">
        <is>
          <t>S-00137</t>
        </is>
      </c>
      <c r="C207" t="inlineStr">
        <is>
          <t>SALES</t>
        </is>
      </c>
      <c r="D207" t="inlineStr">
        <is>
          <t>Garments</t>
        </is>
      </c>
      <c r="E207" s="4" t="n">
        <v>46090</v>
      </c>
      <c r="F207" s="5" t="n">
        <v>34171.01</v>
      </c>
    </row>
    <row r="208">
      <c r="A208" t="inlineStr">
        <is>
          <t>PAY-00207</t>
        </is>
      </c>
      <c r="B208" t="inlineStr">
        <is>
          <t>S-00138</t>
        </is>
      </c>
      <c r="C208" t="inlineStr">
        <is>
          <t>SALES</t>
        </is>
      </c>
      <c r="D208" t="inlineStr">
        <is>
          <t>Garments</t>
        </is>
      </c>
      <c r="E208" s="4" t="n">
        <v>46068</v>
      </c>
      <c r="F208" s="5" t="n">
        <v>47486.96</v>
      </c>
    </row>
    <row r="209">
      <c r="A209" t="inlineStr">
        <is>
          <t>PAY-00208</t>
        </is>
      </c>
      <c r="B209" t="inlineStr">
        <is>
          <t>S-00139</t>
        </is>
      </c>
      <c r="C209" t="inlineStr">
        <is>
          <t>SALES</t>
        </is>
      </c>
      <c r="D209" t="inlineStr">
        <is>
          <t>Garments</t>
        </is>
      </c>
      <c r="E209" s="4" t="n">
        <v>46045</v>
      </c>
      <c r="F209" s="5" t="n">
        <v>60255.31</v>
      </c>
    </row>
    <row r="210">
      <c r="A210" t="inlineStr">
        <is>
          <t>PAY-00209</t>
        </is>
      </c>
      <c r="B210" t="inlineStr">
        <is>
          <t>S-00140</t>
        </is>
      </c>
      <c r="C210" t="inlineStr">
        <is>
          <t>SALES</t>
        </is>
      </c>
      <c r="D210" t="inlineStr">
        <is>
          <t>Fabrics</t>
        </is>
      </c>
      <c r="E210" s="4" t="n">
        <v>46106</v>
      </c>
      <c r="F210" s="5" t="n">
        <v>87557.12</v>
      </c>
    </row>
    <row r="211">
      <c r="A211" t="inlineStr">
        <is>
          <t>PAY-00210</t>
        </is>
      </c>
      <c r="B211" t="inlineStr">
        <is>
          <t>S-00141</t>
        </is>
      </c>
      <c r="C211" t="inlineStr">
        <is>
          <t>SALES</t>
        </is>
      </c>
      <c r="D211" t="inlineStr">
        <is>
          <t>Garments</t>
        </is>
      </c>
      <c r="E211" s="4" t="n">
        <v>46063</v>
      </c>
      <c r="F211" s="5" t="n">
        <v>56523.97</v>
      </c>
    </row>
    <row r="212">
      <c r="A212" t="inlineStr">
        <is>
          <t>PAY-00211</t>
        </is>
      </c>
      <c r="B212" t="inlineStr">
        <is>
          <t>S-00142</t>
        </is>
      </c>
      <c r="C212" t="inlineStr">
        <is>
          <t>SALES</t>
        </is>
      </c>
      <c r="D212" t="inlineStr">
        <is>
          <t>Garments</t>
        </is>
      </c>
      <c r="E212" s="4" t="n">
        <v>46069</v>
      </c>
      <c r="F212" s="5" t="n">
        <v>33424.93</v>
      </c>
    </row>
    <row r="213">
      <c r="A213" t="inlineStr">
        <is>
          <t>PAY-00212</t>
        </is>
      </c>
      <c r="B213" t="inlineStr">
        <is>
          <t>S-00143</t>
        </is>
      </c>
      <c r="C213" t="inlineStr">
        <is>
          <t>SALES</t>
        </is>
      </c>
      <c r="D213" t="inlineStr">
        <is>
          <t>Fabrics</t>
        </is>
      </c>
      <c r="E213" s="4" t="n">
        <v>46077</v>
      </c>
      <c r="F213" s="5" t="n">
        <v>20419.33</v>
      </c>
    </row>
    <row r="214">
      <c r="A214" t="inlineStr">
        <is>
          <t>PAY-00213</t>
        </is>
      </c>
      <c r="B214" t="inlineStr">
        <is>
          <t>S-00144</t>
        </is>
      </c>
      <c r="C214" t="inlineStr">
        <is>
          <t>SALES</t>
        </is>
      </c>
      <c r="D214" t="inlineStr">
        <is>
          <t>Garments</t>
        </is>
      </c>
      <c r="E214" s="4" t="n">
        <v>46069</v>
      </c>
      <c r="F214" s="5" t="n">
        <v>20987.61</v>
      </c>
    </row>
    <row r="215">
      <c r="A215" t="inlineStr">
        <is>
          <t>PAY-00214</t>
        </is>
      </c>
      <c r="B215" t="inlineStr">
        <is>
          <t>S-00145</t>
        </is>
      </c>
      <c r="C215" t="inlineStr">
        <is>
          <t>SALES</t>
        </is>
      </c>
      <c r="D215" t="inlineStr">
        <is>
          <t>Fabrics</t>
        </is>
      </c>
      <c r="E215" s="4" t="n">
        <v>46053</v>
      </c>
      <c r="F215" s="5" t="n">
        <v>32122.61</v>
      </c>
    </row>
    <row r="216">
      <c r="A216" t="inlineStr">
        <is>
          <t>PAY-00215</t>
        </is>
      </c>
      <c r="B216" t="inlineStr">
        <is>
          <t>S-00147</t>
        </is>
      </c>
      <c r="C216" t="inlineStr">
        <is>
          <t>SALES</t>
        </is>
      </c>
      <c r="D216" t="inlineStr">
        <is>
          <t>Fabrics</t>
        </is>
      </c>
      <c r="E216" s="4" t="n">
        <v>46095</v>
      </c>
      <c r="F216" s="5" t="n">
        <v>79767.42999999999</v>
      </c>
    </row>
    <row r="217">
      <c r="A217" t="inlineStr">
        <is>
          <t>PAY-00216</t>
        </is>
      </c>
      <c r="B217" t="inlineStr">
        <is>
          <t>S-00148</t>
        </is>
      </c>
      <c r="C217" t="inlineStr">
        <is>
          <t>SALES</t>
        </is>
      </c>
      <c r="D217" t="inlineStr">
        <is>
          <t>Fabrics</t>
        </is>
      </c>
      <c r="E217" s="4" t="n">
        <v>46067</v>
      </c>
      <c r="F217" s="5" t="n">
        <v>92698.91</v>
      </c>
    </row>
    <row r="218">
      <c r="A218" t="inlineStr">
        <is>
          <t>PAY-00217</t>
        </is>
      </c>
      <c r="B218" t="inlineStr">
        <is>
          <t>S-00149</t>
        </is>
      </c>
      <c r="C218" t="inlineStr">
        <is>
          <t>SALES</t>
        </is>
      </c>
      <c r="D218" t="inlineStr">
        <is>
          <t>Garments</t>
        </is>
      </c>
      <c r="E218" s="4" t="n">
        <v>46065</v>
      </c>
      <c r="F218" s="5" t="n">
        <v>45098.5</v>
      </c>
    </row>
    <row r="219">
      <c r="A219" t="inlineStr">
        <is>
          <t>PAY-00218</t>
        </is>
      </c>
      <c r="B219" t="inlineStr">
        <is>
          <t>P-00051</t>
        </is>
      </c>
      <c r="C219" t="inlineStr">
        <is>
          <t>PURCHASE</t>
        </is>
      </c>
      <c r="D219" t="inlineStr">
        <is>
          <t>Inventory purchases</t>
        </is>
      </c>
      <c r="E219" s="4" t="n">
        <v>46039</v>
      </c>
      <c r="F219" s="5" t="n">
        <v>93691.64999999999</v>
      </c>
    </row>
    <row r="220">
      <c r="A220" t="inlineStr">
        <is>
          <t>PAY-00219</t>
        </is>
      </c>
      <c r="B220" t="inlineStr">
        <is>
          <t>P-00052</t>
        </is>
      </c>
      <c r="C220" t="inlineStr">
        <is>
          <t>PURCHASE</t>
        </is>
      </c>
      <c r="D220" t="inlineStr">
        <is>
          <t>Inventory purchases</t>
        </is>
      </c>
      <c r="E220" s="4" t="n">
        <v>46072</v>
      </c>
      <c r="F220" s="5" t="n">
        <v>83246.22</v>
      </c>
    </row>
    <row r="221">
      <c r="A221" t="inlineStr">
        <is>
          <t>PAY-00220</t>
        </is>
      </c>
      <c r="B221" t="inlineStr">
        <is>
          <t>P-00053</t>
        </is>
      </c>
      <c r="C221" t="inlineStr">
        <is>
          <t>PURCHASE</t>
        </is>
      </c>
      <c r="D221" t="inlineStr">
        <is>
          <t>Inventory purchases</t>
        </is>
      </c>
      <c r="E221" s="4" t="n">
        <v>46065</v>
      </c>
      <c r="F221" s="5" t="n">
        <v>122784.12</v>
      </c>
    </row>
    <row r="222">
      <c r="A222" t="inlineStr">
        <is>
          <t>PAY-00221</t>
        </is>
      </c>
      <c r="B222" t="inlineStr">
        <is>
          <t>P-00054</t>
        </is>
      </c>
      <c r="C222" t="inlineStr">
        <is>
          <t>PURCHASE</t>
        </is>
      </c>
      <c r="D222" t="inlineStr">
        <is>
          <t>Inventory purchases</t>
        </is>
      </c>
      <c r="E222" s="4" t="n">
        <v>46054</v>
      </c>
      <c r="F222" s="5" t="n">
        <v>84334.87</v>
      </c>
    </row>
    <row r="223">
      <c r="A223" t="inlineStr">
        <is>
          <t>PAY-00222</t>
        </is>
      </c>
      <c r="B223" t="inlineStr">
        <is>
          <t>P-00055</t>
        </is>
      </c>
      <c r="C223" t="inlineStr">
        <is>
          <t>PURCHASE</t>
        </is>
      </c>
      <c r="D223" t="inlineStr">
        <is>
          <t>Inventory purchases</t>
        </is>
      </c>
      <c r="E223" s="4" t="n">
        <v>46034</v>
      </c>
      <c r="F223" s="5" t="n">
        <v>18207.35</v>
      </c>
    </row>
    <row r="224">
      <c r="A224" t="inlineStr">
        <is>
          <t>PAY-00223</t>
        </is>
      </c>
      <c r="B224" t="inlineStr">
        <is>
          <t>P-00056</t>
        </is>
      </c>
      <c r="C224" t="inlineStr">
        <is>
          <t>PURCHASE</t>
        </is>
      </c>
      <c r="D224" t="inlineStr">
        <is>
          <t>Inventory purchases</t>
        </is>
      </c>
      <c r="E224" s="4" t="n">
        <v>46047</v>
      </c>
      <c r="F224" s="5" t="n">
        <v>57637.45</v>
      </c>
    </row>
    <row r="225">
      <c r="A225" t="inlineStr">
        <is>
          <t>PAY-00224</t>
        </is>
      </c>
      <c r="B225" t="inlineStr">
        <is>
          <t>P-00057</t>
        </is>
      </c>
      <c r="C225" t="inlineStr">
        <is>
          <t>PURCHASE</t>
        </is>
      </c>
      <c r="D225" t="inlineStr">
        <is>
          <t>Inventory purchases</t>
        </is>
      </c>
      <c r="E225" s="4" t="n">
        <v>46039</v>
      </c>
      <c r="F225" s="5" t="n">
        <v>94035.72</v>
      </c>
    </row>
    <row r="226">
      <c r="A226" t="inlineStr">
        <is>
          <t>PAY-00225</t>
        </is>
      </c>
      <c r="B226" t="inlineStr">
        <is>
          <t>P-00059</t>
        </is>
      </c>
      <c r="C226" t="inlineStr">
        <is>
          <t>PURCHASE</t>
        </is>
      </c>
      <c r="D226" t="inlineStr">
        <is>
          <t>Inventory purchases</t>
        </is>
      </c>
      <c r="E226" s="4" t="n">
        <v>46068</v>
      </c>
      <c r="F226" s="5" t="n">
        <v>119584.74</v>
      </c>
    </row>
    <row r="227">
      <c r="A227" t="inlineStr">
        <is>
          <t>PAY-00226</t>
        </is>
      </c>
      <c r="B227" t="inlineStr">
        <is>
          <t>P-00060</t>
        </is>
      </c>
      <c r="C227" t="inlineStr">
        <is>
          <t>PURCHASE</t>
        </is>
      </c>
      <c r="D227" t="inlineStr">
        <is>
          <t>Inventory purchases</t>
        </is>
      </c>
      <c r="E227" s="4" t="n">
        <v>46072</v>
      </c>
      <c r="F227" s="5" t="n">
        <v>42597.31</v>
      </c>
    </row>
    <row r="228">
      <c r="A228" t="inlineStr">
        <is>
          <t>PAY-00227</t>
        </is>
      </c>
      <c r="B228" t="inlineStr">
        <is>
          <t>P-00061</t>
        </is>
      </c>
      <c r="C228" t="inlineStr">
        <is>
          <t>PURCHASE</t>
        </is>
      </c>
      <c r="D228" t="inlineStr">
        <is>
          <t>Inventory purchases</t>
        </is>
      </c>
      <c r="E228" s="4" t="n">
        <v>46049</v>
      </c>
      <c r="F228" s="5" t="n">
        <v>35681.9</v>
      </c>
    </row>
    <row r="229">
      <c r="A229" t="inlineStr">
        <is>
          <t>PAY-00228</t>
        </is>
      </c>
      <c r="B229" t="inlineStr">
        <is>
          <t>P-00062</t>
        </is>
      </c>
      <c r="C229" t="inlineStr">
        <is>
          <t>PURCHASE</t>
        </is>
      </c>
      <c r="D229" t="inlineStr">
        <is>
          <t>Inventory purchases</t>
        </is>
      </c>
      <c r="E229" s="4" t="n">
        <v>46057</v>
      </c>
      <c r="F229" s="5" t="n">
        <v>105501.89</v>
      </c>
    </row>
    <row r="230">
      <c r="A230" t="inlineStr">
        <is>
          <t>PAY-00229</t>
        </is>
      </c>
      <c r="B230" t="inlineStr">
        <is>
          <t>P-00064</t>
        </is>
      </c>
      <c r="C230" t="inlineStr">
        <is>
          <t>PURCHASE</t>
        </is>
      </c>
      <c r="D230" t="inlineStr">
        <is>
          <t>Inventory purchases</t>
        </is>
      </c>
      <c r="E230" s="4" t="n">
        <v>46053</v>
      </c>
      <c r="F230" s="5" t="n">
        <v>97197.46000000001</v>
      </c>
    </row>
    <row r="231">
      <c r="A231" t="inlineStr">
        <is>
          <t>PAY-00230</t>
        </is>
      </c>
      <c r="B231" t="inlineStr">
        <is>
          <t>P-00065</t>
        </is>
      </c>
      <c r="C231" t="inlineStr">
        <is>
          <t>PURCHASE</t>
        </is>
      </c>
      <c r="D231" t="inlineStr">
        <is>
          <t>Inventory purchases</t>
        </is>
      </c>
      <c r="E231" s="4" t="n">
        <v>46060</v>
      </c>
      <c r="F231" s="5" t="n">
        <v>27325.9</v>
      </c>
    </row>
    <row r="232">
      <c r="A232" t="inlineStr">
        <is>
          <t>PAY-00231</t>
        </is>
      </c>
      <c r="B232" t="inlineStr">
        <is>
          <t>P-00067</t>
        </is>
      </c>
      <c r="C232" t="inlineStr">
        <is>
          <t>PURCHASE</t>
        </is>
      </c>
      <c r="D232" t="inlineStr">
        <is>
          <t>Inventory purchases</t>
        </is>
      </c>
      <c r="E232" s="4" t="n">
        <v>46063</v>
      </c>
      <c r="F232" s="5" t="n">
        <v>102223.19</v>
      </c>
    </row>
    <row r="233">
      <c r="A233" t="inlineStr">
        <is>
          <t>PAY-00232</t>
        </is>
      </c>
      <c r="B233" t="inlineStr">
        <is>
          <t>P-00068</t>
        </is>
      </c>
      <c r="C233" t="inlineStr">
        <is>
          <t>PURCHASE</t>
        </is>
      </c>
      <c r="D233" t="inlineStr">
        <is>
          <t>Inventory purchases</t>
        </is>
      </c>
      <c r="E233" s="4" t="n">
        <v>46035</v>
      </c>
      <c r="F233" s="5" t="n">
        <v>30114.99</v>
      </c>
    </row>
    <row r="234">
      <c r="A234" t="inlineStr">
        <is>
          <t>PAY-00233</t>
        </is>
      </c>
      <c r="B234" t="inlineStr">
        <is>
          <t>E-00046</t>
        </is>
      </c>
      <c r="C234" t="inlineStr">
        <is>
          <t>EXPENSE</t>
        </is>
      </c>
      <c r="D234" t="inlineStr">
        <is>
          <t>Rent</t>
        </is>
      </c>
      <c r="E234" s="4" t="n">
        <v>46032</v>
      </c>
      <c r="F234" s="5" t="n">
        <v>30004.62</v>
      </c>
    </row>
    <row r="235">
      <c r="A235" t="inlineStr">
        <is>
          <t>PAY-00234</t>
        </is>
      </c>
      <c r="B235" t="inlineStr">
        <is>
          <t>E-00047</t>
        </is>
      </c>
      <c r="C235" t="inlineStr">
        <is>
          <t>EXPENSE</t>
        </is>
      </c>
      <c r="D235" t="inlineStr">
        <is>
          <t>Salaries</t>
        </is>
      </c>
      <c r="E235" s="4" t="n">
        <v>46043</v>
      </c>
      <c r="F235" s="5" t="n">
        <v>84602.38</v>
      </c>
    </row>
    <row r="236">
      <c r="A236" t="inlineStr">
        <is>
          <t>PAY-00235</t>
        </is>
      </c>
      <c r="B236" t="inlineStr">
        <is>
          <t>E-00048</t>
        </is>
      </c>
      <c r="C236" t="inlineStr">
        <is>
          <t>EXPENSE</t>
        </is>
      </c>
      <c r="D236" t="inlineStr">
        <is>
          <t>Utilities</t>
        </is>
      </c>
      <c r="E236" s="4" t="n">
        <v>46035</v>
      </c>
      <c r="F236" s="5" t="n">
        <v>7536.27</v>
      </c>
    </row>
    <row r="237">
      <c r="A237" t="inlineStr">
        <is>
          <t>PAY-00236</t>
        </is>
      </c>
      <c r="B237" t="inlineStr">
        <is>
          <t>E-00049</t>
        </is>
      </c>
      <c r="C237" t="inlineStr">
        <is>
          <t>EXPENSE</t>
        </is>
      </c>
      <c r="D237" t="inlineStr">
        <is>
          <t>Transport</t>
        </is>
      </c>
      <c r="E237" s="4" t="n">
        <v>46054</v>
      </c>
      <c r="F237" s="5" t="n">
        <v>1979.98</v>
      </c>
    </row>
    <row r="238">
      <c r="A238" t="inlineStr">
        <is>
          <t>PAY-00237</t>
        </is>
      </c>
      <c r="B238" t="inlineStr">
        <is>
          <t>E-00050</t>
        </is>
      </c>
      <c r="C238" t="inlineStr">
        <is>
          <t>EXPENSE</t>
        </is>
      </c>
      <c r="D238" t="inlineStr">
        <is>
          <t>Transport</t>
        </is>
      </c>
      <c r="E238" s="4" t="n">
        <v>46036</v>
      </c>
      <c r="F238" s="5" t="n">
        <v>1741.36</v>
      </c>
    </row>
    <row r="239">
      <c r="A239" t="inlineStr">
        <is>
          <t>PAY-00238</t>
        </is>
      </c>
      <c r="B239" t="inlineStr">
        <is>
          <t>E-00051</t>
        </is>
      </c>
      <c r="C239" t="inlineStr">
        <is>
          <t>EXPENSE</t>
        </is>
      </c>
      <c r="D239" t="inlineStr">
        <is>
          <t>Transport</t>
        </is>
      </c>
      <c r="E239" s="4" t="n">
        <v>46044</v>
      </c>
      <c r="F239" s="5" t="n">
        <v>6711.04</v>
      </c>
    </row>
    <row r="240">
      <c r="A240" t="inlineStr">
        <is>
          <t>PAY-00239</t>
        </is>
      </c>
      <c r="B240" t="inlineStr">
        <is>
          <t>E-00052</t>
        </is>
      </c>
      <c r="C240" t="inlineStr">
        <is>
          <t>EXPENSE</t>
        </is>
      </c>
      <c r="D240" t="inlineStr">
        <is>
          <t>Transport</t>
        </is>
      </c>
      <c r="E240" s="4" t="n">
        <v>46040</v>
      </c>
      <c r="F240" s="5" t="n">
        <v>1490.96</v>
      </c>
    </row>
    <row r="241">
      <c r="A241" t="inlineStr">
        <is>
          <t>PAY-00240</t>
        </is>
      </c>
      <c r="B241" t="inlineStr">
        <is>
          <t>E-00053</t>
        </is>
      </c>
      <c r="C241" t="inlineStr">
        <is>
          <t>EXPENSE</t>
        </is>
      </c>
      <c r="D241" t="inlineStr">
        <is>
          <t>Transport</t>
        </is>
      </c>
      <c r="E241" s="4" t="n">
        <v>46029</v>
      </c>
      <c r="F241" s="5" t="n">
        <v>3342.7</v>
      </c>
    </row>
    <row r="242">
      <c r="A242" t="inlineStr">
        <is>
          <t>PAY-00241</t>
        </is>
      </c>
      <c r="B242" t="inlineStr">
        <is>
          <t>E-00055</t>
        </is>
      </c>
      <c r="C242" t="inlineStr">
        <is>
          <t>EXPENSE</t>
        </is>
      </c>
      <c r="D242" t="inlineStr">
        <is>
          <t>Marketing</t>
        </is>
      </c>
      <c r="E242" s="4" t="n">
        <v>46042</v>
      </c>
      <c r="F242" s="5" t="n">
        <v>16733.52</v>
      </c>
    </row>
    <row r="243">
      <c r="A243" t="inlineStr">
        <is>
          <t>PAY-00242</t>
        </is>
      </c>
      <c r="B243" t="inlineStr">
        <is>
          <t>E-00056</t>
        </is>
      </c>
      <c r="C243" t="inlineStr">
        <is>
          <t>EXPENSE</t>
        </is>
      </c>
      <c r="D243" t="inlineStr">
        <is>
          <t>Marketing</t>
        </is>
      </c>
      <c r="E243" s="4" t="n">
        <v>46054</v>
      </c>
      <c r="F243" s="5" t="n">
        <v>7256.24</v>
      </c>
    </row>
    <row r="244">
      <c r="A244" t="inlineStr">
        <is>
          <t>PAY-00243</t>
        </is>
      </c>
      <c r="B244" t="inlineStr">
        <is>
          <t>E-00057</t>
        </is>
      </c>
      <c r="C244" t="inlineStr">
        <is>
          <t>EXPENSE</t>
        </is>
      </c>
      <c r="D244" t="inlineStr">
        <is>
          <t>Professional fees</t>
        </is>
      </c>
      <c r="E244" s="4" t="n">
        <v>46039</v>
      </c>
      <c r="F244" s="5" t="n">
        <v>15974.12</v>
      </c>
    </row>
    <row r="245">
      <c r="A245" t="inlineStr">
        <is>
          <t>PAY-00244</t>
        </is>
      </c>
      <c r="B245" t="inlineStr">
        <is>
          <t>E-00058</t>
        </is>
      </c>
      <c r="C245" t="inlineStr">
        <is>
          <t>EXPENSE</t>
        </is>
      </c>
      <c r="D245" t="inlineStr">
        <is>
          <t>Misc</t>
        </is>
      </c>
      <c r="E245" s="4" t="n">
        <v>46031</v>
      </c>
      <c r="F245" s="5" t="n">
        <v>2638.73</v>
      </c>
    </row>
    <row r="246">
      <c r="A246" t="inlineStr">
        <is>
          <t>PAY-00245</t>
        </is>
      </c>
      <c r="B246" t="inlineStr">
        <is>
          <t>E-00059</t>
        </is>
      </c>
      <c r="C246" t="inlineStr">
        <is>
          <t>EXPENSE</t>
        </is>
      </c>
      <c r="D246" t="inlineStr">
        <is>
          <t>Misc</t>
        </is>
      </c>
      <c r="E246" s="4" t="n">
        <v>46054</v>
      </c>
      <c r="F246" s="5" t="n">
        <v>5823.49</v>
      </c>
    </row>
    <row r="247">
      <c r="A247" t="inlineStr">
        <is>
          <t>PAY-00246</t>
        </is>
      </c>
      <c r="B247" t="inlineStr">
        <is>
          <t>E-00060</t>
        </is>
      </c>
      <c r="C247" t="inlineStr">
        <is>
          <t>EXPENSE</t>
        </is>
      </c>
      <c r="D247" t="inlineStr">
        <is>
          <t>Misc</t>
        </is>
      </c>
      <c r="E247" s="4" t="n">
        <v>46058</v>
      </c>
      <c r="F247" s="5" t="n">
        <v>1208.76</v>
      </c>
    </row>
    <row r="248">
      <c r="A248" t="inlineStr">
        <is>
          <t>PAY-00247</t>
        </is>
      </c>
      <c r="B248" t="inlineStr">
        <is>
          <t>S-00150</t>
        </is>
      </c>
      <c r="C248" t="inlineStr">
        <is>
          <t>SALES</t>
        </is>
      </c>
      <c r="D248" t="inlineStr">
        <is>
          <t>Garments</t>
        </is>
      </c>
      <c r="E248" s="4" t="n">
        <v>46097</v>
      </c>
      <c r="F248" s="5" t="n">
        <v>78155.21000000001</v>
      </c>
    </row>
    <row r="249">
      <c r="A249" t="inlineStr">
        <is>
          <t>PAY-00248</t>
        </is>
      </c>
      <c r="B249" t="inlineStr">
        <is>
          <t>S-00151</t>
        </is>
      </c>
      <c r="C249" t="inlineStr">
        <is>
          <t>SALES</t>
        </is>
      </c>
      <c r="D249" t="inlineStr">
        <is>
          <t>Fabrics</t>
        </is>
      </c>
      <c r="E249" s="4" t="n">
        <v>46074</v>
      </c>
      <c r="F249" s="5" t="n">
        <v>20064.38</v>
      </c>
    </row>
    <row r="250">
      <c r="A250" t="inlineStr">
        <is>
          <t>PAY-00249</t>
        </is>
      </c>
      <c r="B250" t="inlineStr">
        <is>
          <t>S-00152</t>
        </is>
      </c>
      <c r="C250" t="inlineStr">
        <is>
          <t>SALES</t>
        </is>
      </c>
      <c r="D250" t="inlineStr">
        <is>
          <t>Fabrics</t>
        </is>
      </c>
      <c r="E250" s="4" t="n">
        <v>46121</v>
      </c>
      <c r="F250" s="5" t="n">
        <v>50473.92</v>
      </c>
    </row>
    <row r="251">
      <c r="A251" t="inlineStr">
        <is>
          <t>PAY-00250</t>
        </is>
      </c>
      <c r="B251" t="inlineStr">
        <is>
          <t>S-00153</t>
        </is>
      </c>
      <c r="C251" t="inlineStr">
        <is>
          <t>SALES</t>
        </is>
      </c>
      <c r="D251" t="inlineStr">
        <is>
          <t>Garments</t>
        </is>
      </c>
      <c r="E251" s="4" t="n">
        <v>46105</v>
      </c>
      <c r="F251" s="5" t="n">
        <v>34316.49</v>
      </c>
    </row>
    <row r="252">
      <c r="A252" t="inlineStr">
        <is>
          <t>PAY-00251</t>
        </is>
      </c>
      <c r="B252" t="inlineStr">
        <is>
          <t>S-00154</t>
        </is>
      </c>
      <c r="C252" t="inlineStr">
        <is>
          <t>SALES</t>
        </is>
      </c>
      <c r="D252" t="inlineStr">
        <is>
          <t>Garments</t>
        </is>
      </c>
      <c r="E252" s="4" t="n">
        <v>46113</v>
      </c>
      <c r="F252" s="5" t="n">
        <v>98507.28999999999</v>
      </c>
    </row>
    <row r="253">
      <c r="A253" t="inlineStr">
        <is>
          <t>PAY-00252</t>
        </is>
      </c>
      <c r="B253" t="inlineStr">
        <is>
          <t>S-00155</t>
        </is>
      </c>
      <c r="C253" t="inlineStr">
        <is>
          <t>SALES</t>
        </is>
      </c>
      <c r="D253" t="inlineStr">
        <is>
          <t>Fabrics</t>
        </is>
      </c>
      <c r="E253" s="4" t="n">
        <v>46096</v>
      </c>
      <c r="F253" s="5" t="n">
        <v>96823.39999999999</v>
      </c>
    </row>
    <row r="254">
      <c r="A254" t="inlineStr">
        <is>
          <t>PAY-00253</t>
        </is>
      </c>
      <c r="B254" t="inlineStr">
        <is>
          <t>S-00156</t>
        </is>
      </c>
      <c r="C254" t="inlineStr">
        <is>
          <t>SALES</t>
        </is>
      </c>
      <c r="D254" t="inlineStr">
        <is>
          <t>Fabrics</t>
        </is>
      </c>
      <c r="E254" s="4" t="n">
        <v>46135</v>
      </c>
      <c r="F254" s="5" t="n">
        <v>78303.37</v>
      </c>
    </row>
    <row r="255">
      <c r="A255" t="inlineStr">
        <is>
          <t>PAY-00254</t>
        </is>
      </c>
      <c r="B255" t="inlineStr">
        <is>
          <t>S-00158</t>
        </is>
      </c>
      <c r="C255" t="inlineStr">
        <is>
          <t>SALES</t>
        </is>
      </c>
      <c r="D255" t="inlineStr">
        <is>
          <t>Garments</t>
        </is>
      </c>
      <c r="E255" s="4" t="n">
        <v>46077</v>
      </c>
      <c r="F255" s="5" t="n">
        <v>29571.15</v>
      </c>
    </row>
    <row r="256">
      <c r="A256" t="inlineStr">
        <is>
          <t>PAY-00255</t>
        </is>
      </c>
      <c r="B256" t="inlineStr">
        <is>
          <t>S-00159</t>
        </is>
      </c>
      <c r="C256" t="inlineStr">
        <is>
          <t>SALES</t>
        </is>
      </c>
      <c r="D256" t="inlineStr">
        <is>
          <t>Garments</t>
        </is>
      </c>
      <c r="E256" s="4" t="n">
        <v>46081</v>
      </c>
      <c r="F256" s="5" t="n">
        <v>22195.73</v>
      </c>
    </row>
    <row r="257">
      <c r="A257" t="inlineStr">
        <is>
          <t>PAY-00256</t>
        </is>
      </c>
      <c r="B257" t="inlineStr">
        <is>
          <t>S-00160</t>
        </is>
      </c>
      <c r="C257" t="inlineStr">
        <is>
          <t>SALES</t>
        </is>
      </c>
      <c r="D257" t="inlineStr">
        <is>
          <t>Fabrics</t>
        </is>
      </c>
      <c r="E257" s="4" t="n">
        <v>46115</v>
      </c>
      <c r="F257" s="5" t="n">
        <v>71351.06</v>
      </c>
    </row>
    <row r="258">
      <c r="A258" t="inlineStr">
        <is>
          <t>PAY-00257</t>
        </is>
      </c>
      <c r="B258" t="inlineStr">
        <is>
          <t>S-00161</t>
        </is>
      </c>
      <c r="C258" t="inlineStr">
        <is>
          <t>SALES</t>
        </is>
      </c>
      <c r="D258" t="inlineStr">
        <is>
          <t>Fabrics</t>
        </is>
      </c>
      <c r="E258" s="4" t="n">
        <v>46104</v>
      </c>
      <c r="F258" s="5" t="n">
        <v>54584.33</v>
      </c>
    </row>
    <row r="259">
      <c r="A259" t="inlineStr">
        <is>
          <t>PAY-00258</t>
        </is>
      </c>
      <c r="B259" t="inlineStr">
        <is>
          <t>S-00163</t>
        </is>
      </c>
      <c r="C259" t="inlineStr">
        <is>
          <t>SALES</t>
        </is>
      </c>
      <c r="D259" t="inlineStr">
        <is>
          <t>Fabrics</t>
        </is>
      </c>
      <c r="E259" s="4" t="n">
        <v>46128</v>
      </c>
      <c r="F259" s="5" t="n">
        <v>16753.46</v>
      </c>
    </row>
    <row r="260">
      <c r="A260" t="inlineStr">
        <is>
          <t>PAY-00259</t>
        </is>
      </c>
      <c r="B260" t="inlineStr">
        <is>
          <t>S-00164</t>
        </is>
      </c>
      <c r="C260" t="inlineStr">
        <is>
          <t>SALES</t>
        </is>
      </c>
      <c r="D260" t="inlineStr">
        <is>
          <t>Garments</t>
        </is>
      </c>
      <c r="E260" s="4" t="n">
        <v>46081</v>
      </c>
      <c r="F260" s="5" t="n">
        <v>71326.28</v>
      </c>
    </row>
    <row r="261">
      <c r="A261" t="inlineStr">
        <is>
          <t>PAY-00260</t>
        </is>
      </c>
      <c r="B261" t="inlineStr">
        <is>
          <t>S-00166</t>
        </is>
      </c>
      <c r="C261" t="inlineStr">
        <is>
          <t>SALES</t>
        </is>
      </c>
      <c r="D261" t="inlineStr">
        <is>
          <t>Fabrics</t>
        </is>
      </c>
      <c r="E261" s="4" t="n">
        <v>46102</v>
      </c>
      <c r="F261" s="5" t="n">
        <v>98059.86</v>
      </c>
    </row>
    <row r="262">
      <c r="A262" t="inlineStr">
        <is>
          <t>PAY-00261</t>
        </is>
      </c>
      <c r="B262" t="inlineStr">
        <is>
          <t>S-00167</t>
        </is>
      </c>
      <c r="C262" t="inlineStr">
        <is>
          <t>SALES</t>
        </is>
      </c>
      <c r="D262" t="inlineStr">
        <is>
          <t>Fabrics</t>
        </is>
      </c>
      <c r="E262" s="4" t="n">
        <v>46098</v>
      </c>
      <c r="F262" s="5" t="n">
        <v>12369.42</v>
      </c>
    </row>
    <row r="263">
      <c r="A263" t="inlineStr">
        <is>
          <t>PAY-00262</t>
        </is>
      </c>
      <c r="B263" t="inlineStr">
        <is>
          <t>S-00168</t>
        </is>
      </c>
      <c r="C263" t="inlineStr">
        <is>
          <t>SALES</t>
        </is>
      </c>
      <c r="D263" t="inlineStr">
        <is>
          <t>Fabrics</t>
        </is>
      </c>
      <c r="E263" s="4" t="n">
        <v>46136</v>
      </c>
      <c r="F263" s="5" t="n">
        <v>84175.55</v>
      </c>
    </row>
    <row r="264">
      <c r="A264" t="inlineStr">
        <is>
          <t>PAY-00263</t>
        </is>
      </c>
      <c r="B264" t="inlineStr">
        <is>
          <t>S-00169</t>
        </is>
      </c>
      <c r="C264" t="inlineStr">
        <is>
          <t>SALES</t>
        </is>
      </c>
      <c r="D264" t="inlineStr">
        <is>
          <t>Garments</t>
        </is>
      </c>
      <c r="E264" s="4" t="n">
        <v>46083</v>
      </c>
      <c r="F264" s="5" t="n">
        <v>35645.58</v>
      </c>
    </row>
    <row r="265">
      <c r="A265" t="inlineStr">
        <is>
          <t>PAY-00264</t>
        </is>
      </c>
      <c r="B265" t="inlineStr">
        <is>
          <t>S-00170</t>
        </is>
      </c>
      <c r="C265" t="inlineStr">
        <is>
          <t>SALES</t>
        </is>
      </c>
      <c r="D265" t="inlineStr">
        <is>
          <t>Garments</t>
        </is>
      </c>
      <c r="E265" s="4" t="n">
        <v>46081</v>
      </c>
      <c r="F265" s="5" t="n">
        <v>87999.08</v>
      </c>
    </row>
    <row r="266">
      <c r="A266" t="inlineStr">
        <is>
          <t>PAY-00265</t>
        </is>
      </c>
      <c r="B266" t="inlineStr">
        <is>
          <t>S-00172</t>
        </is>
      </c>
      <c r="C266" t="inlineStr">
        <is>
          <t>SALES</t>
        </is>
      </c>
      <c r="D266" t="inlineStr">
        <is>
          <t>Garments</t>
        </is>
      </c>
      <c r="E266" s="4" t="n">
        <v>46110</v>
      </c>
      <c r="F266" s="5" t="n">
        <v>26472.49</v>
      </c>
    </row>
    <row r="267">
      <c r="A267" t="inlineStr">
        <is>
          <t>PAY-00266</t>
        </is>
      </c>
      <c r="B267" t="inlineStr">
        <is>
          <t>S-00173</t>
        </is>
      </c>
      <c r="C267" t="inlineStr">
        <is>
          <t>SALES</t>
        </is>
      </c>
      <c r="D267" t="inlineStr">
        <is>
          <t>Fabrics</t>
        </is>
      </c>
      <c r="E267" s="4" t="n">
        <v>46093</v>
      </c>
      <c r="F267" s="5" t="n">
        <v>59777</v>
      </c>
    </row>
    <row r="268">
      <c r="A268" t="inlineStr">
        <is>
          <t>PAY-00267</t>
        </is>
      </c>
      <c r="B268" t="inlineStr">
        <is>
          <t>S-00174</t>
        </is>
      </c>
      <c r="C268" t="inlineStr">
        <is>
          <t>SALES</t>
        </is>
      </c>
      <c r="D268" t="inlineStr">
        <is>
          <t>Garments</t>
        </is>
      </c>
      <c r="E268" s="4" t="n">
        <v>46130</v>
      </c>
      <c r="F268" s="5" t="n">
        <v>90876.61</v>
      </c>
    </row>
    <row r="269">
      <c r="A269" t="inlineStr">
        <is>
          <t>PAY-00268</t>
        </is>
      </c>
      <c r="B269" t="inlineStr">
        <is>
          <t>S-00175</t>
        </is>
      </c>
      <c r="C269" t="inlineStr">
        <is>
          <t>SALES</t>
        </is>
      </c>
      <c r="D269" t="inlineStr">
        <is>
          <t>Accessories</t>
        </is>
      </c>
      <c r="E269" s="4" t="n">
        <v>46096</v>
      </c>
      <c r="F269" s="5" t="n">
        <v>38131.76</v>
      </c>
    </row>
    <row r="270">
      <c r="A270" t="inlineStr">
        <is>
          <t>PAY-00269</t>
        </is>
      </c>
      <c r="B270" t="inlineStr">
        <is>
          <t>S-00176</t>
        </is>
      </c>
      <c r="C270" t="inlineStr">
        <is>
          <t>SALES</t>
        </is>
      </c>
      <c r="D270" t="inlineStr">
        <is>
          <t>Garments</t>
        </is>
      </c>
      <c r="E270" s="4" t="n">
        <v>46107</v>
      </c>
      <c r="F270" s="5" t="n">
        <v>48966.37</v>
      </c>
    </row>
    <row r="271">
      <c r="A271" t="inlineStr">
        <is>
          <t>PAY-00270</t>
        </is>
      </c>
      <c r="B271" t="inlineStr">
        <is>
          <t>S-00177</t>
        </is>
      </c>
      <c r="C271" t="inlineStr">
        <is>
          <t>SALES</t>
        </is>
      </c>
      <c r="D271" t="inlineStr">
        <is>
          <t>Garments</t>
        </is>
      </c>
      <c r="E271" s="4" t="n">
        <v>46082</v>
      </c>
      <c r="F271" s="5" t="n">
        <v>96440.10000000001</v>
      </c>
    </row>
    <row r="272">
      <c r="A272" t="inlineStr">
        <is>
          <t>PAY-00271</t>
        </is>
      </c>
      <c r="B272" t="inlineStr">
        <is>
          <t>S-00178</t>
        </is>
      </c>
      <c r="C272" t="inlineStr">
        <is>
          <t>SALES</t>
        </is>
      </c>
      <c r="D272" t="inlineStr">
        <is>
          <t>Fabrics</t>
        </is>
      </c>
      <c r="E272" s="4" t="n">
        <v>46118</v>
      </c>
      <c r="F272" s="5" t="n">
        <v>91883.64</v>
      </c>
    </row>
    <row r="273">
      <c r="A273" t="inlineStr">
        <is>
          <t>PAY-00272</t>
        </is>
      </c>
      <c r="B273" t="inlineStr">
        <is>
          <t>S-00179</t>
        </is>
      </c>
      <c r="C273" t="inlineStr">
        <is>
          <t>SALES</t>
        </is>
      </c>
      <c r="D273" t="inlineStr">
        <is>
          <t>Garments</t>
        </is>
      </c>
      <c r="E273" s="4" t="n">
        <v>46136</v>
      </c>
      <c r="F273" s="5" t="n">
        <v>79341.05</v>
      </c>
    </row>
    <row r="274">
      <c r="A274" t="inlineStr">
        <is>
          <t>PAY-00273</t>
        </is>
      </c>
      <c r="B274" t="inlineStr">
        <is>
          <t>S-00180</t>
        </is>
      </c>
      <c r="C274" t="inlineStr">
        <is>
          <t>SALES</t>
        </is>
      </c>
      <c r="D274" t="inlineStr">
        <is>
          <t>Fabrics</t>
        </is>
      </c>
      <c r="E274" s="4" t="n">
        <v>46093</v>
      </c>
      <c r="F274" s="5" t="n">
        <v>55400.76</v>
      </c>
    </row>
    <row r="275">
      <c r="A275" t="inlineStr">
        <is>
          <t>PAY-00274</t>
        </is>
      </c>
      <c r="B275" t="inlineStr">
        <is>
          <t>S-00181</t>
        </is>
      </c>
      <c r="C275" t="inlineStr">
        <is>
          <t>SALES</t>
        </is>
      </c>
      <c r="D275" t="inlineStr">
        <is>
          <t>Garments</t>
        </is>
      </c>
      <c r="E275" s="4" t="n">
        <v>46106</v>
      </c>
      <c r="F275" s="5" t="n">
        <v>92306.47</v>
      </c>
    </row>
    <row r="276">
      <c r="A276" t="inlineStr">
        <is>
          <t>PAY-00275</t>
        </is>
      </c>
      <c r="B276" t="inlineStr">
        <is>
          <t>S-00182</t>
        </is>
      </c>
      <c r="C276" t="inlineStr">
        <is>
          <t>SALES</t>
        </is>
      </c>
      <c r="D276" t="inlineStr">
        <is>
          <t>Accessories</t>
        </is>
      </c>
      <c r="E276" s="4" t="n">
        <v>46106</v>
      </c>
      <c r="F276" s="5" t="n">
        <v>45304.96</v>
      </c>
    </row>
    <row r="277">
      <c r="A277" t="inlineStr">
        <is>
          <t>PAY-00276</t>
        </is>
      </c>
      <c r="B277" t="inlineStr">
        <is>
          <t>S-00183</t>
        </is>
      </c>
      <c r="C277" t="inlineStr">
        <is>
          <t>SALES</t>
        </is>
      </c>
      <c r="D277" t="inlineStr">
        <is>
          <t>Garments</t>
        </is>
      </c>
      <c r="E277" s="4" t="n">
        <v>46096</v>
      </c>
      <c r="F277" s="5" t="n">
        <v>83872.41</v>
      </c>
    </row>
    <row r="278">
      <c r="A278" t="inlineStr">
        <is>
          <t>PAY-00277</t>
        </is>
      </c>
      <c r="B278" t="inlineStr">
        <is>
          <t>S-00184</t>
        </is>
      </c>
      <c r="C278" t="inlineStr">
        <is>
          <t>SALES</t>
        </is>
      </c>
      <c r="D278" t="inlineStr">
        <is>
          <t>Garments</t>
        </is>
      </c>
      <c r="E278" s="4" t="n">
        <v>46114</v>
      </c>
      <c r="F278" s="5" t="n">
        <v>36984.28</v>
      </c>
    </row>
    <row r="279">
      <c r="A279" t="inlineStr">
        <is>
          <t>PAY-00278</t>
        </is>
      </c>
      <c r="B279" t="inlineStr">
        <is>
          <t>S-00185</t>
        </is>
      </c>
      <c r="C279" t="inlineStr">
        <is>
          <t>SALES</t>
        </is>
      </c>
      <c r="D279" t="inlineStr">
        <is>
          <t>Fabrics</t>
        </is>
      </c>
      <c r="E279" s="4" t="n">
        <v>46098</v>
      </c>
      <c r="F279" s="5" t="n">
        <v>53996.43</v>
      </c>
    </row>
    <row r="280">
      <c r="A280" t="inlineStr">
        <is>
          <t>PAY-00279</t>
        </is>
      </c>
      <c r="B280" t="inlineStr">
        <is>
          <t>S-00186</t>
        </is>
      </c>
      <c r="C280" t="inlineStr">
        <is>
          <t>SALES</t>
        </is>
      </c>
      <c r="D280" t="inlineStr">
        <is>
          <t>Garments</t>
        </is>
      </c>
      <c r="E280" s="4" t="n">
        <v>46090</v>
      </c>
      <c r="F280" s="5" t="n">
        <v>58009.11</v>
      </c>
    </row>
    <row r="281">
      <c r="A281" t="inlineStr">
        <is>
          <t>PAY-00280</t>
        </is>
      </c>
      <c r="B281" t="inlineStr">
        <is>
          <t>P-00069</t>
        </is>
      </c>
      <c r="C281" t="inlineStr">
        <is>
          <t>PURCHASE</t>
        </is>
      </c>
      <c r="D281" t="inlineStr">
        <is>
          <t>Inventory purchases</t>
        </is>
      </c>
      <c r="E281" s="4" t="n">
        <v>46084</v>
      </c>
      <c r="F281" s="5" t="n">
        <v>39780.16</v>
      </c>
    </row>
    <row r="282">
      <c r="A282" t="inlineStr">
        <is>
          <t>PAY-00281</t>
        </is>
      </c>
      <c r="B282" t="inlineStr">
        <is>
          <t>P-00070</t>
        </is>
      </c>
      <c r="C282" t="inlineStr">
        <is>
          <t>PURCHASE</t>
        </is>
      </c>
      <c r="D282" t="inlineStr">
        <is>
          <t>Inventory purchases</t>
        </is>
      </c>
      <c r="E282" s="4" t="n">
        <v>46072</v>
      </c>
      <c r="F282" s="5" t="n">
        <v>25005.05</v>
      </c>
    </row>
    <row r="283">
      <c r="A283" t="inlineStr">
        <is>
          <t>PAY-00282</t>
        </is>
      </c>
      <c r="B283" t="inlineStr">
        <is>
          <t>P-00071</t>
        </is>
      </c>
      <c r="C283" t="inlineStr">
        <is>
          <t>PURCHASE</t>
        </is>
      </c>
      <c r="D283" t="inlineStr">
        <is>
          <t>Inventory purchases</t>
        </is>
      </c>
      <c r="E283" s="4" t="n">
        <v>46110</v>
      </c>
      <c r="F283" s="5" t="n">
        <v>74015.97</v>
      </c>
    </row>
    <row r="284">
      <c r="A284" t="inlineStr">
        <is>
          <t>PAY-00283</t>
        </is>
      </c>
      <c r="B284" t="inlineStr">
        <is>
          <t>P-00072</t>
        </is>
      </c>
      <c r="C284" t="inlineStr">
        <is>
          <t>PURCHASE</t>
        </is>
      </c>
      <c r="D284" t="inlineStr">
        <is>
          <t>Inventory purchases</t>
        </is>
      </c>
      <c r="E284" s="4" t="n">
        <v>46090</v>
      </c>
      <c r="F284" s="5" t="n">
        <v>89431.49000000001</v>
      </c>
    </row>
    <row r="285">
      <c r="A285" t="inlineStr">
        <is>
          <t>PAY-00284</t>
        </is>
      </c>
      <c r="B285" t="inlineStr">
        <is>
          <t>P-00073</t>
        </is>
      </c>
      <c r="C285" t="inlineStr">
        <is>
          <t>PURCHASE</t>
        </is>
      </c>
      <c r="D285" t="inlineStr">
        <is>
          <t>Inventory purchases</t>
        </is>
      </c>
      <c r="E285" s="4" t="n">
        <v>46086</v>
      </c>
      <c r="F285" s="5" t="n">
        <v>60917.41</v>
      </c>
    </row>
    <row r="286">
      <c r="A286" t="inlineStr">
        <is>
          <t>PAY-00285</t>
        </is>
      </c>
      <c r="B286" t="inlineStr">
        <is>
          <t>P-00074</t>
        </is>
      </c>
      <c r="C286" t="inlineStr">
        <is>
          <t>PURCHASE</t>
        </is>
      </c>
      <c r="D286" t="inlineStr">
        <is>
          <t>Inventory purchases</t>
        </is>
      </c>
      <c r="E286" s="4" t="n">
        <v>46080</v>
      </c>
      <c r="F286" s="5" t="n">
        <v>100804.8</v>
      </c>
    </row>
    <row r="287">
      <c r="A287" t="inlineStr">
        <is>
          <t>PAY-00286</t>
        </is>
      </c>
      <c r="B287" t="inlineStr">
        <is>
          <t>P-00076</t>
        </is>
      </c>
      <c r="C287" t="inlineStr">
        <is>
          <t>PURCHASE</t>
        </is>
      </c>
      <c r="D287" t="inlineStr">
        <is>
          <t>Inventory purchases</t>
        </is>
      </c>
      <c r="E287" s="4" t="n">
        <v>46088</v>
      </c>
      <c r="F287" s="5" t="n">
        <v>76267.62</v>
      </c>
    </row>
    <row r="288">
      <c r="A288" t="inlineStr">
        <is>
          <t>PAY-00287</t>
        </is>
      </c>
      <c r="B288" t="inlineStr">
        <is>
          <t>P-00077</t>
        </is>
      </c>
      <c r="C288" t="inlineStr">
        <is>
          <t>PURCHASE</t>
        </is>
      </c>
      <c r="D288" t="inlineStr">
        <is>
          <t>Inventory purchases</t>
        </is>
      </c>
      <c r="E288" s="4" t="n">
        <v>46099</v>
      </c>
      <c r="F288" s="5" t="n">
        <v>73648.53999999999</v>
      </c>
    </row>
    <row r="289">
      <c r="A289" t="inlineStr">
        <is>
          <t>PAY-00288</t>
        </is>
      </c>
      <c r="B289" t="inlineStr">
        <is>
          <t>P-00078</t>
        </is>
      </c>
      <c r="C289" t="inlineStr">
        <is>
          <t>PURCHASE</t>
        </is>
      </c>
      <c r="D289" t="inlineStr">
        <is>
          <t>Inventory purchases</t>
        </is>
      </c>
      <c r="E289" s="4" t="n">
        <v>46102</v>
      </c>
      <c r="F289" s="5" t="n">
        <v>123107.69</v>
      </c>
    </row>
    <row r="290">
      <c r="A290" t="inlineStr">
        <is>
          <t>PAY-00289</t>
        </is>
      </c>
      <c r="B290" t="inlineStr">
        <is>
          <t>P-00079</t>
        </is>
      </c>
      <c r="C290" t="inlineStr">
        <is>
          <t>PURCHASE</t>
        </is>
      </c>
      <c r="D290" t="inlineStr">
        <is>
          <t>Inventory purchases</t>
        </is>
      </c>
      <c r="E290" s="4" t="n">
        <v>46063</v>
      </c>
      <c r="F290" s="5" t="n">
        <v>18600.44</v>
      </c>
    </row>
    <row r="291">
      <c r="A291" t="inlineStr">
        <is>
          <t>PAY-00290</t>
        </is>
      </c>
      <c r="B291" t="inlineStr">
        <is>
          <t>P-00080</t>
        </is>
      </c>
      <c r="C291" t="inlineStr">
        <is>
          <t>PURCHASE</t>
        </is>
      </c>
      <c r="D291" t="inlineStr">
        <is>
          <t>Inventory purchases</t>
        </is>
      </c>
      <c r="E291" s="4" t="n">
        <v>46081</v>
      </c>
      <c r="F291" s="5" t="n">
        <v>47529.98</v>
      </c>
    </row>
    <row r="292">
      <c r="A292" t="inlineStr">
        <is>
          <t>PAY-00291</t>
        </is>
      </c>
      <c r="B292" t="inlineStr">
        <is>
          <t>P-00081</t>
        </is>
      </c>
      <c r="C292" t="inlineStr">
        <is>
          <t>PURCHASE</t>
        </is>
      </c>
      <c r="D292" t="inlineStr">
        <is>
          <t>Inventory purchases</t>
        </is>
      </c>
      <c r="E292" s="4" t="n">
        <v>46074</v>
      </c>
      <c r="F292" s="5" t="n">
        <v>53369.23</v>
      </c>
    </row>
    <row r="293">
      <c r="A293" t="inlineStr">
        <is>
          <t>PAY-00292</t>
        </is>
      </c>
      <c r="B293" t="inlineStr">
        <is>
          <t>P-00082</t>
        </is>
      </c>
      <c r="C293" t="inlineStr">
        <is>
          <t>PURCHASE</t>
        </is>
      </c>
      <c r="D293" t="inlineStr">
        <is>
          <t>Inventory purchases</t>
        </is>
      </c>
      <c r="E293" s="4" t="n">
        <v>46103</v>
      </c>
      <c r="F293" s="5" t="n">
        <v>35108.42</v>
      </c>
    </row>
    <row r="294">
      <c r="A294" t="inlineStr">
        <is>
          <t>PAY-00293</t>
        </is>
      </c>
      <c r="B294" t="inlineStr">
        <is>
          <t>P-00083</t>
        </is>
      </c>
      <c r="C294" t="inlineStr">
        <is>
          <t>PURCHASE</t>
        </is>
      </c>
      <c r="D294" t="inlineStr">
        <is>
          <t>Inventory purchases</t>
        </is>
      </c>
      <c r="E294" s="4" t="n">
        <v>46091</v>
      </c>
      <c r="F294" s="5" t="n">
        <v>19756.3</v>
      </c>
    </row>
    <row r="295">
      <c r="A295" t="inlineStr">
        <is>
          <t>PAY-00294</t>
        </is>
      </c>
      <c r="B295" t="inlineStr">
        <is>
          <t>P-00084</t>
        </is>
      </c>
      <c r="C295" t="inlineStr">
        <is>
          <t>PURCHASE</t>
        </is>
      </c>
      <c r="D295" t="inlineStr">
        <is>
          <t>Inventory purchases</t>
        </is>
      </c>
      <c r="E295" s="4" t="n">
        <v>46096</v>
      </c>
      <c r="F295" s="5" t="n">
        <v>38505.26</v>
      </c>
    </row>
    <row r="296">
      <c r="A296" t="inlineStr">
        <is>
          <t>PAY-00295</t>
        </is>
      </c>
      <c r="B296" t="inlineStr">
        <is>
          <t>P-00085</t>
        </is>
      </c>
      <c r="C296" t="inlineStr">
        <is>
          <t>PURCHASE</t>
        </is>
      </c>
      <c r="D296" t="inlineStr">
        <is>
          <t>Inventory purchases</t>
        </is>
      </c>
      <c r="E296" s="4" t="n">
        <v>46076</v>
      </c>
      <c r="F296" s="5" t="n">
        <v>111122.26</v>
      </c>
    </row>
    <row r="297">
      <c r="A297" t="inlineStr">
        <is>
          <t>PAY-00296</t>
        </is>
      </c>
      <c r="B297" t="inlineStr">
        <is>
          <t>P-00086</t>
        </is>
      </c>
      <c r="C297" t="inlineStr">
        <is>
          <t>PURCHASE</t>
        </is>
      </c>
      <c r="D297" t="inlineStr">
        <is>
          <t>Inventory purchases</t>
        </is>
      </c>
      <c r="E297" s="4" t="n">
        <v>46084</v>
      </c>
      <c r="F297" s="5" t="n">
        <v>92240.34</v>
      </c>
    </row>
    <row r="298">
      <c r="A298" t="inlineStr">
        <is>
          <t>PAY-00297</t>
        </is>
      </c>
      <c r="B298" t="inlineStr">
        <is>
          <t>E-00061</t>
        </is>
      </c>
      <c r="C298" t="inlineStr">
        <is>
          <t>EXPENSE</t>
        </is>
      </c>
      <c r="D298" t="inlineStr">
        <is>
          <t>Rent</t>
        </is>
      </c>
      <c r="E298" s="4" t="n">
        <v>46074</v>
      </c>
      <c r="F298" s="5" t="n">
        <v>29052.53</v>
      </c>
    </row>
    <row r="299">
      <c r="A299" t="inlineStr">
        <is>
          <t>PAY-00298</t>
        </is>
      </c>
      <c r="B299" t="inlineStr">
        <is>
          <t>E-00062</t>
        </is>
      </c>
      <c r="C299" t="inlineStr">
        <is>
          <t>EXPENSE</t>
        </is>
      </c>
      <c r="D299" t="inlineStr">
        <is>
          <t>Salaries</t>
        </is>
      </c>
      <c r="E299" s="4" t="n">
        <v>46083</v>
      </c>
      <c r="F299" s="5" t="n">
        <v>84997.39</v>
      </c>
    </row>
    <row r="300">
      <c r="A300" t="inlineStr">
        <is>
          <t>PAY-00299</t>
        </is>
      </c>
      <c r="B300" t="inlineStr">
        <is>
          <t>E-00063</t>
        </is>
      </c>
      <c r="C300" t="inlineStr">
        <is>
          <t>EXPENSE</t>
        </is>
      </c>
      <c r="D300" t="inlineStr">
        <is>
          <t>Utilities</t>
        </is>
      </c>
      <c r="E300" s="4" t="n">
        <v>46064</v>
      </c>
      <c r="F300" s="5" t="n">
        <v>7800.41</v>
      </c>
    </row>
    <row r="301">
      <c r="A301" t="inlineStr">
        <is>
          <t>PAY-00300</t>
        </is>
      </c>
      <c r="B301" t="inlineStr">
        <is>
          <t>E-00064</t>
        </is>
      </c>
      <c r="C301" t="inlineStr">
        <is>
          <t>EXPENSE</t>
        </is>
      </c>
      <c r="D301" t="inlineStr">
        <is>
          <t>Transport</t>
        </is>
      </c>
      <c r="E301" s="4" t="n">
        <v>46081</v>
      </c>
      <c r="F301" s="5" t="n">
        <v>2051.1</v>
      </c>
    </row>
    <row r="302">
      <c r="A302" t="inlineStr">
        <is>
          <t>PAY-00301</t>
        </is>
      </c>
      <c r="B302" t="inlineStr">
        <is>
          <t>E-00065</t>
        </is>
      </c>
      <c r="C302" t="inlineStr">
        <is>
          <t>EXPENSE</t>
        </is>
      </c>
      <c r="D302" t="inlineStr">
        <is>
          <t>Transport</t>
        </is>
      </c>
      <c r="E302" s="4" t="n">
        <v>46066</v>
      </c>
      <c r="F302" s="5" t="n">
        <v>5595.47</v>
      </c>
    </row>
    <row r="303">
      <c r="A303" t="inlineStr">
        <is>
          <t>PAY-00302</t>
        </is>
      </c>
      <c r="B303" t="inlineStr">
        <is>
          <t>E-00066</t>
        </is>
      </c>
      <c r="C303" t="inlineStr">
        <is>
          <t>EXPENSE</t>
        </is>
      </c>
      <c r="D303" t="inlineStr">
        <is>
          <t>Transport</t>
        </is>
      </c>
      <c r="E303" s="4" t="n">
        <v>46070</v>
      </c>
      <c r="F303" s="5" t="n">
        <v>1459.41</v>
      </c>
    </row>
    <row r="304">
      <c r="A304" t="inlineStr">
        <is>
          <t>PAY-00303</t>
        </is>
      </c>
      <c r="B304" t="inlineStr">
        <is>
          <t>E-00067</t>
        </is>
      </c>
      <c r="C304" t="inlineStr">
        <is>
          <t>EXPENSE</t>
        </is>
      </c>
      <c r="D304" t="inlineStr">
        <is>
          <t>Transport</t>
        </is>
      </c>
      <c r="E304" s="4" t="n">
        <v>46078</v>
      </c>
      <c r="F304" s="5" t="n">
        <v>1826.93</v>
      </c>
    </row>
    <row r="305">
      <c r="A305" t="inlineStr">
        <is>
          <t>PAY-00304</t>
        </is>
      </c>
      <c r="B305" t="inlineStr">
        <is>
          <t>E-00068</t>
        </is>
      </c>
      <c r="C305" t="inlineStr">
        <is>
          <t>EXPENSE</t>
        </is>
      </c>
      <c r="D305" t="inlineStr">
        <is>
          <t>Transport</t>
        </is>
      </c>
      <c r="E305" s="4" t="n">
        <v>46081</v>
      </c>
      <c r="F305" s="5" t="n">
        <v>3299.78</v>
      </c>
    </row>
    <row r="306">
      <c r="A306" t="inlineStr">
        <is>
          <t>PAY-00305</t>
        </is>
      </c>
      <c r="B306" t="inlineStr">
        <is>
          <t>E-00069</t>
        </is>
      </c>
      <c r="C306" t="inlineStr">
        <is>
          <t>EXPENSE</t>
        </is>
      </c>
      <c r="D306" t="inlineStr">
        <is>
          <t>Transport</t>
        </is>
      </c>
      <c r="E306" s="4" t="n">
        <v>46074</v>
      </c>
      <c r="F306" s="5" t="n">
        <v>7349.46</v>
      </c>
    </row>
    <row r="307">
      <c r="A307" t="inlineStr">
        <is>
          <t>PAY-00306</t>
        </is>
      </c>
      <c r="B307" t="inlineStr">
        <is>
          <t>E-00070</t>
        </is>
      </c>
      <c r="C307" t="inlineStr">
        <is>
          <t>EXPENSE</t>
        </is>
      </c>
      <c r="D307" t="inlineStr">
        <is>
          <t>Marketing</t>
        </is>
      </c>
      <c r="E307" s="4" t="n">
        <v>46078</v>
      </c>
      <c r="F307" s="5" t="n">
        <v>26915.55</v>
      </c>
    </row>
    <row r="308">
      <c r="A308" t="inlineStr">
        <is>
          <t>PAY-00307</t>
        </is>
      </c>
      <c r="B308" t="inlineStr">
        <is>
          <t>E-00071</t>
        </is>
      </c>
      <c r="C308" t="inlineStr">
        <is>
          <t>EXPENSE</t>
        </is>
      </c>
      <c r="D308" t="inlineStr">
        <is>
          <t>Marketing</t>
        </is>
      </c>
      <c r="E308" s="4" t="n">
        <v>46081</v>
      </c>
      <c r="F308" s="5" t="n">
        <v>20859.37</v>
      </c>
    </row>
    <row r="309">
      <c r="A309" t="inlineStr">
        <is>
          <t>PAY-00308</t>
        </is>
      </c>
      <c r="B309" t="inlineStr">
        <is>
          <t>E-00072</t>
        </is>
      </c>
      <c r="C309" t="inlineStr">
        <is>
          <t>EXPENSE</t>
        </is>
      </c>
      <c r="D309" t="inlineStr">
        <is>
          <t>Professional fees</t>
        </is>
      </c>
      <c r="E309" s="4" t="n">
        <v>46075</v>
      </c>
      <c r="F309" s="5" t="n">
        <v>17374.01</v>
      </c>
    </row>
    <row r="310">
      <c r="A310" t="inlineStr">
        <is>
          <t>PAY-00309</t>
        </is>
      </c>
      <c r="B310" t="inlineStr">
        <is>
          <t>E-00073</t>
        </is>
      </c>
      <c r="C310" t="inlineStr">
        <is>
          <t>EXPENSE</t>
        </is>
      </c>
      <c r="D310" t="inlineStr">
        <is>
          <t>Misc</t>
        </is>
      </c>
      <c r="E310" s="4" t="n">
        <v>46064</v>
      </c>
      <c r="F310" s="5" t="n">
        <v>3030.81</v>
      </c>
    </row>
    <row r="311">
      <c r="A311" t="inlineStr">
        <is>
          <t>PAY-00310</t>
        </is>
      </c>
      <c r="B311" t="inlineStr">
        <is>
          <t>E-00074</t>
        </is>
      </c>
      <c r="C311" t="inlineStr">
        <is>
          <t>EXPENSE</t>
        </is>
      </c>
      <c r="D311" t="inlineStr">
        <is>
          <t>Misc</t>
        </is>
      </c>
      <c r="E311" s="4" t="n">
        <v>46066</v>
      </c>
      <c r="F311" s="5" t="n">
        <v>3396.45</v>
      </c>
    </row>
    <row r="312">
      <c r="A312" t="inlineStr">
        <is>
          <t>PAY-00311</t>
        </is>
      </c>
      <c r="B312" t="inlineStr">
        <is>
          <t>E-00075</t>
        </is>
      </c>
      <c r="C312" t="inlineStr">
        <is>
          <t>EXPENSE</t>
        </is>
      </c>
      <c r="D312" t="inlineStr">
        <is>
          <t>Misc</t>
        </is>
      </c>
      <c r="E312" s="4" t="n">
        <v>46069</v>
      </c>
      <c r="F312" s="5" t="n">
        <v>1077.55</v>
      </c>
    </row>
    <row r="313">
      <c r="A313" t="inlineStr">
        <is>
          <t>PAY-00312</t>
        </is>
      </c>
      <c r="B313" t="inlineStr">
        <is>
          <t>S-00187</t>
        </is>
      </c>
      <c r="C313" t="inlineStr">
        <is>
          <t>SALES</t>
        </is>
      </c>
      <c r="D313" t="inlineStr">
        <is>
          <t>Garments</t>
        </is>
      </c>
      <c r="E313" s="4" t="n">
        <v>46137</v>
      </c>
      <c r="F313" s="5" t="n">
        <v>30446.25</v>
      </c>
    </row>
    <row r="314">
      <c r="A314" t="inlineStr">
        <is>
          <t>PAY-00313</t>
        </is>
      </c>
      <c r="B314" t="inlineStr">
        <is>
          <t>S-00189</t>
        </is>
      </c>
      <c r="C314" t="inlineStr">
        <is>
          <t>SALES</t>
        </is>
      </c>
      <c r="D314" t="inlineStr">
        <is>
          <t>Fabrics</t>
        </is>
      </c>
      <c r="E314" s="4" t="n">
        <v>46142</v>
      </c>
      <c r="F314" s="5" t="n">
        <v>9326.59</v>
      </c>
    </row>
    <row r="315">
      <c r="A315" t="inlineStr">
        <is>
          <t>PAY-00314</t>
        </is>
      </c>
      <c r="B315" t="inlineStr">
        <is>
          <t>S-00190</t>
        </is>
      </c>
      <c r="C315" t="inlineStr">
        <is>
          <t>SALES</t>
        </is>
      </c>
      <c r="D315" t="inlineStr">
        <is>
          <t>Fabrics</t>
        </is>
      </c>
      <c r="E315" s="4" t="n">
        <v>46129</v>
      </c>
      <c r="F315" s="5" t="n">
        <v>36974.16</v>
      </c>
    </row>
    <row r="316">
      <c r="A316" t="inlineStr">
        <is>
          <t>PAY-00315</t>
        </is>
      </c>
      <c r="B316" t="inlineStr">
        <is>
          <t>S-00191</t>
        </is>
      </c>
      <c r="C316" t="inlineStr">
        <is>
          <t>SALES</t>
        </is>
      </c>
      <c r="D316" t="inlineStr">
        <is>
          <t>Fabrics</t>
        </is>
      </c>
      <c r="E316" s="4" t="n">
        <v>46147</v>
      </c>
      <c r="F316" s="5" t="n">
        <v>26606.87</v>
      </c>
    </row>
    <row r="317">
      <c r="A317" t="inlineStr">
        <is>
          <t>PAY-00316</t>
        </is>
      </c>
      <c r="B317" t="inlineStr">
        <is>
          <t>S-00192</t>
        </is>
      </c>
      <c r="C317" t="inlineStr">
        <is>
          <t>SALES</t>
        </is>
      </c>
      <c r="D317" t="inlineStr">
        <is>
          <t>Garments</t>
        </is>
      </c>
      <c r="E317" s="4" t="n">
        <v>46133</v>
      </c>
      <c r="F317" s="5" t="n">
        <v>48337.06</v>
      </c>
    </row>
    <row r="318">
      <c r="A318" t="inlineStr">
        <is>
          <t>PAY-00317</t>
        </is>
      </c>
      <c r="B318" t="inlineStr">
        <is>
          <t>S-00194</t>
        </is>
      </c>
      <c r="C318" t="inlineStr">
        <is>
          <t>SALES</t>
        </is>
      </c>
      <c r="D318" t="inlineStr">
        <is>
          <t>Fabrics</t>
        </is>
      </c>
      <c r="E318" s="4" t="n">
        <v>46105</v>
      </c>
      <c r="F318" s="5" t="n">
        <v>22490.35</v>
      </c>
    </row>
    <row r="319">
      <c r="A319" t="inlineStr">
        <is>
          <t>PAY-00318</t>
        </is>
      </c>
      <c r="B319" t="inlineStr">
        <is>
          <t>S-00195</t>
        </is>
      </c>
      <c r="C319" t="inlineStr">
        <is>
          <t>SALES</t>
        </is>
      </c>
      <c r="D319" t="inlineStr">
        <is>
          <t>Garments</t>
        </is>
      </c>
      <c r="E319" s="4" t="n">
        <v>46119</v>
      </c>
      <c r="F319" s="5" t="n">
        <v>60553.27</v>
      </c>
    </row>
    <row r="320">
      <c r="A320" t="inlineStr">
        <is>
          <t>PAY-00319</t>
        </is>
      </c>
      <c r="B320" t="inlineStr">
        <is>
          <t>S-00196</t>
        </is>
      </c>
      <c r="C320" t="inlineStr">
        <is>
          <t>SALES</t>
        </is>
      </c>
      <c r="D320" t="inlineStr">
        <is>
          <t>Fabrics</t>
        </is>
      </c>
      <c r="E320" s="4" t="n">
        <v>46108</v>
      </c>
      <c r="F320" s="5" t="n">
        <v>98787.44</v>
      </c>
    </row>
    <row r="321">
      <c r="A321" t="inlineStr">
        <is>
          <t>PAY-00320</t>
        </is>
      </c>
      <c r="B321" t="inlineStr">
        <is>
          <t>S-00197</t>
        </is>
      </c>
      <c r="C321" t="inlineStr">
        <is>
          <t>SALES</t>
        </is>
      </c>
      <c r="D321" t="inlineStr">
        <is>
          <t>Fabrics</t>
        </is>
      </c>
      <c r="E321" s="4" t="n">
        <v>46135</v>
      </c>
      <c r="F321" s="5" t="n">
        <v>47500.06</v>
      </c>
    </row>
    <row r="322">
      <c r="A322" t="inlineStr">
        <is>
          <t>PAY-00321</t>
        </is>
      </c>
      <c r="B322" t="inlineStr">
        <is>
          <t>S-00199</t>
        </is>
      </c>
      <c r="C322" t="inlineStr">
        <is>
          <t>SALES</t>
        </is>
      </c>
      <c r="D322" t="inlineStr">
        <is>
          <t>Garments</t>
        </is>
      </c>
      <c r="E322" s="4" t="n">
        <v>46107</v>
      </c>
      <c r="F322" s="5" t="n">
        <v>97943.33</v>
      </c>
    </row>
    <row r="323">
      <c r="A323" t="inlineStr">
        <is>
          <t>PAY-00322</t>
        </is>
      </c>
      <c r="B323" t="inlineStr">
        <is>
          <t>S-00200</t>
        </is>
      </c>
      <c r="C323" t="inlineStr">
        <is>
          <t>SALES</t>
        </is>
      </c>
      <c r="D323" t="inlineStr">
        <is>
          <t>Accessories</t>
        </is>
      </c>
      <c r="E323" s="4" t="n">
        <v>46120</v>
      </c>
      <c r="F323" s="5" t="n">
        <v>73423.47</v>
      </c>
    </row>
    <row r="324">
      <c r="A324" t="inlineStr">
        <is>
          <t>PAY-00323</t>
        </is>
      </c>
      <c r="B324" t="inlineStr">
        <is>
          <t>S-00201</t>
        </is>
      </c>
      <c r="C324" t="inlineStr">
        <is>
          <t>SALES</t>
        </is>
      </c>
      <c r="D324" t="inlineStr">
        <is>
          <t>Fabrics</t>
        </is>
      </c>
      <c r="E324" s="4" t="n">
        <v>46156</v>
      </c>
      <c r="F324" s="5" t="n">
        <v>90277.74000000001</v>
      </c>
    </row>
    <row r="325">
      <c r="A325" t="inlineStr">
        <is>
          <t>PAY-00324</t>
        </is>
      </c>
      <c r="B325" t="inlineStr">
        <is>
          <t>S-00202</t>
        </is>
      </c>
      <c r="C325" t="inlineStr">
        <is>
          <t>SALES</t>
        </is>
      </c>
      <c r="D325" t="inlineStr">
        <is>
          <t>Fabrics</t>
        </is>
      </c>
      <c r="E325" s="4" t="n">
        <v>46127</v>
      </c>
      <c r="F325" s="5" t="n">
        <v>88996.69</v>
      </c>
    </row>
    <row r="326">
      <c r="A326" t="inlineStr">
        <is>
          <t>PAY-00325</t>
        </is>
      </c>
      <c r="B326" t="inlineStr">
        <is>
          <t>S-00203</t>
        </is>
      </c>
      <c r="C326" t="inlineStr">
        <is>
          <t>SALES</t>
        </is>
      </c>
      <c r="D326" t="inlineStr">
        <is>
          <t>Accessories</t>
        </is>
      </c>
      <c r="E326" s="4" t="n">
        <v>46150</v>
      </c>
      <c r="F326" s="5" t="n">
        <v>19122.7</v>
      </c>
    </row>
    <row r="327">
      <c r="A327" t="inlineStr">
        <is>
          <t>PAY-00326</t>
        </is>
      </c>
      <c r="B327" t="inlineStr">
        <is>
          <t>S-00204</t>
        </is>
      </c>
      <c r="C327" t="inlineStr">
        <is>
          <t>SALES</t>
        </is>
      </c>
      <c r="D327" t="inlineStr">
        <is>
          <t>Fabrics</t>
        </is>
      </c>
      <c r="E327" s="4" t="n">
        <v>46149</v>
      </c>
      <c r="F327" s="5" t="n">
        <v>71896.98</v>
      </c>
    </row>
    <row r="328">
      <c r="A328" t="inlineStr">
        <is>
          <t>PAY-00327</t>
        </is>
      </c>
      <c r="B328" t="inlineStr">
        <is>
          <t>S-00205</t>
        </is>
      </c>
      <c r="C328" t="inlineStr">
        <is>
          <t>SALES</t>
        </is>
      </c>
      <c r="D328" t="inlineStr">
        <is>
          <t>Garments</t>
        </is>
      </c>
      <c r="E328" s="4" t="n">
        <v>46133</v>
      </c>
      <c r="F328" s="5" t="n">
        <v>24224.1</v>
      </c>
    </row>
    <row r="329">
      <c r="A329" t="inlineStr">
        <is>
          <t>PAY-00328</t>
        </is>
      </c>
      <c r="B329" t="inlineStr">
        <is>
          <t>S-00206</t>
        </is>
      </c>
      <c r="C329" t="inlineStr">
        <is>
          <t>SALES</t>
        </is>
      </c>
      <c r="D329" t="inlineStr">
        <is>
          <t>Accessories</t>
        </is>
      </c>
      <c r="E329" s="4" t="n">
        <v>46144</v>
      </c>
      <c r="F329" s="5" t="n">
        <v>45434.65</v>
      </c>
    </row>
    <row r="330">
      <c r="A330" t="inlineStr">
        <is>
          <t>PAY-00329</t>
        </is>
      </c>
      <c r="B330" t="inlineStr">
        <is>
          <t>S-00208</t>
        </is>
      </c>
      <c r="C330" t="inlineStr">
        <is>
          <t>SALES</t>
        </is>
      </c>
      <c r="D330" t="inlineStr">
        <is>
          <t>Accessories</t>
        </is>
      </c>
      <c r="E330" s="4" t="n">
        <v>46125</v>
      </c>
      <c r="F330" s="5" t="n">
        <v>35443.74</v>
      </c>
    </row>
    <row r="331">
      <c r="A331" t="inlineStr">
        <is>
          <t>PAY-00330</t>
        </is>
      </c>
      <c r="B331" t="inlineStr">
        <is>
          <t>S-00210</t>
        </is>
      </c>
      <c r="C331" t="inlineStr">
        <is>
          <t>SALES</t>
        </is>
      </c>
      <c r="D331" t="inlineStr">
        <is>
          <t>Fabrics</t>
        </is>
      </c>
      <c r="E331" s="4" t="n">
        <v>46127</v>
      </c>
      <c r="F331" s="5" t="n">
        <v>38287.5</v>
      </c>
    </row>
    <row r="332">
      <c r="A332" t="inlineStr">
        <is>
          <t>PAY-00331</t>
        </is>
      </c>
      <c r="B332" t="inlineStr">
        <is>
          <t>S-00211</t>
        </is>
      </c>
      <c r="C332" t="inlineStr">
        <is>
          <t>SALES</t>
        </is>
      </c>
      <c r="D332" t="inlineStr">
        <is>
          <t>Garments</t>
        </is>
      </c>
      <c r="E332" s="4" t="n">
        <v>46141</v>
      </c>
      <c r="F332" s="5" t="n">
        <v>30250.55</v>
      </c>
    </row>
    <row r="333">
      <c r="A333" t="inlineStr">
        <is>
          <t>PAY-00332</t>
        </is>
      </c>
      <c r="B333" t="inlineStr">
        <is>
          <t>S-00212</t>
        </is>
      </c>
      <c r="C333" t="inlineStr">
        <is>
          <t>SALES</t>
        </is>
      </c>
      <c r="D333" t="inlineStr">
        <is>
          <t>Fabrics</t>
        </is>
      </c>
      <c r="E333" s="4" t="n">
        <v>46150</v>
      </c>
      <c r="F333" s="5" t="n">
        <v>59805.12</v>
      </c>
    </row>
    <row r="334">
      <c r="A334" t="inlineStr">
        <is>
          <t>PAY-00333</t>
        </is>
      </c>
      <c r="B334" t="inlineStr">
        <is>
          <t>S-00214</t>
        </is>
      </c>
      <c r="C334" t="inlineStr">
        <is>
          <t>SALES</t>
        </is>
      </c>
      <c r="D334" t="inlineStr">
        <is>
          <t>Accessories</t>
        </is>
      </c>
      <c r="E334" s="4" t="n">
        <v>46130</v>
      </c>
      <c r="F334" s="5" t="n">
        <v>60712.3</v>
      </c>
    </row>
    <row r="335">
      <c r="A335" t="inlineStr">
        <is>
          <t>PAY-00334</t>
        </is>
      </c>
      <c r="B335" t="inlineStr">
        <is>
          <t>S-00215</t>
        </is>
      </c>
      <c r="C335" t="inlineStr">
        <is>
          <t>SALES</t>
        </is>
      </c>
      <c r="D335" t="inlineStr">
        <is>
          <t>Fabrics</t>
        </is>
      </c>
      <c r="E335" s="4" t="n">
        <v>46140</v>
      </c>
      <c r="F335" s="5" t="n">
        <v>62770.1</v>
      </c>
    </row>
    <row r="336">
      <c r="A336" t="inlineStr">
        <is>
          <t>PAY-00335</t>
        </is>
      </c>
      <c r="B336" t="inlineStr">
        <is>
          <t>S-00216</t>
        </is>
      </c>
      <c r="C336" t="inlineStr">
        <is>
          <t>SALES</t>
        </is>
      </c>
      <c r="D336" t="inlineStr">
        <is>
          <t>Fabrics</t>
        </is>
      </c>
      <c r="E336" s="4" t="n">
        <v>46122</v>
      </c>
      <c r="F336" s="5" t="n">
        <v>52189.03</v>
      </c>
    </row>
    <row r="337">
      <c r="A337" t="inlineStr">
        <is>
          <t>PAY-00336</t>
        </is>
      </c>
      <c r="B337" t="inlineStr">
        <is>
          <t>P-00087</t>
        </is>
      </c>
      <c r="C337" t="inlineStr">
        <is>
          <t>PURCHASE</t>
        </is>
      </c>
      <c r="D337" t="inlineStr">
        <is>
          <t>Inventory purchases</t>
        </is>
      </c>
      <c r="E337" s="4" t="n">
        <v>46114</v>
      </c>
      <c r="F337" s="5" t="n">
        <v>105206.94</v>
      </c>
    </row>
    <row r="338">
      <c r="A338" t="inlineStr">
        <is>
          <t>PAY-00337</t>
        </is>
      </c>
      <c r="B338" t="inlineStr">
        <is>
          <t>P-00089</t>
        </is>
      </c>
      <c r="C338" t="inlineStr">
        <is>
          <t>PURCHASE</t>
        </is>
      </c>
      <c r="D338" t="inlineStr">
        <is>
          <t>Inventory purchases</t>
        </is>
      </c>
      <c r="E338" s="4" t="n">
        <v>46106</v>
      </c>
      <c r="F338" s="5" t="n">
        <v>67701.34</v>
      </c>
    </row>
    <row r="339">
      <c r="A339" t="inlineStr">
        <is>
          <t>PAY-00338</t>
        </is>
      </c>
      <c r="B339" t="inlineStr">
        <is>
          <t>P-00090</t>
        </is>
      </c>
      <c r="C339" t="inlineStr">
        <is>
          <t>PURCHASE</t>
        </is>
      </c>
      <c r="D339" t="inlineStr">
        <is>
          <t>Inventory purchases</t>
        </is>
      </c>
      <c r="E339" s="4" t="n">
        <v>46120</v>
      </c>
      <c r="F339" s="5" t="n">
        <v>107163.29</v>
      </c>
    </row>
    <row r="340">
      <c r="A340" t="inlineStr">
        <is>
          <t>PAY-00339</t>
        </is>
      </c>
      <c r="B340" t="inlineStr">
        <is>
          <t>P-00091</t>
        </is>
      </c>
      <c r="C340" t="inlineStr">
        <is>
          <t>PURCHASE</t>
        </is>
      </c>
      <c r="D340" t="inlineStr">
        <is>
          <t>Inventory purchases</t>
        </is>
      </c>
      <c r="E340" s="4" t="n">
        <v>46116</v>
      </c>
      <c r="F340" s="5" t="n">
        <v>15769.33</v>
      </c>
    </row>
    <row r="341">
      <c r="A341" t="inlineStr">
        <is>
          <t>PAY-00340</t>
        </is>
      </c>
      <c r="B341" t="inlineStr">
        <is>
          <t>P-00092</t>
        </is>
      </c>
      <c r="C341" t="inlineStr">
        <is>
          <t>PURCHASE</t>
        </is>
      </c>
      <c r="D341" t="inlineStr">
        <is>
          <t>Inventory purchases</t>
        </is>
      </c>
      <c r="E341" s="4" t="n">
        <v>46107</v>
      </c>
      <c r="F341" s="5" t="n">
        <v>56303.52</v>
      </c>
    </row>
    <row r="342">
      <c r="A342" t="inlineStr">
        <is>
          <t>PAY-00341</t>
        </is>
      </c>
      <c r="B342" t="inlineStr">
        <is>
          <t>P-00093</t>
        </is>
      </c>
      <c r="C342" t="inlineStr">
        <is>
          <t>PURCHASE</t>
        </is>
      </c>
      <c r="D342" t="inlineStr">
        <is>
          <t>Inventory purchases</t>
        </is>
      </c>
      <c r="E342" s="4" t="n">
        <v>46116</v>
      </c>
      <c r="F342" s="5" t="n">
        <v>99477.89</v>
      </c>
    </row>
    <row r="343">
      <c r="A343" t="inlineStr">
        <is>
          <t>PAY-00342</t>
        </is>
      </c>
      <c r="B343" t="inlineStr">
        <is>
          <t>P-00094</t>
        </is>
      </c>
      <c r="C343" t="inlineStr">
        <is>
          <t>PURCHASE</t>
        </is>
      </c>
      <c r="D343" t="inlineStr">
        <is>
          <t>Inventory purchases</t>
        </is>
      </c>
      <c r="E343" s="4" t="n">
        <v>46134</v>
      </c>
      <c r="F343" s="5" t="n">
        <v>68447.69</v>
      </c>
    </row>
    <row r="344">
      <c r="A344" t="inlineStr">
        <is>
          <t>PAY-00343</t>
        </is>
      </c>
      <c r="B344" t="inlineStr">
        <is>
          <t>P-00095</t>
        </is>
      </c>
      <c r="C344" t="inlineStr">
        <is>
          <t>PURCHASE</t>
        </is>
      </c>
      <c r="D344" t="inlineStr">
        <is>
          <t>Inventory purchases</t>
        </is>
      </c>
      <c r="E344" s="4" t="n">
        <v>46099</v>
      </c>
      <c r="F344" s="5" t="n">
        <v>18646.6</v>
      </c>
    </row>
    <row r="345">
      <c r="A345" t="inlineStr">
        <is>
          <t>PAY-00344</t>
        </is>
      </c>
      <c r="B345" t="inlineStr">
        <is>
          <t>P-00096</t>
        </is>
      </c>
      <c r="C345" t="inlineStr">
        <is>
          <t>PURCHASE</t>
        </is>
      </c>
      <c r="D345" t="inlineStr">
        <is>
          <t>Inventory purchases</t>
        </is>
      </c>
      <c r="E345" s="4" t="n">
        <v>46109</v>
      </c>
      <c r="F345" s="5" t="n">
        <v>120151.84</v>
      </c>
    </row>
    <row r="346">
      <c r="A346" t="inlineStr">
        <is>
          <t>PAY-00345</t>
        </is>
      </c>
      <c r="B346" t="inlineStr">
        <is>
          <t>P-00097</t>
        </is>
      </c>
      <c r="C346" t="inlineStr">
        <is>
          <t>PURCHASE</t>
        </is>
      </c>
      <c r="D346" t="inlineStr">
        <is>
          <t>Inventory purchases</t>
        </is>
      </c>
      <c r="E346" s="4" t="n">
        <v>46100</v>
      </c>
      <c r="F346" s="5" t="n">
        <v>97508.10000000001</v>
      </c>
    </row>
    <row r="347">
      <c r="A347" t="inlineStr">
        <is>
          <t>PAY-00346</t>
        </is>
      </c>
      <c r="B347" t="inlineStr">
        <is>
          <t>P-00098</t>
        </is>
      </c>
      <c r="C347" t="inlineStr">
        <is>
          <t>PURCHASE</t>
        </is>
      </c>
      <c r="D347" t="inlineStr">
        <is>
          <t>Inventory purchases</t>
        </is>
      </c>
      <c r="E347" s="4" t="n">
        <v>46095</v>
      </c>
      <c r="F347" s="5" t="n">
        <v>21209.46</v>
      </c>
    </row>
    <row r="348">
      <c r="A348" t="inlineStr">
        <is>
          <t>PAY-00347</t>
        </is>
      </c>
      <c r="B348" t="inlineStr">
        <is>
          <t>P-00099</t>
        </is>
      </c>
      <c r="C348" t="inlineStr">
        <is>
          <t>PURCHASE</t>
        </is>
      </c>
      <c r="D348" t="inlineStr">
        <is>
          <t>Inventory purchases</t>
        </is>
      </c>
      <c r="E348" s="4" t="n">
        <v>46117</v>
      </c>
      <c r="F348" s="5" t="n">
        <v>43205.75</v>
      </c>
    </row>
    <row r="349">
      <c r="A349" t="inlineStr">
        <is>
          <t>PAY-00348</t>
        </is>
      </c>
      <c r="B349" t="inlineStr">
        <is>
          <t>P-00100</t>
        </is>
      </c>
      <c r="C349" t="inlineStr">
        <is>
          <t>PURCHASE</t>
        </is>
      </c>
      <c r="D349" t="inlineStr">
        <is>
          <t>Inventory purchases</t>
        </is>
      </c>
      <c r="E349" s="4" t="n">
        <v>46118</v>
      </c>
      <c r="F349" s="5" t="n">
        <v>71531.63</v>
      </c>
    </row>
    <row r="350">
      <c r="A350" t="inlineStr">
        <is>
          <t>PAY-00349</t>
        </is>
      </c>
      <c r="B350" t="inlineStr">
        <is>
          <t>P-00101</t>
        </is>
      </c>
      <c r="C350" t="inlineStr">
        <is>
          <t>PURCHASE</t>
        </is>
      </c>
      <c r="D350" t="inlineStr">
        <is>
          <t>Inventory purchases</t>
        </is>
      </c>
      <c r="E350" s="4" t="n">
        <v>46109</v>
      </c>
      <c r="F350" s="5" t="n">
        <v>119945.69</v>
      </c>
    </row>
    <row r="351">
      <c r="A351" t="inlineStr">
        <is>
          <t>PAY-00350</t>
        </is>
      </c>
      <c r="B351" t="inlineStr">
        <is>
          <t>P-00102</t>
        </is>
      </c>
      <c r="C351" t="inlineStr">
        <is>
          <t>PURCHASE</t>
        </is>
      </c>
      <c r="D351" t="inlineStr">
        <is>
          <t>Inventory purchases</t>
        </is>
      </c>
      <c r="E351" s="4" t="n">
        <v>46098</v>
      </c>
      <c r="F351" s="5" t="n">
        <v>111386.17</v>
      </c>
    </row>
    <row r="352">
      <c r="A352" t="inlineStr">
        <is>
          <t>PAY-00351</t>
        </is>
      </c>
      <c r="B352" t="inlineStr">
        <is>
          <t>P-00103</t>
        </is>
      </c>
      <c r="C352" t="inlineStr">
        <is>
          <t>PURCHASE</t>
        </is>
      </c>
      <c r="D352" t="inlineStr">
        <is>
          <t>Inventory purchases</t>
        </is>
      </c>
      <c r="E352" s="4" t="n">
        <v>46134</v>
      </c>
      <c r="F352" s="5" t="n">
        <v>88443.48</v>
      </c>
    </row>
    <row r="353">
      <c r="A353" t="inlineStr">
        <is>
          <t>PAY-00352</t>
        </is>
      </c>
      <c r="B353" t="inlineStr">
        <is>
          <t>P-00104</t>
        </is>
      </c>
      <c r="C353" t="inlineStr">
        <is>
          <t>PURCHASE</t>
        </is>
      </c>
      <c r="D353" t="inlineStr">
        <is>
          <t>Inventory purchases</t>
        </is>
      </c>
      <c r="E353" s="4" t="n">
        <v>46100</v>
      </c>
      <c r="F353" s="5" t="n">
        <v>76087.59</v>
      </c>
    </row>
    <row r="354">
      <c r="A354" t="inlineStr">
        <is>
          <t>PAY-00353</t>
        </is>
      </c>
      <c r="B354" t="inlineStr">
        <is>
          <t>P-00105</t>
        </is>
      </c>
      <c r="C354" t="inlineStr">
        <is>
          <t>PURCHASE</t>
        </is>
      </c>
      <c r="D354" t="inlineStr">
        <is>
          <t>Inventory purchases</t>
        </is>
      </c>
      <c r="E354" s="4" t="n">
        <v>46090</v>
      </c>
      <c r="F354" s="5" t="n">
        <v>54558.6</v>
      </c>
    </row>
    <row r="355">
      <c r="A355" t="inlineStr">
        <is>
          <t>PAY-00354</t>
        </is>
      </c>
      <c r="B355" t="inlineStr">
        <is>
          <t>E-00076</t>
        </is>
      </c>
      <c r="C355" t="inlineStr">
        <is>
          <t>EXPENSE</t>
        </is>
      </c>
      <c r="D355" t="inlineStr">
        <is>
          <t>Rent</t>
        </is>
      </c>
      <c r="E355" s="4" t="n">
        <v>46116</v>
      </c>
      <c r="F355" s="5" t="n">
        <v>29960.57</v>
      </c>
    </row>
    <row r="356">
      <c r="A356" t="inlineStr">
        <is>
          <t>PAY-00355</t>
        </is>
      </c>
      <c r="B356" t="inlineStr">
        <is>
          <t>E-00077</t>
        </is>
      </c>
      <c r="C356" t="inlineStr">
        <is>
          <t>EXPENSE</t>
        </is>
      </c>
      <c r="D356" t="inlineStr">
        <is>
          <t>Salaries</t>
        </is>
      </c>
      <c r="E356" s="4" t="n">
        <v>46089</v>
      </c>
      <c r="F356" s="5" t="n">
        <v>86218.63</v>
      </c>
    </row>
    <row r="357">
      <c r="A357" t="inlineStr">
        <is>
          <t>PAY-00356</t>
        </is>
      </c>
      <c r="B357" t="inlineStr">
        <is>
          <t>E-00078</t>
        </is>
      </c>
      <c r="C357" t="inlineStr">
        <is>
          <t>EXPENSE</t>
        </is>
      </c>
      <c r="D357" t="inlineStr">
        <is>
          <t>Utilities</t>
        </is>
      </c>
      <c r="E357" s="4" t="n">
        <v>46102</v>
      </c>
      <c r="F357" s="5" t="n">
        <v>7724.86</v>
      </c>
    </row>
    <row r="358">
      <c r="A358" t="inlineStr">
        <is>
          <t>PAY-00357</t>
        </is>
      </c>
      <c r="B358" t="inlineStr">
        <is>
          <t>E-00079</t>
        </is>
      </c>
      <c r="C358" t="inlineStr">
        <is>
          <t>EXPENSE</t>
        </is>
      </c>
      <c r="D358" t="inlineStr">
        <is>
          <t>Transport</t>
        </is>
      </c>
      <c r="E358" s="4" t="n">
        <v>46086</v>
      </c>
      <c r="F358" s="5" t="n">
        <v>5880.09</v>
      </c>
    </row>
    <row r="359">
      <c r="A359" t="inlineStr">
        <is>
          <t>PAY-00358</t>
        </is>
      </c>
      <c r="B359" t="inlineStr">
        <is>
          <t>E-00080</t>
        </is>
      </c>
      <c r="C359" t="inlineStr">
        <is>
          <t>EXPENSE</t>
        </is>
      </c>
      <c r="D359" t="inlineStr">
        <is>
          <t>Transport</t>
        </is>
      </c>
      <c r="E359" s="4" t="n">
        <v>46094</v>
      </c>
      <c r="F359" s="5" t="n">
        <v>4543.29</v>
      </c>
    </row>
    <row r="360">
      <c r="A360" t="inlineStr">
        <is>
          <t>PAY-00359</t>
        </is>
      </c>
      <c r="B360" t="inlineStr">
        <is>
          <t>E-00081</t>
        </is>
      </c>
      <c r="C360" t="inlineStr">
        <is>
          <t>EXPENSE</t>
        </is>
      </c>
      <c r="D360" t="inlineStr">
        <is>
          <t>Transport</t>
        </is>
      </c>
      <c r="E360" s="4" t="n">
        <v>46094</v>
      </c>
      <c r="F360" s="5" t="n">
        <v>4812.61</v>
      </c>
    </row>
    <row r="361">
      <c r="A361" t="inlineStr">
        <is>
          <t>PAY-00360</t>
        </is>
      </c>
      <c r="B361" t="inlineStr">
        <is>
          <t>E-00082</t>
        </is>
      </c>
      <c r="C361" t="inlineStr">
        <is>
          <t>EXPENSE</t>
        </is>
      </c>
      <c r="D361" t="inlineStr">
        <is>
          <t>Transport</t>
        </is>
      </c>
      <c r="E361" s="4" t="n">
        <v>46114</v>
      </c>
      <c r="F361" s="5" t="n">
        <v>7164.89</v>
      </c>
    </row>
    <row r="362">
      <c r="A362" t="inlineStr">
        <is>
          <t>PAY-00361</t>
        </is>
      </c>
      <c r="B362" t="inlineStr">
        <is>
          <t>E-00083</t>
        </is>
      </c>
      <c r="C362" t="inlineStr">
        <is>
          <t>EXPENSE</t>
        </is>
      </c>
      <c r="D362" t="inlineStr">
        <is>
          <t>Transport</t>
        </is>
      </c>
      <c r="E362" s="4" t="n">
        <v>46099</v>
      </c>
      <c r="F362" s="5" t="n">
        <v>6363.82</v>
      </c>
    </row>
    <row r="363">
      <c r="A363" t="inlineStr">
        <is>
          <t>PAY-00362</t>
        </is>
      </c>
      <c r="B363" t="inlineStr">
        <is>
          <t>E-00084</t>
        </is>
      </c>
      <c r="C363" t="inlineStr">
        <is>
          <t>EXPENSE</t>
        </is>
      </c>
      <c r="D363" t="inlineStr">
        <is>
          <t>Transport</t>
        </is>
      </c>
      <c r="E363" s="4" t="n">
        <v>46090</v>
      </c>
      <c r="F363" s="5" t="n">
        <v>3432.86</v>
      </c>
    </row>
    <row r="364">
      <c r="A364" t="inlineStr">
        <is>
          <t>PAY-00363</t>
        </is>
      </c>
      <c r="B364" t="inlineStr">
        <is>
          <t>E-00085</t>
        </is>
      </c>
      <c r="C364" t="inlineStr">
        <is>
          <t>EXPENSE</t>
        </is>
      </c>
      <c r="D364" t="inlineStr">
        <is>
          <t>Marketing</t>
        </is>
      </c>
      <c r="E364" s="4" t="n">
        <v>46105</v>
      </c>
      <c r="F364" s="5" t="n">
        <v>15000.01</v>
      </c>
    </row>
    <row r="365">
      <c r="A365" t="inlineStr">
        <is>
          <t>PAY-00364</t>
        </is>
      </c>
      <c r="B365" t="inlineStr">
        <is>
          <t>E-00086</t>
        </is>
      </c>
      <c r="C365" t="inlineStr">
        <is>
          <t>EXPENSE</t>
        </is>
      </c>
      <c r="D365" t="inlineStr">
        <is>
          <t>Marketing</t>
        </is>
      </c>
      <c r="E365" s="4" t="n">
        <v>46107</v>
      </c>
      <c r="F365" s="5" t="n">
        <v>13721.17</v>
      </c>
    </row>
    <row r="366">
      <c r="A366" t="inlineStr">
        <is>
          <t>PAY-00365</t>
        </is>
      </c>
      <c r="B366" t="inlineStr">
        <is>
          <t>E-00087</t>
        </is>
      </c>
      <c r="C366" t="inlineStr">
        <is>
          <t>EXPENSE</t>
        </is>
      </c>
      <c r="D366" t="inlineStr">
        <is>
          <t>Professional fees</t>
        </is>
      </c>
      <c r="E366" s="4" t="n">
        <v>46103</v>
      </c>
      <c r="F366" s="5" t="n">
        <v>12630.66</v>
      </c>
    </row>
    <row r="367">
      <c r="A367" t="inlineStr">
        <is>
          <t>PAY-00366</t>
        </is>
      </c>
      <c r="B367" t="inlineStr">
        <is>
          <t>E-00088</t>
        </is>
      </c>
      <c r="C367" t="inlineStr">
        <is>
          <t>EXPENSE</t>
        </is>
      </c>
      <c r="D367" t="inlineStr">
        <is>
          <t>Misc</t>
        </is>
      </c>
      <c r="E367" s="4" t="n">
        <v>46099</v>
      </c>
      <c r="F367" s="5" t="n">
        <v>6811.87</v>
      </c>
    </row>
    <row r="368">
      <c r="A368" t="inlineStr">
        <is>
          <t>PAY-00367</t>
        </is>
      </c>
      <c r="B368" t="inlineStr">
        <is>
          <t>E-00089</t>
        </is>
      </c>
      <c r="C368" t="inlineStr">
        <is>
          <t>EXPENSE</t>
        </is>
      </c>
      <c r="D368" t="inlineStr">
        <is>
          <t>Misc</t>
        </is>
      </c>
      <c r="E368" s="4" t="n">
        <v>46096</v>
      </c>
      <c r="F368" s="5" t="n">
        <v>6233.29</v>
      </c>
    </row>
    <row r="369">
      <c r="A369" t="inlineStr">
        <is>
          <t>PAY-00368</t>
        </is>
      </c>
      <c r="B369" t="inlineStr">
        <is>
          <t>E-00090</t>
        </is>
      </c>
      <c r="C369" t="inlineStr">
        <is>
          <t>EXPENSE</t>
        </is>
      </c>
      <c r="D369" t="inlineStr">
        <is>
          <t>Misc</t>
        </is>
      </c>
      <c r="E369" s="4" t="n">
        <v>46099</v>
      </c>
      <c r="F369" s="5" t="n">
        <v>3271.49</v>
      </c>
    </row>
    <row r="370">
      <c r="A370" t="inlineStr">
        <is>
          <t>PAY-00369</t>
        </is>
      </c>
      <c r="B370" t="inlineStr">
        <is>
          <t>S-00217</t>
        </is>
      </c>
      <c r="C370" t="inlineStr">
        <is>
          <t>SALES</t>
        </is>
      </c>
      <c r="D370" t="inlineStr">
        <is>
          <t>Fabrics</t>
        </is>
      </c>
      <c r="E370" s="4" t="n">
        <v>46169</v>
      </c>
      <c r="F370" s="5" t="n">
        <v>26257.5</v>
      </c>
    </row>
    <row r="371">
      <c r="A371" t="inlineStr">
        <is>
          <t>PAY-00370</t>
        </is>
      </c>
      <c r="B371" t="inlineStr">
        <is>
          <t>S-00218</t>
        </is>
      </c>
      <c r="C371" t="inlineStr">
        <is>
          <t>SALES</t>
        </is>
      </c>
      <c r="D371" t="inlineStr">
        <is>
          <t>Garments</t>
        </is>
      </c>
      <c r="E371" s="4" t="n">
        <v>46150</v>
      </c>
      <c r="F371" s="5" t="n">
        <v>10505.6</v>
      </c>
    </row>
    <row r="372">
      <c r="A372" t="inlineStr">
        <is>
          <t>PAY-00371</t>
        </is>
      </c>
      <c r="B372" t="inlineStr">
        <is>
          <t>S-00219</t>
        </is>
      </c>
      <c r="C372" t="inlineStr">
        <is>
          <t>SALES</t>
        </is>
      </c>
      <c r="D372" t="inlineStr">
        <is>
          <t>Fabrics</t>
        </is>
      </c>
      <c r="E372" s="4" t="n">
        <v>46150</v>
      </c>
      <c r="F372" s="5" t="n">
        <v>30601.61</v>
      </c>
    </row>
    <row r="373">
      <c r="A373" t="inlineStr">
        <is>
          <t>PAY-00372</t>
        </is>
      </c>
      <c r="B373" t="inlineStr">
        <is>
          <t>S-00220</t>
        </is>
      </c>
      <c r="C373" t="inlineStr">
        <is>
          <t>SALES</t>
        </is>
      </c>
      <c r="D373" t="inlineStr">
        <is>
          <t>Accessories</t>
        </is>
      </c>
      <c r="E373" s="4" t="n">
        <v>46170</v>
      </c>
      <c r="F373" s="5" t="n">
        <v>67316.24000000001</v>
      </c>
    </row>
    <row r="374">
      <c r="A374" t="inlineStr">
        <is>
          <t>PAY-00373</t>
        </is>
      </c>
      <c r="B374" t="inlineStr">
        <is>
          <t>S-00222</t>
        </is>
      </c>
      <c r="C374" t="inlineStr">
        <is>
          <t>SALES</t>
        </is>
      </c>
      <c r="D374" t="inlineStr">
        <is>
          <t>Garments</t>
        </is>
      </c>
      <c r="E374" s="4" t="n">
        <v>46163</v>
      </c>
      <c r="F374" s="5" t="n">
        <v>39314.18</v>
      </c>
    </row>
    <row r="375">
      <c r="A375" t="inlineStr">
        <is>
          <t>PAY-00374</t>
        </is>
      </c>
      <c r="B375" t="inlineStr">
        <is>
          <t>S-00223</t>
        </is>
      </c>
      <c r="C375" t="inlineStr">
        <is>
          <t>SALES</t>
        </is>
      </c>
      <c r="D375" t="inlineStr">
        <is>
          <t>Garments</t>
        </is>
      </c>
      <c r="E375" s="4" t="n">
        <v>46142</v>
      </c>
      <c r="F375" s="5" t="n">
        <v>9243.85</v>
      </c>
    </row>
    <row r="376">
      <c r="A376" t="inlineStr">
        <is>
          <t>PAY-00375</t>
        </is>
      </c>
      <c r="B376" t="inlineStr">
        <is>
          <t>S-00224</t>
        </is>
      </c>
      <c r="C376" t="inlineStr">
        <is>
          <t>SALES</t>
        </is>
      </c>
      <c r="D376" t="inlineStr">
        <is>
          <t>Fabrics</t>
        </is>
      </c>
      <c r="E376" s="4" t="n">
        <v>46156</v>
      </c>
      <c r="F376" s="5" t="n">
        <v>78579.55</v>
      </c>
    </row>
    <row r="377">
      <c r="A377" t="inlineStr">
        <is>
          <t>PAY-00376</t>
        </is>
      </c>
      <c r="B377" t="inlineStr">
        <is>
          <t>S-00225</t>
        </is>
      </c>
      <c r="C377" t="inlineStr">
        <is>
          <t>SALES</t>
        </is>
      </c>
      <c r="D377" t="inlineStr">
        <is>
          <t>Fabrics</t>
        </is>
      </c>
      <c r="E377" s="4" t="n">
        <v>46174</v>
      </c>
      <c r="F377" s="5" t="n">
        <v>36017.72</v>
      </c>
    </row>
    <row r="378">
      <c r="A378" t="inlineStr">
        <is>
          <t>PAY-00377</t>
        </is>
      </c>
      <c r="B378" t="inlineStr">
        <is>
          <t>S-00226</t>
        </is>
      </c>
      <c r="C378" t="inlineStr">
        <is>
          <t>SALES</t>
        </is>
      </c>
      <c r="D378" t="inlineStr">
        <is>
          <t>Fabrics</t>
        </is>
      </c>
      <c r="E378" s="4" t="n">
        <v>46152</v>
      </c>
      <c r="F378" s="5" t="n">
        <v>93455.06</v>
      </c>
    </row>
    <row r="379">
      <c r="A379" t="inlineStr">
        <is>
          <t>PAY-00378</t>
        </is>
      </c>
      <c r="B379" t="inlineStr">
        <is>
          <t>S-00227</t>
        </is>
      </c>
      <c r="C379" t="inlineStr">
        <is>
          <t>SALES</t>
        </is>
      </c>
      <c r="D379" t="inlineStr">
        <is>
          <t>Fabrics</t>
        </is>
      </c>
      <c r="E379" s="4" t="n">
        <v>46150</v>
      </c>
      <c r="F379" s="5" t="n">
        <v>10668.72</v>
      </c>
    </row>
    <row r="380">
      <c r="A380" t="inlineStr">
        <is>
          <t>PAY-00379</t>
        </is>
      </c>
      <c r="B380" t="inlineStr">
        <is>
          <t>S-00228</t>
        </is>
      </c>
      <c r="C380" t="inlineStr">
        <is>
          <t>SALES</t>
        </is>
      </c>
      <c r="D380" t="inlineStr">
        <is>
          <t>Accessories</t>
        </is>
      </c>
      <c r="E380" s="4" t="n">
        <v>46171</v>
      </c>
      <c r="F380" s="5" t="n">
        <v>63463.59</v>
      </c>
    </row>
    <row r="381">
      <c r="A381" t="inlineStr">
        <is>
          <t>PAY-00380</t>
        </is>
      </c>
      <c r="B381" t="inlineStr">
        <is>
          <t>S-00229</t>
        </is>
      </c>
      <c r="C381" t="inlineStr">
        <is>
          <t>SALES</t>
        </is>
      </c>
      <c r="D381" t="inlineStr">
        <is>
          <t>Garments</t>
        </is>
      </c>
      <c r="E381" s="4" t="n">
        <v>46192</v>
      </c>
      <c r="F381" s="5" t="n">
        <v>15673.12</v>
      </c>
    </row>
    <row r="382">
      <c r="A382" t="inlineStr">
        <is>
          <t>PAY-00381</t>
        </is>
      </c>
      <c r="B382" t="inlineStr">
        <is>
          <t>S-00230</t>
        </is>
      </c>
      <c r="C382" t="inlineStr">
        <is>
          <t>SALES</t>
        </is>
      </c>
      <c r="D382" t="inlineStr">
        <is>
          <t>Fabrics</t>
        </is>
      </c>
      <c r="E382" s="4" t="n">
        <v>46134</v>
      </c>
      <c r="F382" s="5" t="n">
        <v>39487.81</v>
      </c>
    </row>
    <row r="383">
      <c r="A383" t="inlineStr">
        <is>
          <t>PAY-00382</t>
        </is>
      </c>
      <c r="B383" t="inlineStr">
        <is>
          <t>S-00231</t>
        </is>
      </c>
      <c r="C383" t="inlineStr">
        <is>
          <t>SALES</t>
        </is>
      </c>
      <c r="D383" t="inlineStr">
        <is>
          <t>Garments</t>
        </is>
      </c>
      <c r="E383" s="4" t="n">
        <v>46156</v>
      </c>
      <c r="F383" s="5" t="n">
        <v>18677.06</v>
      </c>
    </row>
    <row r="384">
      <c r="A384" t="inlineStr">
        <is>
          <t>PAY-00383</t>
        </is>
      </c>
      <c r="B384" t="inlineStr">
        <is>
          <t>S-00232</t>
        </is>
      </c>
      <c r="C384" t="inlineStr">
        <is>
          <t>SALES</t>
        </is>
      </c>
      <c r="D384" t="inlineStr">
        <is>
          <t>Garments</t>
        </is>
      </c>
      <c r="E384" s="4" t="n">
        <v>46144</v>
      </c>
      <c r="F384" s="5" t="n">
        <v>73854.49000000001</v>
      </c>
    </row>
    <row r="385">
      <c r="A385" t="inlineStr">
        <is>
          <t>PAY-00384</t>
        </is>
      </c>
      <c r="B385" t="inlineStr">
        <is>
          <t>S-00233</t>
        </is>
      </c>
      <c r="C385" t="inlineStr">
        <is>
          <t>SALES</t>
        </is>
      </c>
      <c r="D385" t="inlineStr">
        <is>
          <t>Fabrics</t>
        </is>
      </c>
      <c r="E385" s="4" t="n">
        <v>46164</v>
      </c>
      <c r="F385" s="5" t="n">
        <v>97135.61</v>
      </c>
    </row>
    <row r="386">
      <c r="A386" t="inlineStr">
        <is>
          <t>PAY-00385</t>
        </is>
      </c>
      <c r="B386" t="inlineStr">
        <is>
          <t>S-00234</t>
        </is>
      </c>
      <c r="C386" t="inlineStr">
        <is>
          <t>SALES</t>
        </is>
      </c>
      <c r="D386" t="inlineStr">
        <is>
          <t>Accessories</t>
        </is>
      </c>
      <c r="E386" s="4" t="n">
        <v>46156</v>
      </c>
      <c r="F386" s="5" t="n">
        <v>88419.75999999999</v>
      </c>
    </row>
    <row r="387">
      <c r="A387" t="inlineStr">
        <is>
          <t>PAY-00386</t>
        </is>
      </c>
      <c r="B387" t="inlineStr">
        <is>
          <t>S-00235</t>
        </is>
      </c>
      <c r="C387" t="inlineStr">
        <is>
          <t>SALES</t>
        </is>
      </c>
      <c r="D387" t="inlineStr">
        <is>
          <t>Accessories</t>
        </is>
      </c>
      <c r="E387" s="4" t="n">
        <v>46143</v>
      </c>
      <c r="F387" s="5" t="n">
        <v>49366.56</v>
      </c>
    </row>
    <row r="388">
      <c r="A388" t="inlineStr">
        <is>
          <t>PAY-00387</t>
        </is>
      </c>
      <c r="B388" t="inlineStr">
        <is>
          <t>S-00236</t>
        </is>
      </c>
      <c r="C388" t="inlineStr">
        <is>
          <t>SALES</t>
        </is>
      </c>
      <c r="D388" t="inlineStr">
        <is>
          <t>Fabrics</t>
        </is>
      </c>
      <c r="E388" s="4" t="n">
        <v>46191</v>
      </c>
      <c r="F388" s="5" t="n">
        <v>61129.28</v>
      </c>
    </row>
    <row r="389">
      <c r="A389" t="inlineStr">
        <is>
          <t>PAY-00388</t>
        </is>
      </c>
      <c r="B389" t="inlineStr">
        <is>
          <t>S-00237</t>
        </is>
      </c>
      <c r="C389" t="inlineStr">
        <is>
          <t>SALES</t>
        </is>
      </c>
      <c r="D389" t="inlineStr">
        <is>
          <t>Garments</t>
        </is>
      </c>
      <c r="E389" s="4" t="n">
        <v>46177</v>
      </c>
      <c r="F389" s="5" t="n">
        <v>103732.96</v>
      </c>
    </row>
    <row r="390">
      <c r="A390" t="inlineStr">
        <is>
          <t>PAY-00389</t>
        </is>
      </c>
      <c r="B390" t="inlineStr">
        <is>
          <t>S-00238</t>
        </is>
      </c>
      <c r="C390" t="inlineStr">
        <is>
          <t>SALES</t>
        </is>
      </c>
      <c r="D390" t="inlineStr">
        <is>
          <t>Fabrics</t>
        </is>
      </c>
      <c r="E390" s="4" t="n">
        <v>46133</v>
      </c>
      <c r="F390" s="5" t="n">
        <v>95907.50999999999</v>
      </c>
    </row>
    <row r="391">
      <c r="A391" t="inlineStr">
        <is>
          <t>PAY-00390</t>
        </is>
      </c>
      <c r="B391" t="inlineStr">
        <is>
          <t>S-00239</t>
        </is>
      </c>
      <c r="C391" t="inlineStr">
        <is>
          <t>SALES</t>
        </is>
      </c>
      <c r="D391" t="inlineStr">
        <is>
          <t>Garments</t>
        </is>
      </c>
      <c r="E391" s="4" t="n">
        <v>46153</v>
      </c>
      <c r="F391" s="5" t="n">
        <v>101821.32</v>
      </c>
    </row>
    <row r="392">
      <c r="A392" t="inlineStr">
        <is>
          <t>PAY-00391</t>
        </is>
      </c>
      <c r="B392" t="inlineStr">
        <is>
          <t>S-00240</t>
        </is>
      </c>
      <c r="C392" t="inlineStr">
        <is>
          <t>SALES</t>
        </is>
      </c>
      <c r="D392" t="inlineStr">
        <is>
          <t>Garments</t>
        </is>
      </c>
      <c r="E392" s="4" t="n">
        <v>46166</v>
      </c>
      <c r="F392" s="5" t="n">
        <v>68456.21000000001</v>
      </c>
    </row>
    <row r="393">
      <c r="A393" t="inlineStr">
        <is>
          <t>PAY-00392</t>
        </is>
      </c>
      <c r="B393" t="inlineStr">
        <is>
          <t>S-00241</t>
        </is>
      </c>
      <c r="C393" t="inlineStr">
        <is>
          <t>SALES</t>
        </is>
      </c>
      <c r="D393" t="inlineStr">
        <is>
          <t>Garments</t>
        </is>
      </c>
      <c r="E393" s="4" t="n">
        <v>46158</v>
      </c>
      <c r="F393" s="5" t="n">
        <v>9618.780000000001</v>
      </c>
    </row>
    <row r="394">
      <c r="A394" t="inlineStr">
        <is>
          <t>PAY-00393</t>
        </is>
      </c>
      <c r="B394" t="inlineStr">
        <is>
          <t>S-00242</t>
        </is>
      </c>
      <c r="C394" t="inlineStr">
        <is>
          <t>SALES</t>
        </is>
      </c>
      <c r="D394" t="inlineStr">
        <is>
          <t>Garments</t>
        </is>
      </c>
      <c r="E394" s="4" t="n">
        <v>46172</v>
      </c>
      <c r="F394" s="5" t="n">
        <v>89767.63</v>
      </c>
    </row>
    <row r="395">
      <c r="A395" t="inlineStr">
        <is>
          <t>PAY-00394</t>
        </is>
      </c>
      <c r="B395" t="inlineStr">
        <is>
          <t>S-00243</t>
        </is>
      </c>
      <c r="C395" t="inlineStr">
        <is>
          <t>SALES</t>
        </is>
      </c>
      <c r="D395" t="inlineStr">
        <is>
          <t>Fabrics</t>
        </is>
      </c>
      <c r="E395" s="4" t="n">
        <v>46133</v>
      </c>
      <c r="F395" s="5" t="n">
        <v>86544.48</v>
      </c>
    </row>
    <row r="396">
      <c r="A396" t="inlineStr">
        <is>
          <t>PAY-00395</t>
        </is>
      </c>
      <c r="B396" t="inlineStr">
        <is>
          <t>S-00245</t>
        </is>
      </c>
      <c r="C396" t="inlineStr">
        <is>
          <t>SALES</t>
        </is>
      </c>
      <c r="D396" t="inlineStr">
        <is>
          <t>Fabrics</t>
        </is>
      </c>
      <c r="E396" s="4" t="n">
        <v>46160</v>
      </c>
      <c r="F396" s="5" t="n">
        <v>62627.16</v>
      </c>
    </row>
    <row r="397">
      <c r="A397" t="inlineStr">
        <is>
          <t>PAY-00396</t>
        </is>
      </c>
      <c r="B397" t="inlineStr">
        <is>
          <t>P-00106</t>
        </is>
      </c>
      <c r="C397" t="inlineStr">
        <is>
          <t>PURCHASE</t>
        </is>
      </c>
      <c r="D397" t="inlineStr">
        <is>
          <t>Inventory purchases</t>
        </is>
      </c>
      <c r="E397" s="4" t="n">
        <v>46158</v>
      </c>
      <c r="F397" s="5" t="n">
        <v>98253.32000000001</v>
      </c>
    </row>
    <row r="398">
      <c r="A398" t="inlineStr">
        <is>
          <t>PAY-00397</t>
        </is>
      </c>
      <c r="B398" t="inlineStr">
        <is>
          <t>P-00107</t>
        </is>
      </c>
      <c r="C398" t="inlineStr">
        <is>
          <t>PURCHASE</t>
        </is>
      </c>
      <c r="D398" t="inlineStr">
        <is>
          <t>Inventory purchases</t>
        </is>
      </c>
      <c r="E398" s="4" t="n">
        <v>46145</v>
      </c>
      <c r="F398" s="5" t="n">
        <v>28308.98</v>
      </c>
    </row>
    <row r="399">
      <c r="A399" t="inlineStr">
        <is>
          <t>PAY-00398</t>
        </is>
      </c>
      <c r="B399" t="inlineStr">
        <is>
          <t>P-00108</t>
        </is>
      </c>
      <c r="C399" t="inlineStr">
        <is>
          <t>PURCHASE</t>
        </is>
      </c>
      <c r="D399" t="inlineStr">
        <is>
          <t>Inventory purchases</t>
        </is>
      </c>
      <c r="E399" s="4" t="n">
        <v>46148</v>
      </c>
      <c r="F399" s="5" t="n">
        <v>113845.54</v>
      </c>
    </row>
    <row r="400">
      <c r="A400" t="inlineStr">
        <is>
          <t>PAY-00399</t>
        </is>
      </c>
      <c r="B400" t="inlineStr">
        <is>
          <t>P-00109</t>
        </is>
      </c>
      <c r="C400" t="inlineStr">
        <is>
          <t>PURCHASE</t>
        </is>
      </c>
      <c r="D400" t="inlineStr">
        <is>
          <t>Inventory purchases</t>
        </is>
      </c>
      <c r="E400" s="4" t="n">
        <v>46133</v>
      </c>
      <c r="F400" s="5" t="n">
        <v>100909.23</v>
      </c>
    </row>
    <row r="401">
      <c r="A401" t="inlineStr">
        <is>
          <t>PAY-00400</t>
        </is>
      </c>
      <c r="B401" t="inlineStr">
        <is>
          <t>P-00110</t>
        </is>
      </c>
      <c r="C401" t="inlineStr">
        <is>
          <t>PURCHASE</t>
        </is>
      </c>
      <c r="D401" t="inlineStr">
        <is>
          <t>Inventory purchases</t>
        </is>
      </c>
      <c r="E401" s="4" t="n">
        <v>46140</v>
      </c>
      <c r="F401" s="5" t="n">
        <v>56516.2</v>
      </c>
    </row>
    <row r="402">
      <c r="A402" t="inlineStr">
        <is>
          <t>PAY-00401</t>
        </is>
      </c>
      <c r="B402" t="inlineStr">
        <is>
          <t>P-00111</t>
        </is>
      </c>
      <c r="C402" t="inlineStr">
        <is>
          <t>PURCHASE</t>
        </is>
      </c>
      <c r="D402" t="inlineStr">
        <is>
          <t>Inventory purchases</t>
        </is>
      </c>
      <c r="E402" s="4" t="n">
        <v>46134</v>
      </c>
      <c r="F402" s="5" t="n">
        <v>41333.5</v>
      </c>
    </row>
    <row r="403">
      <c r="A403" t="inlineStr">
        <is>
          <t>PAY-00402</t>
        </is>
      </c>
      <c r="B403" t="inlineStr">
        <is>
          <t>P-00112</t>
        </is>
      </c>
      <c r="C403" t="inlineStr">
        <is>
          <t>PURCHASE</t>
        </is>
      </c>
      <c r="D403" t="inlineStr">
        <is>
          <t>Inventory purchases</t>
        </is>
      </c>
      <c r="E403" s="4" t="n">
        <v>46144</v>
      </c>
      <c r="F403" s="5" t="n">
        <v>44111.15</v>
      </c>
    </row>
    <row r="404">
      <c r="A404" t="inlineStr">
        <is>
          <t>PAY-00403</t>
        </is>
      </c>
      <c r="B404" t="inlineStr">
        <is>
          <t>P-00113</t>
        </is>
      </c>
      <c r="C404" t="inlineStr">
        <is>
          <t>PURCHASE</t>
        </is>
      </c>
      <c r="D404" t="inlineStr">
        <is>
          <t>Inventory purchases</t>
        </is>
      </c>
      <c r="E404" s="4" t="n">
        <v>46137</v>
      </c>
      <c r="F404" s="5" t="n">
        <v>101450.42</v>
      </c>
    </row>
    <row r="405">
      <c r="A405" t="inlineStr">
        <is>
          <t>PAY-00404</t>
        </is>
      </c>
      <c r="B405" t="inlineStr">
        <is>
          <t>P-00114</t>
        </is>
      </c>
      <c r="C405" t="inlineStr">
        <is>
          <t>PURCHASE</t>
        </is>
      </c>
      <c r="D405" t="inlineStr">
        <is>
          <t>Inventory purchases</t>
        </is>
      </c>
      <c r="E405" s="4" t="n">
        <v>46144</v>
      </c>
      <c r="F405" s="5" t="n">
        <v>24595.61</v>
      </c>
    </row>
    <row r="406">
      <c r="A406" t="inlineStr">
        <is>
          <t>PAY-00405</t>
        </is>
      </c>
      <c r="B406" t="inlineStr">
        <is>
          <t>P-00115</t>
        </is>
      </c>
      <c r="C406" t="inlineStr">
        <is>
          <t>PURCHASE</t>
        </is>
      </c>
      <c r="D406" t="inlineStr">
        <is>
          <t>Inventory purchases</t>
        </is>
      </c>
      <c r="E406" s="4" t="n">
        <v>46158</v>
      </c>
      <c r="F406" s="5" t="n">
        <v>30004.82</v>
      </c>
    </row>
    <row r="407">
      <c r="A407" t="inlineStr">
        <is>
          <t>PAY-00406</t>
        </is>
      </c>
      <c r="B407" t="inlineStr">
        <is>
          <t>P-00116</t>
        </is>
      </c>
      <c r="C407" t="inlineStr">
        <is>
          <t>PURCHASE</t>
        </is>
      </c>
      <c r="D407" t="inlineStr">
        <is>
          <t>Inventory purchases</t>
        </is>
      </c>
      <c r="E407" s="4" t="n">
        <v>46149</v>
      </c>
      <c r="F407" s="5" t="n">
        <v>10571.99</v>
      </c>
    </row>
    <row r="408">
      <c r="A408" t="inlineStr">
        <is>
          <t>PAY-00407</t>
        </is>
      </c>
      <c r="B408" t="inlineStr">
        <is>
          <t>P-00117</t>
        </is>
      </c>
      <c r="C408" t="inlineStr">
        <is>
          <t>PURCHASE</t>
        </is>
      </c>
      <c r="D408" t="inlineStr">
        <is>
          <t>Inventory purchases</t>
        </is>
      </c>
      <c r="E408" s="4" t="n">
        <v>46130</v>
      </c>
      <c r="F408" s="5" t="n">
        <v>60593.97</v>
      </c>
    </row>
    <row r="409">
      <c r="A409" t="inlineStr">
        <is>
          <t>PAY-00408</t>
        </is>
      </c>
      <c r="B409" t="inlineStr">
        <is>
          <t>P-00118</t>
        </is>
      </c>
      <c r="C409" t="inlineStr">
        <is>
          <t>PURCHASE</t>
        </is>
      </c>
      <c r="D409" t="inlineStr">
        <is>
          <t>Inventory purchases</t>
        </is>
      </c>
      <c r="E409" s="4" t="n">
        <v>46151</v>
      </c>
      <c r="F409" s="5" t="n">
        <v>105132.58</v>
      </c>
    </row>
    <row r="410">
      <c r="A410" t="inlineStr">
        <is>
          <t>PAY-00409</t>
        </is>
      </c>
      <c r="B410" t="inlineStr">
        <is>
          <t>P-00119</t>
        </is>
      </c>
      <c r="C410" t="inlineStr">
        <is>
          <t>PURCHASE</t>
        </is>
      </c>
      <c r="D410" t="inlineStr">
        <is>
          <t>Inventory purchases</t>
        </is>
      </c>
      <c r="E410" s="4" t="n">
        <v>46146</v>
      </c>
      <c r="F410" s="5" t="n">
        <v>11852.28</v>
      </c>
    </row>
    <row r="411">
      <c r="A411" t="inlineStr">
        <is>
          <t>PAY-00410</t>
        </is>
      </c>
      <c r="B411" t="inlineStr">
        <is>
          <t>P-00120</t>
        </is>
      </c>
      <c r="C411" t="inlineStr">
        <is>
          <t>PURCHASE</t>
        </is>
      </c>
      <c r="D411" t="inlineStr">
        <is>
          <t>Inventory purchases</t>
        </is>
      </c>
      <c r="E411" s="4" t="n">
        <v>46153</v>
      </c>
      <c r="F411" s="5" t="n">
        <v>60831.66</v>
      </c>
    </row>
    <row r="412">
      <c r="A412" t="inlineStr">
        <is>
          <t>PAY-00411</t>
        </is>
      </c>
      <c r="B412" t="inlineStr">
        <is>
          <t>E-00091</t>
        </is>
      </c>
      <c r="C412" t="inlineStr">
        <is>
          <t>EXPENSE</t>
        </is>
      </c>
      <c r="D412" t="inlineStr">
        <is>
          <t>Rent</t>
        </is>
      </c>
      <c r="E412" s="4" t="n">
        <v>46134</v>
      </c>
      <c r="F412" s="5" t="n">
        <v>29806.72</v>
      </c>
    </row>
    <row r="413">
      <c r="A413" t="inlineStr">
        <is>
          <t>PAY-00412</t>
        </is>
      </c>
      <c r="B413" t="inlineStr">
        <is>
          <t>E-00092</t>
        </is>
      </c>
      <c r="C413" t="inlineStr">
        <is>
          <t>EXPENSE</t>
        </is>
      </c>
      <c r="D413" t="inlineStr">
        <is>
          <t>Salaries</t>
        </is>
      </c>
      <c r="E413" s="4" t="n">
        <v>46133</v>
      </c>
      <c r="F413" s="5" t="n">
        <v>84177.06</v>
      </c>
    </row>
    <row r="414">
      <c r="A414" t="inlineStr">
        <is>
          <t>PAY-00413</t>
        </is>
      </c>
      <c r="B414" t="inlineStr">
        <is>
          <t>E-00093</t>
        </is>
      </c>
      <c r="C414" t="inlineStr">
        <is>
          <t>EXPENSE</t>
        </is>
      </c>
      <c r="D414" t="inlineStr">
        <is>
          <t>Utilities</t>
        </is>
      </c>
      <c r="E414" s="4" t="n">
        <v>46128</v>
      </c>
      <c r="F414" s="5" t="n">
        <v>7818.74</v>
      </c>
    </row>
    <row r="415">
      <c r="A415" t="inlineStr">
        <is>
          <t>PAY-00414</t>
        </is>
      </c>
      <c r="B415" t="inlineStr">
        <is>
          <t>E-00094</t>
        </is>
      </c>
      <c r="C415" t="inlineStr">
        <is>
          <t>EXPENSE</t>
        </is>
      </c>
      <c r="D415" t="inlineStr">
        <is>
          <t>Transport</t>
        </is>
      </c>
      <c r="E415" s="4" t="n">
        <v>46133</v>
      </c>
      <c r="F415" s="5" t="n">
        <v>8333.99</v>
      </c>
    </row>
    <row r="416">
      <c r="A416" t="inlineStr">
        <is>
          <t>PAY-00415</t>
        </is>
      </c>
      <c r="B416" t="inlineStr">
        <is>
          <t>E-00095</t>
        </is>
      </c>
      <c r="C416" t="inlineStr">
        <is>
          <t>EXPENSE</t>
        </is>
      </c>
      <c r="D416" t="inlineStr">
        <is>
          <t>Transport</t>
        </is>
      </c>
      <c r="E416" s="4" t="n">
        <v>46117</v>
      </c>
      <c r="F416" s="5" t="n">
        <v>6071.88</v>
      </c>
    </row>
    <row r="417">
      <c r="A417" t="inlineStr">
        <is>
          <t>PAY-00416</t>
        </is>
      </c>
      <c r="B417" t="inlineStr">
        <is>
          <t>E-00096</t>
        </is>
      </c>
      <c r="C417" t="inlineStr">
        <is>
          <t>EXPENSE</t>
        </is>
      </c>
      <c r="D417" t="inlineStr">
        <is>
          <t>Transport</t>
        </is>
      </c>
      <c r="E417" s="4" t="n">
        <v>46145</v>
      </c>
      <c r="F417" s="5" t="n">
        <v>1260.15</v>
      </c>
    </row>
    <row r="418">
      <c r="A418" t="inlineStr">
        <is>
          <t>PAY-00417</t>
        </is>
      </c>
      <c r="B418" t="inlineStr">
        <is>
          <t>E-00097</t>
        </is>
      </c>
      <c r="C418" t="inlineStr">
        <is>
          <t>EXPENSE</t>
        </is>
      </c>
      <c r="D418" t="inlineStr">
        <is>
          <t>Transport</t>
        </is>
      </c>
      <c r="E418" s="4" t="n">
        <v>46139</v>
      </c>
      <c r="F418" s="5" t="n">
        <v>3604.77</v>
      </c>
    </row>
    <row r="419">
      <c r="A419" t="inlineStr">
        <is>
          <t>PAY-00418</t>
        </is>
      </c>
      <c r="B419" t="inlineStr">
        <is>
          <t>E-00098</t>
        </is>
      </c>
      <c r="C419" t="inlineStr">
        <is>
          <t>EXPENSE</t>
        </is>
      </c>
      <c r="D419" t="inlineStr">
        <is>
          <t>Transport</t>
        </is>
      </c>
      <c r="E419" s="4" t="n">
        <v>46139</v>
      </c>
      <c r="F419" s="5" t="n">
        <v>5075.02</v>
      </c>
    </row>
    <row r="420">
      <c r="A420" t="inlineStr">
        <is>
          <t>PAY-00419</t>
        </is>
      </c>
      <c r="B420" t="inlineStr">
        <is>
          <t>E-00099</t>
        </is>
      </c>
      <c r="C420" t="inlineStr">
        <is>
          <t>EXPENSE</t>
        </is>
      </c>
      <c r="D420" t="inlineStr">
        <is>
          <t>Transport</t>
        </is>
      </c>
      <c r="E420" s="4" t="n">
        <v>46118</v>
      </c>
      <c r="F420" s="5" t="n">
        <v>1407.85</v>
      </c>
    </row>
    <row r="421">
      <c r="A421" t="inlineStr">
        <is>
          <t>PAY-00420</t>
        </is>
      </c>
      <c r="B421" t="inlineStr">
        <is>
          <t>E-00100</t>
        </is>
      </c>
      <c r="C421" t="inlineStr">
        <is>
          <t>EXPENSE</t>
        </is>
      </c>
      <c r="D421" t="inlineStr">
        <is>
          <t>Marketing</t>
        </is>
      </c>
      <c r="E421" s="4" t="n">
        <v>46150</v>
      </c>
      <c r="F421" s="5" t="n">
        <v>15400.68</v>
      </c>
    </row>
    <row r="422">
      <c r="A422" t="inlineStr">
        <is>
          <t>PAY-00421</t>
        </is>
      </c>
      <c r="B422" t="inlineStr">
        <is>
          <t>E-00101</t>
        </is>
      </c>
      <c r="C422" t="inlineStr">
        <is>
          <t>EXPENSE</t>
        </is>
      </c>
      <c r="D422" t="inlineStr">
        <is>
          <t>Marketing</t>
        </is>
      </c>
      <c r="E422" s="4" t="n">
        <v>46134</v>
      </c>
      <c r="F422" s="5" t="n">
        <v>15184.55</v>
      </c>
    </row>
    <row r="423">
      <c r="A423" t="inlineStr">
        <is>
          <t>PAY-00422</t>
        </is>
      </c>
      <c r="B423" t="inlineStr">
        <is>
          <t>E-00102</t>
        </is>
      </c>
      <c r="C423" t="inlineStr">
        <is>
          <t>EXPENSE</t>
        </is>
      </c>
      <c r="D423" t="inlineStr">
        <is>
          <t>Professional fees</t>
        </is>
      </c>
      <c r="E423" s="4" t="n">
        <v>46131</v>
      </c>
      <c r="F423" s="5" t="n">
        <v>8557.870000000001</v>
      </c>
    </row>
    <row r="424">
      <c r="A424" t="inlineStr">
        <is>
          <t>PAY-00423</t>
        </is>
      </c>
      <c r="B424" t="inlineStr">
        <is>
          <t>E-00103</t>
        </is>
      </c>
      <c r="C424" t="inlineStr">
        <is>
          <t>EXPENSE</t>
        </is>
      </c>
      <c r="D424" t="inlineStr">
        <is>
          <t>Misc</t>
        </is>
      </c>
      <c r="E424" s="4" t="n">
        <v>46145</v>
      </c>
      <c r="F424" s="5" t="n">
        <v>2261.35</v>
      </c>
    </row>
    <row r="425">
      <c r="A425" t="inlineStr">
        <is>
          <t>PAY-00424</t>
        </is>
      </c>
      <c r="B425" t="inlineStr">
        <is>
          <t>E-00104</t>
        </is>
      </c>
      <c r="C425" t="inlineStr">
        <is>
          <t>EXPENSE</t>
        </is>
      </c>
      <c r="D425" t="inlineStr">
        <is>
          <t>Misc</t>
        </is>
      </c>
      <c r="E425" s="4" t="n">
        <v>46133</v>
      </c>
      <c r="F425" s="5" t="n">
        <v>2252.42</v>
      </c>
    </row>
    <row r="426">
      <c r="A426" t="inlineStr">
        <is>
          <t>PAY-00425</t>
        </is>
      </c>
      <c r="B426" t="inlineStr">
        <is>
          <t>E-00105</t>
        </is>
      </c>
      <c r="C426" t="inlineStr">
        <is>
          <t>EXPENSE</t>
        </is>
      </c>
      <c r="D426" t="inlineStr">
        <is>
          <t>Misc</t>
        </is>
      </c>
      <c r="E426" s="4" t="n">
        <v>46123</v>
      </c>
      <c r="F426" s="5" t="n">
        <v>1347.47</v>
      </c>
    </row>
    <row r="427">
      <c r="A427" t="inlineStr">
        <is>
          <t>PAY-00426</t>
        </is>
      </c>
      <c r="B427" t="inlineStr">
        <is>
          <t>S-00246</t>
        </is>
      </c>
      <c r="C427" t="inlineStr">
        <is>
          <t>SALES</t>
        </is>
      </c>
      <c r="D427" t="inlineStr">
        <is>
          <t>Fabrics</t>
        </is>
      </c>
      <c r="E427" s="4" t="n">
        <v>46206</v>
      </c>
      <c r="F427" s="5" t="n">
        <v>13672.33</v>
      </c>
    </row>
    <row r="428">
      <c r="A428" t="inlineStr">
        <is>
          <t>PAY-00427</t>
        </is>
      </c>
      <c r="B428" t="inlineStr">
        <is>
          <t>S-00247</t>
        </is>
      </c>
      <c r="C428" t="inlineStr">
        <is>
          <t>SALES</t>
        </is>
      </c>
      <c r="D428" t="inlineStr">
        <is>
          <t>Fabrics</t>
        </is>
      </c>
      <c r="E428" s="4" t="n">
        <v>46209</v>
      </c>
      <c r="F428" s="5" t="n">
        <v>25917.5</v>
      </c>
    </row>
    <row r="429">
      <c r="A429" t="inlineStr">
        <is>
          <t>PAY-00428</t>
        </is>
      </c>
      <c r="B429" t="inlineStr">
        <is>
          <t>S-00248</t>
        </is>
      </c>
      <c r="C429" t="inlineStr">
        <is>
          <t>SALES</t>
        </is>
      </c>
      <c r="D429" t="inlineStr">
        <is>
          <t>Accessories</t>
        </is>
      </c>
      <c r="E429" s="4" t="n">
        <v>46182</v>
      </c>
      <c r="F429" s="5" t="n">
        <v>28262.6</v>
      </c>
    </row>
    <row r="430">
      <c r="A430" t="inlineStr">
        <is>
          <t>PAY-00429</t>
        </is>
      </c>
      <c r="B430" t="inlineStr">
        <is>
          <t>S-00249</t>
        </is>
      </c>
      <c r="C430" t="inlineStr">
        <is>
          <t>SALES</t>
        </is>
      </c>
      <c r="D430" t="inlineStr">
        <is>
          <t>Garments</t>
        </is>
      </c>
      <c r="E430" s="4" t="n">
        <v>46200</v>
      </c>
      <c r="F430" s="5" t="n">
        <v>72504.92</v>
      </c>
    </row>
    <row r="431">
      <c r="A431" t="inlineStr">
        <is>
          <t>PAY-00430</t>
        </is>
      </c>
      <c r="B431" t="inlineStr">
        <is>
          <t>S-00250</t>
        </is>
      </c>
      <c r="C431" t="inlineStr">
        <is>
          <t>SALES</t>
        </is>
      </c>
      <c r="D431" t="inlineStr">
        <is>
          <t>Accessories</t>
        </is>
      </c>
      <c r="E431" s="4" t="n">
        <v>46227</v>
      </c>
      <c r="F431" s="5" t="n">
        <v>42270.58</v>
      </c>
    </row>
    <row r="432">
      <c r="A432" t="inlineStr">
        <is>
          <t>PAY-00431</t>
        </is>
      </c>
      <c r="B432" t="inlineStr">
        <is>
          <t>S-00251</t>
        </is>
      </c>
      <c r="C432" t="inlineStr">
        <is>
          <t>SALES</t>
        </is>
      </c>
      <c r="D432" t="inlineStr">
        <is>
          <t>Fabrics</t>
        </is>
      </c>
      <c r="E432" s="4" t="n">
        <v>46200</v>
      </c>
      <c r="F432" s="5" t="n">
        <v>48340.39</v>
      </c>
    </row>
    <row r="433">
      <c r="A433" t="inlineStr">
        <is>
          <t>PAY-00432</t>
        </is>
      </c>
      <c r="B433" t="inlineStr">
        <is>
          <t>S-00252</t>
        </is>
      </c>
      <c r="C433" t="inlineStr">
        <is>
          <t>SALES</t>
        </is>
      </c>
      <c r="D433" t="inlineStr">
        <is>
          <t>Garments</t>
        </is>
      </c>
      <c r="E433" s="4" t="n">
        <v>46211</v>
      </c>
      <c r="F433" s="5" t="n">
        <v>93377.60000000001</v>
      </c>
    </row>
    <row r="434">
      <c r="A434" t="inlineStr">
        <is>
          <t>PAY-00433</t>
        </is>
      </c>
      <c r="B434" t="inlineStr">
        <is>
          <t>S-00254</t>
        </is>
      </c>
      <c r="C434" t="inlineStr">
        <is>
          <t>SALES</t>
        </is>
      </c>
      <c r="D434" t="inlineStr">
        <is>
          <t>Garments</t>
        </is>
      </c>
      <c r="E434" s="4" t="n">
        <v>46183</v>
      </c>
      <c r="F434" s="5" t="n">
        <v>61762.44</v>
      </c>
    </row>
    <row r="435">
      <c r="A435" t="inlineStr">
        <is>
          <t>PAY-00434</t>
        </is>
      </c>
      <c r="B435" t="inlineStr">
        <is>
          <t>S-00255</t>
        </is>
      </c>
      <c r="C435" t="inlineStr">
        <is>
          <t>SALES</t>
        </is>
      </c>
      <c r="D435" t="inlineStr">
        <is>
          <t>Fabrics</t>
        </is>
      </c>
      <c r="E435" s="4" t="n">
        <v>46176</v>
      </c>
      <c r="F435" s="5" t="n">
        <v>37495.2</v>
      </c>
    </row>
    <row r="436">
      <c r="A436" t="inlineStr">
        <is>
          <t>PAY-00435</t>
        </is>
      </c>
      <c r="B436" t="inlineStr">
        <is>
          <t>S-00256</t>
        </is>
      </c>
      <c r="C436" t="inlineStr">
        <is>
          <t>SALES</t>
        </is>
      </c>
      <c r="D436" t="inlineStr">
        <is>
          <t>Garments</t>
        </is>
      </c>
      <c r="E436" s="4" t="n">
        <v>46182</v>
      </c>
      <c r="F436" s="5" t="n">
        <v>70456.42</v>
      </c>
    </row>
    <row r="437">
      <c r="A437" t="inlineStr">
        <is>
          <t>PAY-00436</t>
        </is>
      </c>
      <c r="B437" t="inlineStr">
        <is>
          <t>S-00259</t>
        </is>
      </c>
      <c r="C437" t="inlineStr">
        <is>
          <t>SALES</t>
        </is>
      </c>
      <c r="D437" t="inlineStr">
        <is>
          <t>Garments</t>
        </is>
      </c>
      <c r="E437" s="4" t="n">
        <v>46192</v>
      </c>
      <c r="F437" s="5" t="n">
        <v>63845.73</v>
      </c>
    </row>
    <row r="438">
      <c r="A438" t="inlineStr">
        <is>
          <t>PAY-00437</t>
        </is>
      </c>
      <c r="B438" t="inlineStr">
        <is>
          <t>S-00260</t>
        </is>
      </c>
      <c r="C438" t="inlineStr">
        <is>
          <t>SALES</t>
        </is>
      </c>
      <c r="D438" t="inlineStr">
        <is>
          <t>Garments</t>
        </is>
      </c>
      <c r="E438" s="4" t="n">
        <v>46177</v>
      </c>
      <c r="F438" s="5" t="n">
        <v>87079.98</v>
      </c>
    </row>
    <row r="439">
      <c r="A439" t="inlineStr">
        <is>
          <t>PAY-00438</t>
        </is>
      </c>
      <c r="B439" t="inlineStr">
        <is>
          <t>S-00261</t>
        </is>
      </c>
      <c r="C439" t="inlineStr">
        <is>
          <t>SALES</t>
        </is>
      </c>
      <c r="D439" t="inlineStr">
        <is>
          <t>Fabrics</t>
        </is>
      </c>
      <c r="E439" s="4" t="n">
        <v>46190</v>
      </c>
      <c r="F439" s="5" t="n">
        <v>15642.22</v>
      </c>
    </row>
    <row r="440">
      <c r="A440" t="inlineStr">
        <is>
          <t>PAY-00439</t>
        </is>
      </c>
      <c r="B440" t="inlineStr">
        <is>
          <t>S-00262</t>
        </is>
      </c>
      <c r="C440" t="inlineStr">
        <is>
          <t>SALES</t>
        </is>
      </c>
      <c r="D440" t="inlineStr">
        <is>
          <t>Garments</t>
        </is>
      </c>
      <c r="E440" s="4" t="n">
        <v>46215</v>
      </c>
      <c r="F440" s="5" t="n">
        <v>49054.44</v>
      </c>
    </row>
    <row r="441">
      <c r="A441" t="inlineStr">
        <is>
          <t>PAY-00440</t>
        </is>
      </c>
      <c r="B441" t="inlineStr">
        <is>
          <t>S-00263</t>
        </is>
      </c>
      <c r="C441" t="inlineStr">
        <is>
          <t>SALES</t>
        </is>
      </c>
      <c r="D441" t="inlineStr">
        <is>
          <t>Accessories</t>
        </is>
      </c>
      <c r="E441" s="4" t="n">
        <v>46212</v>
      </c>
      <c r="F441" s="5" t="n">
        <v>72166.81</v>
      </c>
    </row>
    <row r="442">
      <c r="A442" t="inlineStr">
        <is>
          <t>PAY-00441</t>
        </is>
      </c>
      <c r="B442" t="inlineStr">
        <is>
          <t>S-00264</t>
        </is>
      </c>
      <c r="C442" t="inlineStr">
        <is>
          <t>SALES</t>
        </is>
      </c>
      <c r="D442" t="inlineStr">
        <is>
          <t>Fabrics</t>
        </is>
      </c>
      <c r="E442" s="4" t="n">
        <v>46200</v>
      </c>
      <c r="F442" s="5" t="n">
        <v>72222.85000000001</v>
      </c>
    </row>
    <row r="443">
      <c r="A443" t="inlineStr">
        <is>
          <t>PAY-00442</t>
        </is>
      </c>
      <c r="B443" t="inlineStr">
        <is>
          <t>S-00266</t>
        </is>
      </c>
      <c r="C443" t="inlineStr">
        <is>
          <t>SALES</t>
        </is>
      </c>
      <c r="D443" t="inlineStr">
        <is>
          <t>Garments</t>
        </is>
      </c>
      <c r="E443" s="4" t="n">
        <v>46202</v>
      </c>
      <c r="F443" s="5" t="n">
        <v>22069.05</v>
      </c>
    </row>
    <row r="444">
      <c r="A444" t="inlineStr">
        <is>
          <t>PAY-00443</t>
        </is>
      </c>
      <c r="B444" t="inlineStr">
        <is>
          <t>S-00267</t>
        </is>
      </c>
      <c r="C444" t="inlineStr">
        <is>
          <t>SALES</t>
        </is>
      </c>
      <c r="D444" t="inlineStr">
        <is>
          <t>Garments</t>
        </is>
      </c>
      <c r="E444" s="4" t="n">
        <v>46195</v>
      </c>
      <c r="F444" s="5" t="n">
        <v>69751.37</v>
      </c>
    </row>
    <row r="445">
      <c r="A445" t="inlineStr">
        <is>
          <t>PAY-00444</t>
        </is>
      </c>
      <c r="B445" t="inlineStr">
        <is>
          <t>S-00268</t>
        </is>
      </c>
      <c r="C445" t="inlineStr">
        <is>
          <t>SALES</t>
        </is>
      </c>
      <c r="D445" t="inlineStr">
        <is>
          <t>Accessories</t>
        </is>
      </c>
      <c r="E445" s="4" t="n">
        <v>46169</v>
      </c>
      <c r="F445" s="5" t="n">
        <v>70911.41</v>
      </c>
    </row>
    <row r="446">
      <c r="A446" t="inlineStr">
        <is>
          <t>PAY-00445</t>
        </is>
      </c>
      <c r="B446" t="inlineStr">
        <is>
          <t>S-00269</t>
        </is>
      </c>
      <c r="C446" t="inlineStr">
        <is>
          <t>SALES</t>
        </is>
      </c>
      <c r="D446" t="inlineStr">
        <is>
          <t>Garments</t>
        </is>
      </c>
      <c r="E446" s="4" t="n">
        <v>46175</v>
      </c>
      <c r="F446" s="5" t="n">
        <v>67495.00999999999</v>
      </c>
    </row>
    <row r="447">
      <c r="A447" t="inlineStr">
        <is>
          <t>PAY-00446</t>
        </is>
      </c>
      <c r="B447" t="inlineStr">
        <is>
          <t>S-00270</t>
        </is>
      </c>
      <c r="C447" t="inlineStr">
        <is>
          <t>SALES</t>
        </is>
      </c>
      <c r="D447" t="inlineStr">
        <is>
          <t>Fabrics</t>
        </is>
      </c>
      <c r="E447" s="4" t="n">
        <v>46168</v>
      </c>
      <c r="F447" s="5" t="n">
        <v>99170.48</v>
      </c>
    </row>
    <row r="448">
      <c r="A448" t="inlineStr">
        <is>
          <t>PAY-00447</t>
        </is>
      </c>
      <c r="B448" t="inlineStr">
        <is>
          <t>S-00271</t>
        </is>
      </c>
      <c r="C448" t="inlineStr">
        <is>
          <t>SALES</t>
        </is>
      </c>
      <c r="D448" t="inlineStr">
        <is>
          <t>Garments</t>
        </is>
      </c>
      <c r="E448" s="4" t="n">
        <v>46176</v>
      </c>
      <c r="F448" s="5" t="n">
        <v>63276.1</v>
      </c>
    </row>
    <row r="449">
      <c r="A449" t="inlineStr">
        <is>
          <t>PAY-00448</t>
        </is>
      </c>
      <c r="B449" t="inlineStr">
        <is>
          <t>S-00272</t>
        </is>
      </c>
      <c r="C449" t="inlineStr">
        <is>
          <t>SALES</t>
        </is>
      </c>
      <c r="D449" t="inlineStr">
        <is>
          <t>Fabrics</t>
        </is>
      </c>
      <c r="E449" s="4" t="n">
        <v>46214</v>
      </c>
      <c r="F449" s="5" t="n">
        <v>86920.21000000001</v>
      </c>
    </row>
    <row r="450">
      <c r="A450" t="inlineStr">
        <is>
          <t>PAY-00449</t>
        </is>
      </c>
      <c r="B450" t="inlineStr">
        <is>
          <t>P-00121</t>
        </is>
      </c>
      <c r="C450" t="inlineStr">
        <is>
          <t>PURCHASE</t>
        </is>
      </c>
      <c r="D450" t="inlineStr">
        <is>
          <t>Inventory purchases</t>
        </is>
      </c>
      <c r="E450" s="4" t="n">
        <v>46188</v>
      </c>
      <c r="F450" s="5" t="n">
        <v>37914.25</v>
      </c>
    </row>
    <row r="451">
      <c r="A451" t="inlineStr">
        <is>
          <t>PAY-00450</t>
        </is>
      </c>
      <c r="B451" t="inlineStr">
        <is>
          <t>P-00123</t>
        </is>
      </c>
      <c r="C451" t="inlineStr">
        <is>
          <t>PURCHASE</t>
        </is>
      </c>
      <c r="D451" t="inlineStr">
        <is>
          <t>Inventory purchases</t>
        </is>
      </c>
      <c r="E451" s="4" t="n">
        <v>46189</v>
      </c>
      <c r="F451" s="5" t="n">
        <v>23728.19</v>
      </c>
    </row>
    <row r="452">
      <c r="A452" t="inlineStr">
        <is>
          <t>PAY-00451</t>
        </is>
      </c>
      <c r="B452" t="inlineStr">
        <is>
          <t>P-00124</t>
        </is>
      </c>
      <c r="C452" t="inlineStr">
        <is>
          <t>PURCHASE</t>
        </is>
      </c>
      <c r="D452" t="inlineStr">
        <is>
          <t>Inventory purchases</t>
        </is>
      </c>
      <c r="E452" s="4" t="n">
        <v>46160</v>
      </c>
      <c r="F452" s="5" t="n">
        <v>28259.24</v>
      </c>
    </row>
    <row r="453">
      <c r="A453" t="inlineStr">
        <is>
          <t>PAY-00452</t>
        </is>
      </c>
      <c r="B453" t="inlineStr">
        <is>
          <t>P-00125</t>
        </is>
      </c>
      <c r="C453" t="inlineStr">
        <is>
          <t>PURCHASE</t>
        </is>
      </c>
      <c r="D453" t="inlineStr">
        <is>
          <t>Inventory purchases</t>
        </is>
      </c>
      <c r="E453" s="4" t="n">
        <v>46185</v>
      </c>
      <c r="F453" s="5" t="n">
        <v>110039.51</v>
      </c>
    </row>
    <row r="454">
      <c r="A454" t="inlineStr">
        <is>
          <t>PAY-00453</t>
        </is>
      </c>
      <c r="B454" t="inlineStr">
        <is>
          <t>P-00126</t>
        </is>
      </c>
      <c r="C454" t="inlineStr">
        <is>
          <t>PURCHASE</t>
        </is>
      </c>
      <c r="D454" t="inlineStr">
        <is>
          <t>Inventory purchases</t>
        </is>
      </c>
      <c r="E454" s="4" t="n">
        <v>46185</v>
      </c>
      <c r="F454" s="5" t="n">
        <v>95804.17999999999</v>
      </c>
    </row>
    <row r="455">
      <c r="A455" t="inlineStr">
        <is>
          <t>PAY-00454</t>
        </is>
      </c>
      <c r="B455" t="inlineStr">
        <is>
          <t>P-00127</t>
        </is>
      </c>
      <c r="C455" t="inlineStr">
        <is>
          <t>PURCHASE</t>
        </is>
      </c>
      <c r="D455" t="inlineStr">
        <is>
          <t>Inventory purchases</t>
        </is>
      </c>
      <c r="E455" s="4" t="n">
        <v>46202</v>
      </c>
      <c r="F455" s="5" t="n">
        <v>68883.63</v>
      </c>
    </row>
    <row r="456">
      <c r="A456" t="inlineStr">
        <is>
          <t>PAY-00455</t>
        </is>
      </c>
      <c r="B456" t="inlineStr">
        <is>
          <t>P-00128</t>
        </is>
      </c>
      <c r="C456" t="inlineStr">
        <is>
          <t>PURCHASE</t>
        </is>
      </c>
      <c r="D456" t="inlineStr">
        <is>
          <t>Inventory purchases</t>
        </is>
      </c>
      <c r="E456" s="4" t="n">
        <v>46156</v>
      </c>
      <c r="F456" s="5" t="n">
        <v>62912.76</v>
      </c>
    </row>
    <row r="457">
      <c r="A457" t="inlineStr">
        <is>
          <t>PAY-00456</t>
        </is>
      </c>
      <c r="B457" t="inlineStr">
        <is>
          <t>P-00129</t>
        </is>
      </c>
      <c r="C457" t="inlineStr">
        <is>
          <t>PURCHASE</t>
        </is>
      </c>
      <c r="D457" t="inlineStr">
        <is>
          <t>Inventory purchases</t>
        </is>
      </c>
      <c r="E457" s="4" t="n">
        <v>46178</v>
      </c>
      <c r="F457" s="5" t="n">
        <v>67383.31</v>
      </c>
    </row>
    <row r="458">
      <c r="A458" t="inlineStr">
        <is>
          <t>PAY-00457</t>
        </is>
      </c>
      <c r="B458" t="inlineStr">
        <is>
          <t>P-00130</t>
        </is>
      </c>
      <c r="C458" t="inlineStr">
        <is>
          <t>PURCHASE</t>
        </is>
      </c>
      <c r="D458" t="inlineStr">
        <is>
          <t>Inventory purchases</t>
        </is>
      </c>
      <c r="E458" s="4" t="n">
        <v>46156</v>
      </c>
      <c r="F458" s="5" t="n">
        <v>11404.63</v>
      </c>
    </row>
    <row r="459">
      <c r="A459" t="inlineStr">
        <is>
          <t>PAY-00458</t>
        </is>
      </c>
      <c r="B459" t="inlineStr">
        <is>
          <t>P-00131</t>
        </is>
      </c>
      <c r="C459" t="inlineStr">
        <is>
          <t>PURCHASE</t>
        </is>
      </c>
      <c r="D459" t="inlineStr">
        <is>
          <t>Inventory purchases</t>
        </is>
      </c>
      <c r="E459" s="4" t="n">
        <v>46159</v>
      </c>
      <c r="F459" s="5" t="n">
        <v>15592.53</v>
      </c>
    </row>
    <row r="460">
      <c r="A460" t="inlineStr">
        <is>
          <t>PAY-00459</t>
        </is>
      </c>
      <c r="B460" t="inlineStr">
        <is>
          <t>P-00132</t>
        </is>
      </c>
      <c r="C460" t="inlineStr">
        <is>
          <t>PURCHASE</t>
        </is>
      </c>
      <c r="D460" t="inlineStr">
        <is>
          <t>Inventory purchases</t>
        </is>
      </c>
      <c r="E460" s="4" t="n">
        <v>46180</v>
      </c>
      <c r="F460" s="5" t="n">
        <v>63968.51</v>
      </c>
    </row>
    <row r="461">
      <c r="A461" t="inlineStr">
        <is>
          <t>PAY-00460</t>
        </is>
      </c>
      <c r="B461" t="inlineStr">
        <is>
          <t>P-00133</t>
        </is>
      </c>
      <c r="C461" t="inlineStr">
        <is>
          <t>PURCHASE</t>
        </is>
      </c>
      <c r="D461" t="inlineStr">
        <is>
          <t>Inventory purchases</t>
        </is>
      </c>
      <c r="E461" s="4" t="n">
        <v>46180</v>
      </c>
      <c r="F461" s="5" t="n">
        <v>92732.75</v>
      </c>
    </row>
    <row r="462">
      <c r="A462" t="inlineStr">
        <is>
          <t>PAY-00461</t>
        </is>
      </c>
      <c r="B462" t="inlineStr">
        <is>
          <t>P-00134</t>
        </is>
      </c>
      <c r="C462" t="inlineStr">
        <is>
          <t>PURCHASE</t>
        </is>
      </c>
      <c r="D462" t="inlineStr">
        <is>
          <t>Inventory purchases</t>
        </is>
      </c>
      <c r="E462" s="4" t="n">
        <v>46178</v>
      </c>
      <c r="F462" s="5" t="n">
        <v>74087.22</v>
      </c>
    </row>
    <row r="463">
      <c r="A463" t="inlineStr">
        <is>
          <t>PAY-00462</t>
        </is>
      </c>
      <c r="B463" t="inlineStr">
        <is>
          <t>P-00135</t>
        </is>
      </c>
      <c r="C463" t="inlineStr">
        <is>
          <t>PURCHASE</t>
        </is>
      </c>
      <c r="D463" t="inlineStr">
        <is>
          <t>Inventory purchases</t>
        </is>
      </c>
      <c r="E463" s="4" t="n">
        <v>46171</v>
      </c>
      <c r="F463" s="5" t="n">
        <v>118737.45</v>
      </c>
    </row>
    <row r="464">
      <c r="A464" t="inlineStr">
        <is>
          <t>PAY-00463</t>
        </is>
      </c>
      <c r="B464" t="inlineStr">
        <is>
          <t>P-00136</t>
        </is>
      </c>
      <c r="C464" t="inlineStr">
        <is>
          <t>PURCHASE</t>
        </is>
      </c>
      <c r="D464" t="inlineStr">
        <is>
          <t>Inventory purchases</t>
        </is>
      </c>
      <c r="E464" s="4" t="n">
        <v>46164</v>
      </c>
      <c r="F464" s="5" t="n">
        <v>122016.66</v>
      </c>
    </row>
    <row r="465">
      <c r="A465" t="inlineStr">
        <is>
          <t>PAY-00464</t>
        </is>
      </c>
      <c r="B465" t="inlineStr">
        <is>
          <t>E-00106</t>
        </is>
      </c>
      <c r="C465" t="inlineStr">
        <is>
          <t>EXPENSE</t>
        </is>
      </c>
      <c r="D465" t="inlineStr">
        <is>
          <t>Rent</t>
        </is>
      </c>
      <c r="E465" s="4" t="n">
        <v>46163</v>
      </c>
      <c r="F465" s="5" t="n">
        <v>29316.01</v>
      </c>
    </row>
    <row r="466">
      <c r="A466" t="inlineStr">
        <is>
          <t>PAY-00465</t>
        </is>
      </c>
      <c r="B466" t="inlineStr">
        <is>
          <t>E-00107</t>
        </is>
      </c>
      <c r="C466" t="inlineStr">
        <is>
          <t>EXPENSE</t>
        </is>
      </c>
      <c r="D466" t="inlineStr">
        <is>
          <t>Salaries</t>
        </is>
      </c>
      <c r="E466" s="4" t="n">
        <v>46159</v>
      </c>
      <c r="F466" s="5" t="n">
        <v>85051.72</v>
      </c>
    </row>
    <row r="467">
      <c r="A467" t="inlineStr">
        <is>
          <t>PAY-00466</t>
        </is>
      </c>
      <c r="B467" t="inlineStr">
        <is>
          <t>E-00108</t>
        </is>
      </c>
      <c r="C467" t="inlineStr">
        <is>
          <t>EXPENSE</t>
        </is>
      </c>
      <c r="D467" t="inlineStr">
        <is>
          <t>Utilities</t>
        </is>
      </c>
      <c r="E467" s="4" t="n">
        <v>46156</v>
      </c>
      <c r="F467" s="5" t="n">
        <v>7717.08</v>
      </c>
    </row>
    <row r="468">
      <c r="A468" t="inlineStr">
        <is>
          <t>PAY-00467</t>
        </is>
      </c>
      <c r="B468" t="inlineStr">
        <is>
          <t>E-00109</t>
        </is>
      </c>
      <c r="C468" t="inlineStr">
        <is>
          <t>EXPENSE</t>
        </is>
      </c>
      <c r="D468" t="inlineStr">
        <is>
          <t>Transport</t>
        </is>
      </c>
      <c r="E468" s="4" t="n">
        <v>46148</v>
      </c>
      <c r="F468" s="5" t="n">
        <v>5314.9</v>
      </c>
    </row>
    <row r="469">
      <c r="A469" t="inlineStr">
        <is>
          <t>PAY-00468</t>
        </is>
      </c>
      <c r="B469" t="inlineStr">
        <is>
          <t>E-00110</t>
        </is>
      </c>
      <c r="C469" t="inlineStr">
        <is>
          <t>EXPENSE</t>
        </is>
      </c>
      <c r="D469" t="inlineStr">
        <is>
          <t>Transport</t>
        </is>
      </c>
      <c r="E469" s="4" t="n">
        <v>46178</v>
      </c>
      <c r="F469" s="5" t="n">
        <v>8138.02</v>
      </c>
    </row>
    <row r="470">
      <c r="A470" t="inlineStr">
        <is>
          <t>PAY-00469</t>
        </is>
      </c>
      <c r="B470" t="inlineStr">
        <is>
          <t>E-00111</t>
        </is>
      </c>
      <c r="C470" t="inlineStr">
        <is>
          <t>EXPENSE</t>
        </is>
      </c>
      <c r="D470" t="inlineStr">
        <is>
          <t>Transport</t>
        </is>
      </c>
      <c r="E470" s="4" t="n">
        <v>46160</v>
      </c>
      <c r="F470" s="5" t="n">
        <v>8609.74</v>
      </c>
    </row>
    <row r="471">
      <c r="A471" t="inlineStr">
        <is>
          <t>PAY-00470</t>
        </is>
      </c>
      <c r="B471" t="inlineStr">
        <is>
          <t>E-00112</t>
        </is>
      </c>
      <c r="C471" t="inlineStr">
        <is>
          <t>EXPENSE</t>
        </is>
      </c>
      <c r="D471" t="inlineStr">
        <is>
          <t>Transport</t>
        </is>
      </c>
      <c r="E471" s="4" t="n">
        <v>46169</v>
      </c>
      <c r="F471" s="5" t="n">
        <v>3593.13</v>
      </c>
    </row>
    <row r="472">
      <c r="A472" t="inlineStr">
        <is>
          <t>PAY-00471</t>
        </is>
      </c>
      <c r="B472" t="inlineStr">
        <is>
          <t>E-00113</t>
        </is>
      </c>
      <c r="C472" t="inlineStr">
        <is>
          <t>EXPENSE</t>
        </is>
      </c>
      <c r="D472" t="inlineStr">
        <is>
          <t>Transport</t>
        </is>
      </c>
      <c r="E472" s="4" t="n">
        <v>46171</v>
      </c>
      <c r="F472" s="5" t="n">
        <v>4934.5</v>
      </c>
    </row>
    <row r="473">
      <c r="A473" t="inlineStr">
        <is>
          <t>PAY-00472</t>
        </is>
      </c>
      <c r="B473" t="inlineStr">
        <is>
          <t>E-00114</t>
        </is>
      </c>
      <c r="C473" t="inlineStr">
        <is>
          <t>EXPENSE</t>
        </is>
      </c>
      <c r="D473" t="inlineStr">
        <is>
          <t>Transport</t>
        </is>
      </c>
      <c r="E473" s="4" t="n">
        <v>46158</v>
      </c>
      <c r="F473" s="5" t="n">
        <v>4069.97</v>
      </c>
    </row>
    <row r="474">
      <c r="A474" t="inlineStr">
        <is>
          <t>PAY-00473</t>
        </is>
      </c>
      <c r="B474" t="inlineStr">
        <is>
          <t>E-00115</t>
        </is>
      </c>
      <c r="C474" t="inlineStr">
        <is>
          <t>EXPENSE</t>
        </is>
      </c>
      <c r="D474" t="inlineStr">
        <is>
          <t>Marketing</t>
        </is>
      </c>
      <c r="E474" s="4" t="n">
        <v>46161</v>
      </c>
      <c r="F474" s="5" t="n">
        <v>14025.88</v>
      </c>
    </row>
    <row r="475">
      <c r="A475" t="inlineStr">
        <is>
          <t>PAY-00474</t>
        </is>
      </c>
      <c r="B475" t="inlineStr">
        <is>
          <t>E-00116</t>
        </is>
      </c>
      <c r="C475" t="inlineStr">
        <is>
          <t>EXPENSE</t>
        </is>
      </c>
      <c r="D475" t="inlineStr">
        <is>
          <t>Marketing</t>
        </is>
      </c>
      <c r="E475" s="4" t="n">
        <v>46166</v>
      </c>
      <c r="F475" s="5" t="n">
        <v>12825.5</v>
      </c>
    </row>
    <row r="476">
      <c r="A476" t="inlineStr">
        <is>
          <t>PAY-00475</t>
        </is>
      </c>
      <c r="B476" t="inlineStr">
        <is>
          <t>E-00117</t>
        </is>
      </c>
      <c r="C476" t="inlineStr">
        <is>
          <t>EXPENSE</t>
        </is>
      </c>
      <c r="D476" t="inlineStr">
        <is>
          <t>Professional fees</t>
        </is>
      </c>
      <c r="E476" s="4" t="n">
        <v>46152</v>
      </c>
      <c r="F476" s="5" t="n">
        <v>11566.84</v>
      </c>
    </row>
    <row r="477">
      <c r="A477" t="inlineStr">
        <is>
          <t>PAY-00476</t>
        </is>
      </c>
      <c r="B477" t="inlineStr">
        <is>
          <t>E-00118</t>
        </is>
      </c>
      <c r="C477" t="inlineStr">
        <is>
          <t>EXPENSE</t>
        </is>
      </c>
      <c r="D477" t="inlineStr">
        <is>
          <t>Misc</t>
        </is>
      </c>
      <c r="E477" s="4" t="n">
        <v>46157</v>
      </c>
      <c r="F477" s="5" t="n">
        <v>1352.48</v>
      </c>
    </row>
    <row r="478">
      <c r="A478" t="inlineStr">
        <is>
          <t>PAY-00477</t>
        </is>
      </c>
      <c r="B478" t="inlineStr">
        <is>
          <t>E-00119</t>
        </is>
      </c>
      <c r="C478" t="inlineStr">
        <is>
          <t>EXPENSE</t>
        </is>
      </c>
      <c r="D478" t="inlineStr">
        <is>
          <t>Misc</t>
        </is>
      </c>
      <c r="E478" s="4" t="n">
        <v>46171</v>
      </c>
      <c r="F478" s="5" t="n">
        <v>1405.21</v>
      </c>
    </row>
    <row r="479">
      <c r="A479" t="inlineStr">
        <is>
          <t>PAY-00478</t>
        </is>
      </c>
      <c r="B479" t="inlineStr">
        <is>
          <t>E-00120</t>
        </is>
      </c>
      <c r="C479" t="inlineStr">
        <is>
          <t>EXPENSE</t>
        </is>
      </c>
      <c r="D479" t="inlineStr">
        <is>
          <t>Misc</t>
        </is>
      </c>
      <c r="E479" s="4" t="n">
        <v>46172</v>
      </c>
      <c r="F479" s="5" t="n">
        <v>1245.88</v>
      </c>
    </row>
    <row r="480">
      <c r="A480" t="inlineStr">
        <is>
          <t>PAY-00479</t>
        </is>
      </c>
      <c r="B480" t="inlineStr">
        <is>
          <t>S-00273</t>
        </is>
      </c>
      <c r="C480" t="inlineStr">
        <is>
          <t>SALES</t>
        </is>
      </c>
      <c r="D480" t="inlineStr">
        <is>
          <t>Fabrics</t>
        </is>
      </c>
      <c r="E480" s="4" t="n">
        <v>46238</v>
      </c>
      <c r="F480" s="5" t="n">
        <v>59538.02</v>
      </c>
    </row>
    <row r="481">
      <c r="A481" t="inlineStr">
        <is>
          <t>PAY-00480</t>
        </is>
      </c>
      <c r="B481" t="inlineStr">
        <is>
          <t>S-00274</t>
        </is>
      </c>
      <c r="C481" t="inlineStr">
        <is>
          <t>SALES</t>
        </is>
      </c>
      <c r="D481" t="inlineStr">
        <is>
          <t>Accessories</t>
        </is>
      </c>
      <c r="E481" s="4" t="n">
        <v>46214</v>
      </c>
      <c r="F481" s="5" t="n">
        <v>49279.24</v>
      </c>
    </row>
    <row r="482">
      <c r="A482" t="inlineStr">
        <is>
          <t>PAY-00481</t>
        </is>
      </c>
      <c r="B482" t="inlineStr">
        <is>
          <t>S-00275</t>
        </is>
      </c>
      <c r="C482" t="inlineStr">
        <is>
          <t>SALES</t>
        </is>
      </c>
      <c r="D482" t="inlineStr">
        <is>
          <t>Garments</t>
        </is>
      </c>
      <c r="E482" s="4" t="n">
        <v>46208</v>
      </c>
      <c r="F482" s="5" t="n">
        <v>18530.57</v>
      </c>
    </row>
    <row r="483">
      <c r="A483" t="inlineStr">
        <is>
          <t>PAY-00482</t>
        </is>
      </c>
      <c r="B483" t="inlineStr">
        <is>
          <t>S-00276</t>
        </is>
      </c>
      <c r="C483" t="inlineStr">
        <is>
          <t>SALES</t>
        </is>
      </c>
      <c r="D483" t="inlineStr">
        <is>
          <t>Fabrics</t>
        </is>
      </c>
      <c r="E483" s="4" t="n">
        <v>46215</v>
      </c>
      <c r="F483" s="5" t="n">
        <v>58211.22</v>
      </c>
    </row>
    <row r="484">
      <c r="A484" t="inlineStr">
        <is>
          <t>PAY-00483</t>
        </is>
      </c>
      <c r="B484" t="inlineStr">
        <is>
          <t>S-00277</t>
        </is>
      </c>
      <c r="C484" t="inlineStr">
        <is>
          <t>SALES</t>
        </is>
      </c>
      <c r="D484" t="inlineStr">
        <is>
          <t>Fabrics</t>
        </is>
      </c>
      <c r="E484" s="4" t="n">
        <v>46236</v>
      </c>
      <c r="F484" s="5" t="n">
        <v>48892.69</v>
      </c>
    </row>
    <row r="485">
      <c r="A485" t="inlineStr">
        <is>
          <t>PAY-00484</t>
        </is>
      </c>
      <c r="B485" t="inlineStr">
        <is>
          <t>S-00278</t>
        </is>
      </c>
      <c r="C485" t="inlineStr">
        <is>
          <t>SALES</t>
        </is>
      </c>
      <c r="D485" t="inlineStr">
        <is>
          <t>Garments</t>
        </is>
      </c>
      <c r="E485" s="4" t="n">
        <v>46224</v>
      </c>
      <c r="F485" s="5" t="n">
        <v>12718.59</v>
      </c>
    </row>
    <row r="486">
      <c r="A486" t="inlineStr">
        <is>
          <t>PAY-00485</t>
        </is>
      </c>
      <c r="B486" t="inlineStr">
        <is>
          <t>S-00279</t>
        </is>
      </c>
      <c r="C486" t="inlineStr">
        <is>
          <t>SALES</t>
        </is>
      </c>
      <c r="D486" t="inlineStr">
        <is>
          <t>Fabrics</t>
        </is>
      </c>
      <c r="E486" s="4" t="n">
        <v>46218</v>
      </c>
      <c r="F486" s="5" t="n">
        <v>55312.05</v>
      </c>
    </row>
    <row r="487">
      <c r="A487" t="inlineStr">
        <is>
          <t>PAY-00486</t>
        </is>
      </c>
      <c r="B487" t="inlineStr">
        <is>
          <t>S-00281</t>
        </is>
      </c>
      <c r="C487" t="inlineStr">
        <is>
          <t>SALES</t>
        </is>
      </c>
      <c r="D487" t="inlineStr">
        <is>
          <t>Fabrics</t>
        </is>
      </c>
      <c r="E487" s="4" t="n">
        <v>46202</v>
      </c>
      <c r="F487" s="5" t="n">
        <v>24489.88</v>
      </c>
    </row>
    <row r="488">
      <c r="A488" t="inlineStr">
        <is>
          <t>PAY-00487</t>
        </is>
      </c>
      <c r="B488" t="inlineStr">
        <is>
          <t>S-00283</t>
        </is>
      </c>
      <c r="C488" t="inlineStr">
        <is>
          <t>SALES</t>
        </is>
      </c>
      <c r="D488" t="inlineStr">
        <is>
          <t>Fabrics</t>
        </is>
      </c>
      <c r="E488" s="4" t="n">
        <v>46193</v>
      </c>
      <c r="F488" s="5" t="n">
        <v>80677.39</v>
      </c>
    </row>
    <row r="489">
      <c r="A489" t="inlineStr">
        <is>
          <t>PAY-00488</t>
        </is>
      </c>
      <c r="B489" t="inlineStr">
        <is>
          <t>S-00284</t>
        </is>
      </c>
      <c r="C489" t="inlineStr">
        <is>
          <t>SALES</t>
        </is>
      </c>
      <c r="D489" t="inlineStr">
        <is>
          <t>Fabrics</t>
        </is>
      </c>
      <c r="E489" s="4" t="n">
        <v>46218</v>
      </c>
      <c r="F489" s="5" t="n">
        <v>67642.74000000001</v>
      </c>
    </row>
    <row r="490">
      <c r="A490" t="inlineStr">
        <is>
          <t>PAY-00489</t>
        </is>
      </c>
      <c r="B490" t="inlineStr">
        <is>
          <t>S-00285</t>
        </is>
      </c>
      <c r="C490" t="inlineStr">
        <is>
          <t>SALES</t>
        </is>
      </c>
      <c r="D490" t="inlineStr">
        <is>
          <t>Accessories</t>
        </is>
      </c>
      <c r="E490" s="4" t="n">
        <v>46206</v>
      </c>
      <c r="F490" s="5" t="n">
        <v>62460.94</v>
      </c>
    </row>
    <row r="491">
      <c r="A491" t="inlineStr">
        <is>
          <t>PAY-00490</t>
        </is>
      </c>
      <c r="B491" t="inlineStr">
        <is>
          <t>S-00286</t>
        </is>
      </c>
      <c r="C491" t="inlineStr">
        <is>
          <t>SALES</t>
        </is>
      </c>
      <c r="D491" t="inlineStr">
        <is>
          <t>Garments</t>
        </is>
      </c>
      <c r="E491" s="4" t="n">
        <v>46212</v>
      </c>
      <c r="F491" s="5" t="n">
        <v>32424.49</v>
      </c>
    </row>
    <row r="492">
      <c r="A492" t="inlineStr">
        <is>
          <t>PAY-00491</t>
        </is>
      </c>
      <c r="B492" t="inlineStr">
        <is>
          <t>S-00287</t>
        </is>
      </c>
      <c r="C492" t="inlineStr">
        <is>
          <t>SALES</t>
        </is>
      </c>
      <c r="D492" t="inlineStr">
        <is>
          <t>Garments</t>
        </is>
      </c>
      <c r="E492" s="4" t="n">
        <v>46237</v>
      </c>
      <c r="F492" s="5" t="n">
        <v>84455.82000000001</v>
      </c>
    </row>
    <row r="493">
      <c r="A493" t="inlineStr">
        <is>
          <t>PAY-00492</t>
        </is>
      </c>
      <c r="B493" t="inlineStr">
        <is>
          <t>S-00288</t>
        </is>
      </c>
      <c r="C493" t="inlineStr">
        <is>
          <t>SALES</t>
        </is>
      </c>
      <c r="D493" t="inlineStr">
        <is>
          <t>Accessories</t>
        </is>
      </c>
      <c r="E493" s="4" t="n">
        <v>46230</v>
      </c>
      <c r="F493" s="5" t="n">
        <v>47131.55</v>
      </c>
    </row>
    <row r="494">
      <c r="A494" t="inlineStr">
        <is>
          <t>PAY-00493</t>
        </is>
      </c>
      <c r="B494" t="inlineStr">
        <is>
          <t>S-00289</t>
        </is>
      </c>
      <c r="C494" t="inlineStr">
        <is>
          <t>SALES</t>
        </is>
      </c>
      <c r="D494" t="inlineStr">
        <is>
          <t>Garments</t>
        </is>
      </c>
      <c r="E494" s="4" t="n">
        <v>46220</v>
      </c>
      <c r="F494" s="5" t="n">
        <v>76539.89</v>
      </c>
    </row>
    <row r="495">
      <c r="A495" t="inlineStr">
        <is>
          <t>PAY-00494</t>
        </is>
      </c>
      <c r="B495" t="inlineStr">
        <is>
          <t>S-00290</t>
        </is>
      </c>
      <c r="C495" t="inlineStr">
        <is>
          <t>SALES</t>
        </is>
      </c>
      <c r="D495" t="inlineStr">
        <is>
          <t>Fabrics</t>
        </is>
      </c>
      <c r="E495" s="4" t="n">
        <v>46239</v>
      </c>
      <c r="F495" s="5" t="n">
        <v>45508.98</v>
      </c>
    </row>
    <row r="496">
      <c r="A496" t="inlineStr">
        <is>
          <t>PAY-00495</t>
        </is>
      </c>
      <c r="B496" t="inlineStr">
        <is>
          <t>S-00292</t>
        </is>
      </c>
      <c r="C496" t="inlineStr">
        <is>
          <t>SALES</t>
        </is>
      </c>
      <c r="D496" t="inlineStr">
        <is>
          <t>Garments</t>
        </is>
      </c>
      <c r="E496" s="4" t="n">
        <v>46209</v>
      </c>
      <c r="F496" s="5" t="n">
        <v>77269.48</v>
      </c>
    </row>
    <row r="497">
      <c r="A497" t="inlineStr">
        <is>
          <t>PAY-00496</t>
        </is>
      </c>
      <c r="B497" t="inlineStr">
        <is>
          <t>S-00294</t>
        </is>
      </c>
      <c r="C497" t="inlineStr">
        <is>
          <t>SALES</t>
        </is>
      </c>
      <c r="D497" t="inlineStr">
        <is>
          <t>Garments</t>
        </is>
      </c>
      <c r="E497" s="4" t="n">
        <v>46225</v>
      </c>
      <c r="F497" s="5" t="n">
        <v>44631.55</v>
      </c>
    </row>
    <row r="498">
      <c r="A498" t="inlineStr">
        <is>
          <t>PAY-00497</t>
        </is>
      </c>
      <c r="B498" t="inlineStr">
        <is>
          <t>S-00296</t>
        </is>
      </c>
      <c r="C498" t="inlineStr">
        <is>
          <t>SALES</t>
        </is>
      </c>
      <c r="D498" t="inlineStr">
        <is>
          <t>Fabrics</t>
        </is>
      </c>
      <c r="E498" s="4" t="n">
        <v>46204</v>
      </c>
      <c r="F498" s="5" t="n">
        <v>66479.25</v>
      </c>
    </row>
    <row r="499">
      <c r="A499" t="inlineStr">
        <is>
          <t>PAY-00498</t>
        </is>
      </c>
      <c r="B499" t="inlineStr">
        <is>
          <t>S-00298</t>
        </is>
      </c>
      <c r="C499" t="inlineStr">
        <is>
          <t>SALES</t>
        </is>
      </c>
      <c r="D499" t="inlineStr">
        <is>
          <t>Garments</t>
        </is>
      </c>
      <c r="E499" s="4" t="n">
        <v>46206</v>
      </c>
      <c r="F499" s="5" t="n">
        <v>81301.28999999999</v>
      </c>
    </row>
    <row r="500">
      <c r="A500" t="inlineStr">
        <is>
          <t>PAY-00499</t>
        </is>
      </c>
      <c r="B500" t="inlineStr">
        <is>
          <t>P-00137</t>
        </is>
      </c>
      <c r="C500" t="inlineStr">
        <is>
          <t>PURCHASE</t>
        </is>
      </c>
      <c r="D500" t="inlineStr">
        <is>
          <t>Inventory purchases</t>
        </is>
      </c>
      <c r="E500" s="4" t="n">
        <v>46212</v>
      </c>
      <c r="F500" s="5" t="n">
        <v>55913.31</v>
      </c>
    </row>
    <row r="501">
      <c r="A501" t="inlineStr">
        <is>
          <t>PAY-00500</t>
        </is>
      </c>
      <c r="B501" t="inlineStr">
        <is>
          <t>P-00138</t>
        </is>
      </c>
      <c r="C501" t="inlineStr">
        <is>
          <t>PURCHASE</t>
        </is>
      </c>
      <c r="D501" t="inlineStr">
        <is>
          <t>Inventory purchases</t>
        </is>
      </c>
      <c r="E501" s="4" t="n">
        <v>46227</v>
      </c>
      <c r="F501" s="5" t="n">
        <v>13234.42</v>
      </c>
    </row>
    <row r="502">
      <c r="A502" t="inlineStr">
        <is>
          <t>PAY-00501</t>
        </is>
      </c>
      <c r="B502" t="inlineStr">
        <is>
          <t>P-00139</t>
        </is>
      </c>
      <c r="C502" t="inlineStr">
        <is>
          <t>PURCHASE</t>
        </is>
      </c>
      <c r="D502" t="inlineStr">
        <is>
          <t>Inventory purchases</t>
        </is>
      </c>
      <c r="E502" s="4" t="n">
        <v>46198</v>
      </c>
      <c r="F502" s="5" t="n">
        <v>94562.92999999999</v>
      </c>
    </row>
    <row r="503">
      <c r="A503" t="inlineStr">
        <is>
          <t>PAY-00502</t>
        </is>
      </c>
      <c r="B503" t="inlineStr">
        <is>
          <t>P-00140</t>
        </is>
      </c>
      <c r="C503" t="inlineStr">
        <is>
          <t>PURCHASE</t>
        </is>
      </c>
      <c r="D503" t="inlineStr">
        <is>
          <t>Inventory purchases</t>
        </is>
      </c>
      <c r="E503" s="4" t="n">
        <v>46188</v>
      </c>
      <c r="F503" s="5" t="n">
        <v>68147.00999999999</v>
      </c>
    </row>
    <row r="504">
      <c r="A504" t="inlineStr">
        <is>
          <t>PAY-00503</t>
        </is>
      </c>
      <c r="B504" t="inlineStr">
        <is>
          <t>P-00141</t>
        </is>
      </c>
      <c r="C504" t="inlineStr">
        <is>
          <t>PURCHASE</t>
        </is>
      </c>
      <c r="D504" t="inlineStr">
        <is>
          <t>Inventory purchases</t>
        </is>
      </c>
      <c r="E504" s="4" t="n">
        <v>46217</v>
      </c>
      <c r="F504" s="5" t="n">
        <v>40188.91</v>
      </c>
    </row>
    <row r="505">
      <c r="A505" t="inlineStr">
        <is>
          <t>PAY-00504</t>
        </is>
      </c>
      <c r="B505" t="inlineStr">
        <is>
          <t>P-00142</t>
        </is>
      </c>
      <c r="C505" t="inlineStr">
        <is>
          <t>PURCHASE</t>
        </is>
      </c>
      <c r="D505" t="inlineStr">
        <is>
          <t>Inventory purchases</t>
        </is>
      </c>
      <c r="E505" s="4" t="n">
        <v>46214</v>
      </c>
      <c r="F505" s="5" t="n">
        <v>45101.19</v>
      </c>
    </row>
    <row r="506">
      <c r="A506" t="inlineStr">
        <is>
          <t>PAY-00505</t>
        </is>
      </c>
      <c r="B506" t="inlineStr">
        <is>
          <t>P-00143</t>
        </is>
      </c>
      <c r="C506" t="inlineStr">
        <is>
          <t>PURCHASE</t>
        </is>
      </c>
      <c r="D506" t="inlineStr">
        <is>
          <t>Inventory purchases</t>
        </is>
      </c>
      <c r="E506" s="4" t="n">
        <v>46214</v>
      </c>
      <c r="F506" s="5" t="n">
        <v>99924.47</v>
      </c>
    </row>
    <row r="507">
      <c r="A507" t="inlineStr">
        <is>
          <t>PAY-00506</t>
        </is>
      </c>
      <c r="B507" t="inlineStr">
        <is>
          <t>P-00144</t>
        </is>
      </c>
      <c r="C507" t="inlineStr">
        <is>
          <t>PURCHASE</t>
        </is>
      </c>
      <c r="D507" t="inlineStr">
        <is>
          <t>Inventory purchases</t>
        </is>
      </c>
      <c r="E507" s="4" t="n">
        <v>46212</v>
      </c>
      <c r="F507" s="5" t="n">
        <v>67256.34</v>
      </c>
    </row>
    <row r="508">
      <c r="A508" t="inlineStr">
        <is>
          <t>PAY-00507</t>
        </is>
      </c>
      <c r="B508" t="inlineStr">
        <is>
          <t>P-00145</t>
        </is>
      </c>
      <c r="C508" t="inlineStr">
        <is>
          <t>PURCHASE</t>
        </is>
      </c>
      <c r="D508" t="inlineStr">
        <is>
          <t>Inventory purchases</t>
        </is>
      </c>
      <c r="E508" s="4" t="n">
        <v>46214</v>
      </c>
      <c r="F508" s="5" t="n">
        <v>45830.13</v>
      </c>
    </row>
    <row r="509">
      <c r="A509" t="inlineStr">
        <is>
          <t>PAY-00508</t>
        </is>
      </c>
      <c r="B509" t="inlineStr">
        <is>
          <t>P-00146</t>
        </is>
      </c>
      <c r="C509" t="inlineStr">
        <is>
          <t>PURCHASE</t>
        </is>
      </c>
      <c r="D509" t="inlineStr">
        <is>
          <t>Inventory purchases</t>
        </is>
      </c>
      <c r="E509" s="4" t="n">
        <v>46222</v>
      </c>
      <c r="F509" s="5" t="n">
        <v>67212.46000000001</v>
      </c>
    </row>
    <row r="510">
      <c r="A510" t="inlineStr">
        <is>
          <t>PAY-00509</t>
        </is>
      </c>
      <c r="B510" t="inlineStr">
        <is>
          <t>P-00147</t>
        </is>
      </c>
      <c r="C510" t="inlineStr">
        <is>
          <t>PURCHASE</t>
        </is>
      </c>
      <c r="D510" t="inlineStr">
        <is>
          <t>Inventory purchases</t>
        </is>
      </c>
      <c r="E510" s="4" t="n">
        <v>46212</v>
      </c>
      <c r="F510" s="5" t="n">
        <v>36304.52</v>
      </c>
    </row>
    <row r="511">
      <c r="A511" t="inlineStr">
        <is>
          <t>PAY-00510</t>
        </is>
      </c>
      <c r="B511" t="inlineStr">
        <is>
          <t>P-00148</t>
        </is>
      </c>
      <c r="C511" t="inlineStr">
        <is>
          <t>PURCHASE</t>
        </is>
      </c>
      <c r="D511" t="inlineStr">
        <is>
          <t>Inventory purchases</t>
        </is>
      </c>
      <c r="E511" s="4" t="n">
        <v>46214</v>
      </c>
      <c r="F511" s="5" t="n">
        <v>15743.68</v>
      </c>
    </row>
    <row r="512">
      <c r="A512" t="inlineStr">
        <is>
          <t>PAY-00511</t>
        </is>
      </c>
      <c r="B512" t="inlineStr">
        <is>
          <t>P-00149</t>
        </is>
      </c>
      <c r="C512" t="inlineStr">
        <is>
          <t>PURCHASE</t>
        </is>
      </c>
      <c r="D512" t="inlineStr">
        <is>
          <t>Inventory purchases</t>
        </is>
      </c>
      <c r="E512" s="4" t="n">
        <v>46215</v>
      </c>
      <c r="F512" s="5" t="n">
        <v>68781.61</v>
      </c>
    </row>
    <row r="513">
      <c r="A513" t="inlineStr">
        <is>
          <t>PAY-00512</t>
        </is>
      </c>
      <c r="B513" t="inlineStr">
        <is>
          <t>P-00150</t>
        </is>
      </c>
      <c r="C513" t="inlineStr">
        <is>
          <t>PURCHASE</t>
        </is>
      </c>
      <c r="D513" t="inlineStr">
        <is>
          <t>Inventory purchases</t>
        </is>
      </c>
      <c r="E513" s="4" t="n">
        <v>46193</v>
      </c>
      <c r="F513" s="5" t="n">
        <v>115945.7</v>
      </c>
    </row>
    <row r="514">
      <c r="A514" t="inlineStr">
        <is>
          <t>PAY-00513</t>
        </is>
      </c>
      <c r="B514" t="inlineStr">
        <is>
          <t>P-00151</t>
        </is>
      </c>
      <c r="C514" t="inlineStr">
        <is>
          <t>PURCHASE</t>
        </is>
      </c>
      <c r="D514" t="inlineStr">
        <is>
          <t>Inventory purchases</t>
        </is>
      </c>
      <c r="E514" s="4" t="n">
        <v>46228</v>
      </c>
      <c r="F514" s="5" t="n">
        <v>68921.55</v>
      </c>
    </row>
    <row r="515">
      <c r="A515" t="inlineStr">
        <is>
          <t>PAY-00514</t>
        </is>
      </c>
      <c r="B515" t="inlineStr">
        <is>
          <t>P-00152</t>
        </is>
      </c>
      <c r="C515" t="inlineStr">
        <is>
          <t>PURCHASE</t>
        </is>
      </c>
      <c r="D515" t="inlineStr">
        <is>
          <t>Inventory purchases</t>
        </is>
      </c>
      <c r="E515" s="4" t="n">
        <v>46191</v>
      </c>
      <c r="F515" s="5" t="n">
        <v>96434.85000000001</v>
      </c>
    </row>
    <row r="516">
      <c r="A516" t="inlineStr">
        <is>
          <t>PAY-00515</t>
        </is>
      </c>
      <c r="B516" t="inlineStr">
        <is>
          <t>P-00153</t>
        </is>
      </c>
      <c r="C516" t="inlineStr">
        <is>
          <t>PURCHASE</t>
        </is>
      </c>
      <c r="D516" t="inlineStr">
        <is>
          <t>Inventory purchases</t>
        </is>
      </c>
      <c r="E516" s="4" t="n">
        <v>46205</v>
      </c>
      <c r="F516" s="5" t="n">
        <v>60078.84</v>
      </c>
    </row>
    <row r="517">
      <c r="A517" t="inlineStr">
        <is>
          <t>PAY-00516</t>
        </is>
      </c>
      <c r="B517" t="inlineStr">
        <is>
          <t>P-00154</t>
        </is>
      </c>
      <c r="C517" t="inlineStr">
        <is>
          <t>PURCHASE</t>
        </is>
      </c>
      <c r="D517" t="inlineStr">
        <is>
          <t>Inventory purchases</t>
        </is>
      </c>
      <c r="E517" s="4" t="n">
        <v>46211</v>
      </c>
      <c r="F517" s="5" t="n">
        <v>51339.84</v>
      </c>
    </row>
    <row r="518">
      <c r="A518" t="inlineStr">
        <is>
          <t>PAY-00517</t>
        </is>
      </c>
      <c r="B518" t="inlineStr">
        <is>
          <t>E-00121</t>
        </is>
      </c>
      <c r="C518" t="inlineStr">
        <is>
          <t>EXPENSE</t>
        </is>
      </c>
      <c r="D518" t="inlineStr">
        <is>
          <t>Rent</t>
        </is>
      </c>
      <c r="E518" s="4" t="n">
        <v>46204</v>
      </c>
      <c r="F518" s="5" t="n">
        <v>29678.83</v>
      </c>
    </row>
    <row r="519">
      <c r="A519" t="inlineStr">
        <is>
          <t>PAY-00518</t>
        </is>
      </c>
      <c r="B519" t="inlineStr">
        <is>
          <t>E-00122</t>
        </is>
      </c>
      <c r="C519" t="inlineStr">
        <is>
          <t>EXPENSE</t>
        </is>
      </c>
      <c r="D519" t="inlineStr">
        <is>
          <t>Salaries</t>
        </is>
      </c>
      <c r="E519" s="4" t="n">
        <v>46190</v>
      </c>
      <c r="F519" s="5" t="n">
        <v>84829.63</v>
      </c>
    </row>
    <row r="520">
      <c r="A520" t="inlineStr">
        <is>
          <t>PAY-00519</t>
        </is>
      </c>
      <c r="B520" t="inlineStr">
        <is>
          <t>E-00123</t>
        </is>
      </c>
      <c r="C520" t="inlineStr">
        <is>
          <t>EXPENSE</t>
        </is>
      </c>
      <c r="D520" t="inlineStr">
        <is>
          <t>Utilities</t>
        </is>
      </c>
      <c r="E520" s="4" t="n">
        <v>46184</v>
      </c>
      <c r="F520" s="5" t="n">
        <v>7818.93</v>
      </c>
    </row>
    <row r="521">
      <c r="A521" t="inlineStr">
        <is>
          <t>PAY-00520</t>
        </is>
      </c>
      <c r="B521" t="inlineStr">
        <is>
          <t>E-00124</t>
        </is>
      </c>
      <c r="C521" t="inlineStr">
        <is>
          <t>EXPENSE</t>
        </is>
      </c>
      <c r="D521" t="inlineStr">
        <is>
          <t>Transport</t>
        </is>
      </c>
      <c r="E521" s="4" t="n">
        <v>46176</v>
      </c>
      <c r="F521" s="5" t="n">
        <v>4628.65</v>
      </c>
    </row>
    <row r="522">
      <c r="A522" t="inlineStr">
        <is>
          <t>PAY-00521</t>
        </is>
      </c>
      <c r="B522" t="inlineStr">
        <is>
          <t>E-00125</t>
        </is>
      </c>
      <c r="C522" t="inlineStr">
        <is>
          <t>EXPENSE</t>
        </is>
      </c>
      <c r="D522" t="inlineStr">
        <is>
          <t>Transport</t>
        </is>
      </c>
      <c r="E522" s="4" t="n">
        <v>46182</v>
      </c>
      <c r="F522" s="5" t="n">
        <v>3164.23</v>
      </c>
    </row>
    <row r="523">
      <c r="A523" t="inlineStr">
        <is>
          <t>PAY-00522</t>
        </is>
      </c>
      <c r="B523" t="inlineStr">
        <is>
          <t>E-00126</t>
        </is>
      </c>
      <c r="C523" t="inlineStr">
        <is>
          <t>EXPENSE</t>
        </is>
      </c>
      <c r="D523" t="inlineStr">
        <is>
          <t>Transport</t>
        </is>
      </c>
      <c r="E523" s="4" t="n">
        <v>46186</v>
      </c>
      <c r="F523" s="5" t="n">
        <v>4399.88</v>
      </c>
    </row>
    <row r="524">
      <c r="A524" t="inlineStr">
        <is>
          <t>PAY-00523</t>
        </is>
      </c>
      <c r="B524" t="inlineStr">
        <is>
          <t>E-00127</t>
        </is>
      </c>
      <c r="C524" t="inlineStr">
        <is>
          <t>EXPENSE</t>
        </is>
      </c>
      <c r="D524" t="inlineStr">
        <is>
          <t>Transport</t>
        </is>
      </c>
      <c r="E524" s="4" t="n">
        <v>46208</v>
      </c>
      <c r="F524" s="5" t="n">
        <v>2756.48</v>
      </c>
    </row>
    <row r="525">
      <c r="A525" t="inlineStr">
        <is>
          <t>PAY-00524</t>
        </is>
      </c>
      <c r="B525" t="inlineStr">
        <is>
          <t>E-00128</t>
        </is>
      </c>
      <c r="C525" t="inlineStr">
        <is>
          <t>EXPENSE</t>
        </is>
      </c>
      <c r="D525" t="inlineStr">
        <is>
          <t>Transport</t>
        </is>
      </c>
      <c r="E525" s="4" t="n">
        <v>46198</v>
      </c>
      <c r="F525" s="5" t="n">
        <v>7292.94</v>
      </c>
    </row>
    <row r="526">
      <c r="A526" t="inlineStr">
        <is>
          <t>PAY-00525</t>
        </is>
      </c>
      <c r="B526" t="inlineStr">
        <is>
          <t>E-00130</t>
        </is>
      </c>
      <c r="C526" t="inlineStr">
        <is>
          <t>EXPENSE</t>
        </is>
      </c>
      <c r="D526" t="inlineStr">
        <is>
          <t>Marketing</t>
        </is>
      </c>
      <c r="E526" s="4" t="n">
        <v>46203</v>
      </c>
      <c r="F526" s="5" t="n">
        <v>15214.27</v>
      </c>
    </row>
    <row r="527">
      <c r="A527" t="inlineStr">
        <is>
          <t>PAY-00526</t>
        </is>
      </c>
      <c r="B527" t="inlineStr">
        <is>
          <t>E-00131</t>
        </is>
      </c>
      <c r="C527" t="inlineStr">
        <is>
          <t>EXPENSE</t>
        </is>
      </c>
      <c r="D527" t="inlineStr">
        <is>
          <t>Marketing</t>
        </is>
      </c>
      <c r="E527" s="4" t="n">
        <v>46197</v>
      </c>
      <c r="F527" s="5" t="n">
        <v>29032.66</v>
      </c>
    </row>
    <row r="528">
      <c r="A528" t="inlineStr">
        <is>
          <t>PAY-00527</t>
        </is>
      </c>
      <c r="B528" t="inlineStr">
        <is>
          <t>E-00132</t>
        </is>
      </c>
      <c r="C528" t="inlineStr">
        <is>
          <t>EXPENSE</t>
        </is>
      </c>
      <c r="D528" t="inlineStr">
        <is>
          <t>Professional fees</t>
        </is>
      </c>
      <c r="E528" s="4" t="n">
        <v>46185</v>
      </c>
      <c r="F528" s="5" t="n">
        <v>8212.42</v>
      </c>
    </row>
    <row r="529">
      <c r="A529" t="inlineStr">
        <is>
          <t>PAY-00528</t>
        </is>
      </c>
      <c r="B529" t="inlineStr">
        <is>
          <t>E-00133</t>
        </is>
      </c>
      <c r="C529" t="inlineStr">
        <is>
          <t>EXPENSE</t>
        </is>
      </c>
      <c r="D529" t="inlineStr">
        <is>
          <t>Misc</t>
        </is>
      </c>
      <c r="E529" s="4" t="n">
        <v>46210</v>
      </c>
      <c r="F529" s="5" t="n">
        <v>6675.14</v>
      </c>
    </row>
    <row r="530">
      <c r="A530" t="inlineStr">
        <is>
          <t>PAY-00529</t>
        </is>
      </c>
      <c r="B530" t="inlineStr">
        <is>
          <t>E-00134</t>
        </is>
      </c>
      <c r="C530" t="inlineStr">
        <is>
          <t>EXPENSE</t>
        </is>
      </c>
      <c r="D530" t="inlineStr">
        <is>
          <t>Misc</t>
        </is>
      </c>
      <c r="E530" s="4" t="n">
        <v>46196</v>
      </c>
      <c r="F530" s="5" t="n">
        <v>3981.38</v>
      </c>
    </row>
    <row r="531">
      <c r="A531" t="inlineStr">
        <is>
          <t>PAY-00530</t>
        </is>
      </c>
      <c r="B531" t="inlineStr">
        <is>
          <t>S-00301</t>
        </is>
      </c>
      <c r="C531" t="inlineStr">
        <is>
          <t>SALES</t>
        </is>
      </c>
      <c r="D531" t="inlineStr">
        <is>
          <t>Accessories</t>
        </is>
      </c>
      <c r="E531" s="4" t="n">
        <v>46252</v>
      </c>
      <c r="F531" s="5" t="n">
        <v>104663.56</v>
      </c>
    </row>
    <row r="532">
      <c r="A532" t="inlineStr">
        <is>
          <t>PAY-00531</t>
        </is>
      </c>
      <c r="B532" t="inlineStr">
        <is>
          <t>S-00302</t>
        </is>
      </c>
      <c r="C532" t="inlineStr">
        <is>
          <t>SALES</t>
        </is>
      </c>
      <c r="D532" t="inlineStr">
        <is>
          <t>Garments</t>
        </is>
      </c>
      <c r="E532" s="4" t="n">
        <v>46241</v>
      </c>
      <c r="F532" s="5" t="n">
        <v>58108.79</v>
      </c>
    </row>
    <row r="533">
      <c r="A533" t="inlineStr">
        <is>
          <t>PAY-00532</t>
        </is>
      </c>
      <c r="B533" t="inlineStr">
        <is>
          <t>S-00304</t>
        </is>
      </c>
      <c r="C533" t="inlineStr">
        <is>
          <t>SALES</t>
        </is>
      </c>
      <c r="D533" t="inlineStr">
        <is>
          <t>Garments</t>
        </is>
      </c>
      <c r="E533" s="4" t="n">
        <v>46260</v>
      </c>
      <c r="F533" s="5" t="n">
        <v>45180.26</v>
      </c>
    </row>
    <row r="534">
      <c r="A534" t="inlineStr">
        <is>
          <t>PAY-00533</t>
        </is>
      </c>
      <c r="B534" t="inlineStr">
        <is>
          <t>S-00305</t>
        </is>
      </c>
      <c r="C534" t="inlineStr">
        <is>
          <t>SALES</t>
        </is>
      </c>
      <c r="D534" t="inlineStr">
        <is>
          <t>Garments</t>
        </is>
      </c>
      <c r="E534" s="4" t="n">
        <v>46239</v>
      </c>
      <c r="F534" s="5" t="n">
        <v>62116.08</v>
      </c>
    </row>
    <row r="535">
      <c r="A535" t="inlineStr">
        <is>
          <t>PAY-00534</t>
        </is>
      </c>
      <c r="B535" t="inlineStr">
        <is>
          <t>S-00306</t>
        </is>
      </c>
      <c r="C535" t="inlineStr">
        <is>
          <t>SALES</t>
        </is>
      </c>
      <c r="D535" t="inlineStr">
        <is>
          <t>Garments</t>
        </is>
      </c>
      <c r="E535" s="4" t="n">
        <v>46251</v>
      </c>
      <c r="F535" s="5" t="n">
        <v>69783.13</v>
      </c>
    </row>
    <row r="536">
      <c r="A536" t="inlineStr">
        <is>
          <t>PAY-00535</t>
        </is>
      </c>
      <c r="B536" t="inlineStr">
        <is>
          <t>S-00308</t>
        </is>
      </c>
      <c r="C536" t="inlineStr">
        <is>
          <t>SALES</t>
        </is>
      </c>
      <c r="D536" t="inlineStr">
        <is>
          <t>Fabrics</t>
        </is>
      </c>
      <c r="E536" s="4" t="n">
        <v>46241</v>
      </c>
      <c r="F536" s="5" t="n">
        <v>23490.08</v>
      </c>
    </row>
    <row r="537">
      <c r="A537" t="inlineStr">
        <is>
          <t>PAY-00536</t>
        </is>
      </c>
      <c r="B537" t="inlineStr">
        <is>
          <t>S-00309</t>
        </is>
      </c>
      <c r="C537" t="inlineStr">
        <is>
          <t>SALES</t>
        </is>
      </c>
      <c r="D537" t="inlineStr">
        <is>
          <t>Accessories</t>
        </is>
      </c>
      <c r="E537" s="4" t="n">
        <v>46273</v>
      </c>
      <c r="F537" s="5" t="n">
        <v>37785.25</v>
      </c>
    </row>
    <row r="538">
      <c r="A538" t="inlineStr">
        <is>
          <t>PAY-00537</t>
        </is>
      </c>
      <c r="B538" t="inlineStr">
        <is>
          <t>S-00311</t>
        </is>
      </c>
      <c r="C538" t="inlineStr">
        <is>
          <t>SALES</t>
        </is>
      </c>
      <c r="D538" t="inlineStr">
        <is>
          <t>Fabrics</t>
        </is>
      </c>
      <c r="E538" s="4" t="n">
        <v>46252</v>
      </c>
      <c r="F538" s="5" t="n">
        <v>96878.89999999999</v>
      </c>
    </row>
    <row r="539">
      <c r="A539" t="inlineStr">
        <is>
          <t>PAY-00538</t>
        </is>
      </c>
      <c r="B539" t="inlineStr">
        <is>
          <t>S-00312</t>
        </is>
      </c>
      <c r="C539" t="inlineStr">
        <is>
          <t>SALES</t>
        </is>
      </c>
      <c r="D539" t="inlineStr">
        <is>
          <t>Garments</t>
        </is>
      </c>
      <c r="E539" s="4" t="n">
        <v>46276</v>
      </c>
      <c r="F539" s="5" t="n">
        <v>22999.22</v>
      </c>
    </row>
    <row r="540">
      <c r="A540" t="inlineStr">
        <is>
          <t>PAY-00539</t>
        </is>
      </c>
      <c r="B540" t="inlineStr">
        <is>
          <t>S-00313</t>
        </is>
      </c>
      <c r="C540" t="inlineStr">
        <is>
          <t>SALES</t>
        </is>
      </c>
      <c r="D540" t="inlineStr">
        <is>
          <t>Fabrics</t>
        </is>
      </c>
      <c r="E540" s="4" t="n">
        <v>46237</v>
      </c>
      <c r="F540" s="5" t="n">
        <v>8467.57</v>
      </c>
    </row>
    <row r="541">
      <c r="A541" t="inlineStr">
        <is>
          <t>PAY-00540</t>
        </is>
      </c>
      <c r="B541" t="inlineStr">
        <is>
          <t>S-00314</t>
        </is>
      </c>
      <c r="C541" t="inlineStr">
        <is>
          <t>SALES</t>
        </is>
      </c>
      <c r="D541" t="inlineStr">
        <is>
          <t>Accessories</t>
        </is>
      </c>
      <c r="E541" s="4" t="n">
        <v>46281</v>
      </c>
      <c r="F541" s="5" t="n">
        <v>17180.08</v>
      </c>
    </row>
    <row r="542">
      <c r="A542" t="inlineStr">
        <is>
          <t>PAY-00541</t>
        </is>
      </c>
      <c r="B542" t="inlineStr">
        <is>
          <t>S-00315</t>
        </is>
      </c>
      <c r="C542" t="inlineStr">
        <is>
          <t>SALES</t>
        </is>
      </c>
      <c r="D542" t="inlineStr">
        <is>
          <t>Garments</t>
        </is>
      </c>
      <c r="E542" s="4" t="n">
        <v>46251</v>
      </c>
      <c r="F542" s="5" t="n">
        <v>18143.46</v>
      </c>
    </row>
    <row r="543">
      <c r="A543" t="inlineStr">
        <is>
          <t>PAY-00542</t>
        </is>
      </c>
      <c r="B543" t="inlineStr">
        <is>
          <t>S-00316</t>
        </is>
      </c>
      <c r="C543" t="inlineStr">
        <is>
          <t>SALES</t>
        </is>
      </c>
      <c r="D543" t="inlineStr">
        <is>
          <t>Garments</t>
        </is>
      </c>
      <c r="E543" s="4" t="n">
        <v>46261</v>
      </c>
      <c r="F543" s="5" t="n">
        <v>75489.37</v>
      </c>
    </row>
    <row r="544">
      <c r="A544" t="inlineStr">
        <is>
          <t>PAY-00543</t>
        </is>
      </c>
      <c r="B544" t="inlineStr">
        <is>
          <t>S-00317</t>
        </is>
      </c>
      <c r="C544" t="inlineStr">
        <is>
          <t>SALES</t>
        </is>
      </c>
      <c r="D544" t="inlineStr">
        <is>
          <t>Fabrics</t>
        </is>
      </c>
      <c r="E544" s="4" t="n">
        <v>46232</v>
      </c>
      <c r="F544" s="5" t="n">
        <v>15753.98</v>
      </c>
    </row>
    <row r="545">
      <c r="A545" t="inlineStr">
        <is>
          <t>PAY-00544</t>
        </is>
      </c>
      <c r="B545" t="inlineStr">
        <is>
          <t>S-00318</t>
        </is>
      </c>
      <c r="C545" t="inlineStr">
        <is>
          <t>SALES</t>
        </is>
      </c>
      <c r="D545" t="inlineStr">
        <is>
          <t>Garments</t>
        </is>
      </c>
      <c r="E545" s="4" t="n">
        <v>46226</v>
      </c>
      <c r="F545" s="5" t="n">
        <v>33046.23</v>
      </c>
    </row>
    <row r="546">
      <c r="A546" t="inlineStr">
        <is>
          <t>PAY-00545</t>
        </is>
      </c>
      <c r="B546" t="inlineStr">
        <is>
          <t>S-00319</t>
        </is>
      </c>
      <c r="C546" t="inlineStr">
        <is>
          <t>SALES</t>
        </is>
      </c>
      <c r="D546" t="inlineStr">
        <is>
          <t>Garments</t>
        </is>
      </c>
      <c r="E546" s="4" t="n">
        <v>46248</v>
      </c>
      <c r="F546" s="5" t="n">
        <v>102734.35</v>
      </c>
    </row>
    <row r="547">
      <c r="A547" t="inlineStr">
        <is>
          <t>PAY-00546</t>
        </is>
      </c>
      <c r="B547" t="inlineStr">
        <is>
          <t>S-00320</t>
        </is>
      </c>
      <c r="C547" t="inlineStr">
        <is>
          <t>SALES</t>
        </is>
      </c>
      <c r="D547" t="inlineStr">
        <is>
          <t>Fabrics</t>
        </is>
      </c>
      <c r="E547" s="4" t="n">
        <v>46247</v>
      </c>
      <c r="F547" s="5" t="n">
        <v>29703.79</v>
      </c>
    </row>
    <row r="548">
      <c r="A548" t="inlineStr">
        <is>
          <t>PAY-00547</t>
        </is>
      </c>
      <c r="B548" t="inlineStr">
        <is>
          <t>S-00321</t>
        </is>
      </c>
      <c r="C548" t="inlineStr">
        <is>
          <t>SALES</t>
        </is>
      </c>
      <c r="D548" t="inlineStr">
        <is>
          <t>Fabrics</t>
        </is>
      </c>
      <c r="E548" s="4" t="n">
        <v>46244</v>
      </c>
      <c r="F548" s="5" t="n">
        <v>94578.72</v>
      </c>
    </row>
    <row r="549">
      <c r="A549" t="inlineStr">
        <is>
          <t>PAY-00548</t>
        </is>
      </c>
      <c r="B549" t="inlineStr">
        <is>
          <t>S-00322</t>
        </is>
      </c>
      <c r="C549" t="inlineStr">
        <is>
          <t>SALES</t>
        </is>
      </c>
      <c r="D549" t="inlineStr">
        <is>
          <t>Fabrics</t>
        </is>
      </c>
      <c r="E549" s="4" t="n">
        <v>46262</v>
      </c>
      <c r="F549" s="5" t="n">
        <v>34713.64</v>
      </c>
    </row>
    <row r="550">
      <c r="A550" t="inlineStr">
        <is>
          <t>PAY-00549</t>
        </is>
      </c>
      <c r="B550" t="inlineStr">
        <is>
          <t>S-00323</t>
        </is>
      </c>
      <c r="C550" t="inlineStr">
        <is>
          <t>SALES</t>
        </is>
      </c>
      <c r="D550" t="inlineStr">
        <is>
          <t>Fabrics</t>
        </is>
      </c>
      <c r="E550" s="4" t="n">
        <v>46259</v>
      </c>
      <c r="F550" s="5" t="n">
        <v>51404.04</v>
      </c>
    </row>
    <row r="551">
      <c r="A551" t="inlineStr">
        <is>
          <t>PAY-00550</t>
        </is>
      </c>
      <c r="B551" t="inlineStr">
        <is>
          <t>S-00324</t>
        </is>
      </c>
      <c r="C551" t="inlineStr">
        <is>
          <t>SALES</t>
        </is>
      </c>
      <c r="D551" t="inlineStr">
        <is>
          <t>Garments</t>
        </is>
      </c>
      <c r="E551" s="4" t="n">
        <v>46251</v>
      </c>
      <c r="F551" s="5" t="n">
        <v>40266.25</v>
      </c>
    </row>
    <row r="552">
      <c r="A552" t="inlineStr">
        <is>
          <t>PAY-00551</t>
        </is>
      </c>
      <c r="B552" t="inlineStr">
        <is>
          <t>S-00325</t>
        </is>
      </c>
      <c r="C552" t="inlineStr">
        <is>
          <t>SALES</t>
        </is>
      </c>
      <c r="D552" t="inlineStr">
        <is>
          <t>Garments</t>
        </is>
      </c>
      <c r="E552" s="4" t="n">
        <v>46259</v>
      </c>
      <c r="F552" s="5" t="n">
        <v>39695.6</v>
      </c>
    </row>
    <row r="553">
      <c r="A553" t="inlineStr">
        <is>
          <t>PAY-00552</t>
        </is>
      </c>
      <c r="B553" t="inlineStr">
        <is>
          <t>P-00155</t>
        </is>
      </c>
      <c r="C553" t="inlineStr">
        <is>
          <t>PURCHASE</t>
        </is>
      </c>
      <c r="D553" t="inlineStr">
        <is>
          <t>Inventory purchases</t>
        </is>
      </c>
      <c r="E553" s="4" t="n">
        <v>46234</v>
      </c>
      <c r="F553" s="5" t="n">
        <v>117831.88</v>
      </c>
    </row>
    <row r="554">
      <c r="A554" t="inlineStr">
        <is>
          <t>PAY-00553</t>
        </is>
      </c>
      <c r="B554" t="inlineStr">
        <is>
          <t>P-00156</t>
        </is>
      </c>
      <c r="C554" t="inlineStr">
        <is>
          <t>PURCHASE</t>
        </is>
      </c>
      <c r="D554" t="inlineStr">
        <is>
          <t>Inventory purchases</t>
        </is>
      </c>
      <c r="E554" s="4" t="n">
        <v>46247</v>
      </c>
      <c r="F554" s="5" t="n">
        <v>34029.99</v>
      </c>
    </row>
    <row r="555">
      <c r="A555" t="inlineStr">
        <is>
          <t>PAY-00554</t>
        </is>
      </c>
      <c r="B555" t="inlineStr">
        <is>
          <t>P-00157</t>
        </is>
      </c>
      <c r="C555" t="inlineStr">
        <is>
          <t>PURCHASE</t>
        </is>
      </c>
      <c r="D555" t="inlineStr">
        <is>
          <t>Inventory purchases</t>
        </is>
      </c>
      <c r="E555" s="4" t="n">
        <v>46219</v>
      </c>
      <c r="F555" s="5" t="n">
        <v>49593.79</v>
      </c>
    </row>
    <row r="556">
      <c r="A556" t="inlineStr">
        <is>
          <t>PAY-00555</t>
        </is>
      </c>
      <c r="B556" t="inlineStr">
        <is>
          <t>P-00158</t>
        </is>
      </c>
      <c r="C556" t="inlineStr">
        <is>
          <t>PURCHASE</t>
        </is>
      </c>
      <c r="D556" t="inlineStr">
        <is>
          <t>Inventory purchases</t>
        </is>
      </c>
      <c r="E556" s="4" t="n">
        <v>46225</v>
      </c>
      <c r="F556" s="5" t="n">
        <v>49181.38</v>
      </c>
    </row>
    <row r="557">
      <c r="A557" t="inlineStr">
        <is>
          <t>PAY-00556</t>
        </is>
      </c>
      <c r="B557" t="inlineStr">
        <is>
          <t>P-00159</t>
        </is>
      </c>
      <c r="C557" t="inlineStr">
        <is>
          <t>PURCHASE</t>
        </is>
      </c>
      <c r="D557" t="inlineStr">
        <is>
          <t>Inventory purchases</t>
        </is>
      </c>
      <c r="E557" s="4" t="n">
        <v>46247</v>
      </c>
      <c r="F557" s="5" t="n">
        <v>118616.31</v>
      </c>
    </row>
    <row r="558">
      <c r="A558" t="inlineStr">
        <is>
          <t>PAY-00557</t>
        </is>
      </c>
      <c r="B558" t="inlineStr">
        <is>
          <t>P-00160</t>
        </is>
      </c>
      <c r="C558" t="inlineStr">
        <is>
          <t>PURCHASE</t>
        </is>
      </c>
      <c r="D558" t="inlineStr">
        <is>
          <t>Inventory purchases</t>
        </is>
      </c>
      <c r="E558" s="4" t="n">
        <v>46231</v>
      </c>
      <c r="F558" s="5" t="n">
        <v>51237.95</v>
      </c>
    </row>
    <row r="559">
      <c r="A559" t="inlineStr">
        <is>
          <t>PAY-00558</t>
        </is>
      </c>
      <c r="B559" t="inlineStr">
        <is>
          <t>P-00161</t>
        </is>
      </c>
      <c r="C559" t="inlineStr">
        <is>
          <t>PURCHASE</t>
        </is>
      </c>
      <c r="D559" t="inlineStr">
        <is>
          <t>Inventory purchases</t>
        </is>
      </c>
      <c r="E559" s="4" t="n">
        <v>46226</v>
      </c>
      <c r="F559" s="5" t="n">
        <v>52736.41</v>
      </c>
    </row>
    <row r="560">
      <c r="A560" t="inlineStr">
        <is>
          <t>PAY-00559</t>
        </is>
      </c>
      <c r="B560" t="inlineStr">
        <is>
          <t>P-00162</t>
        </is>
      </c>
      <c r="C560" t="inlineStr">
        <is>
          <t>PURCHASE</t>
        </is>
      </c>
      <c r="D560" t="inlineStr">
        <is>
          <t>Inventory purchases</t>
        </is>
      </c>
      <c r="E560" s="4" t="n">
        <v>46248</v>
      </c>
      <c r="F560" s="5" t="n">
        <v>115607.89</v>
      </c>
    </row>
    <row r="561">
      <c r="A561" t="inlineStr">
        <is>
          <t>PAY-00560</t>
        </is>
      </c>
      <c r="B561" t="inlineStr">
        <is>
          <t>P-00163</t>
        </is>
      </c>
      <c r="C561" t="inlineStr">
        <is>
          <t>PURCHASE</t>
        </is>
      </c>
      <c r="D561" t="inlineStr">
        <is>
          <t>Inventory purchases</t>
        </is>
      </c>
      <c r="E561" s="4" t="n">
        <v>46227</v>
      </c>
      <c r="F561" s="5" t="n">
        <v>89532.8</v>
      </c>
    </row>
    <row r="562">
      <c r="A562" t="inlineStr">
        <is>
          <t>PAY-00561</t>
        </is>
      </c>
      <c r="B562" t="inlineStr">
        <is>
          <t>P-00164</t>
        </is>
      </c>
      <c r="C562" t="inlineStr">
        <is>
          <t>PURCHASE</t>
        </is>
      </c>
      <c r="D562" t="inlineStr">
        <is>
          <t>Inventory purchases</t>
        </is>
      </c>
      <c r="E562" s="4" t="n">
        <v>46224</v>
      </c>
      <c r="F562" s="5" t="n">
        <v>44833.79</v>
      </c>
    </row>
    <row r="563">
      <c r="A563" t="inlineStr">
        <is>
          <t>PAY-00562</t>
        </is>
      </c>
      <c r="B563" t="inlineStr">
        <is>
          <t>P-00165</t>
        </is>
      </c>
      <c r="C563" t="inlineStr">
        <is>
          <t>PURCHASE</t>
        </is>
      </c>
      <c r="D563" t="inlineStr">
        <is>
          <t>Inventory purchases</t>
        </is>
      </c>
      <c r="E563" s="4" t="n">
        <v>46240</v>
      </c>
      <c r="F563" s="5" t="n">
        <v>21119.79</v>
      </c>
    </row>
    <row r="564">
      <c r="A564" t="inlineStr">
        <is>
          <t>PAY-00563</t>
        </is>
      </c>
      <c r="B564" t="inlineStr">
        <is>
          <t>P-00166</t>
        </is>
      </c>
      <c r="C564" t="inlineStr">
        <is>
          <t>PURCHASE</t>
        </is>
      </c>
      <c r="D564" t="inlineStr">
        <is>
          <t>Inventory purchases</t>
        </is>
      </c>
      <c r="E564" s="4" t="n">
        <v>46242</v>
      </c>
      <c r="F564" s="5" t="n">
        <v>63412.82</v>
      </c>
    </row>
    <row r="565">
      <c r="A565" t="inlineStr">
        <is>
          <t>PAY-00564</t>
        </is>
      </c>
      <c r="B565" t="inlineStr">
        <is>
          <t>P-00167</t>
        </is>
      </c>
      <c r="C565" t="inlineStr">
        <is>
          <t>PURCHASE</t>
        </is>
      </c>
      <c r="D565" t="inlineStr">
        <is>
          <t>Inventory purchases</t>
        </is>
      </c>
      <c r="E565" s="4" t="n">
        <v>46233</v>
      </c>
      <c r="F565" s="5" t="n">
        <v>11141.88</v>
      </c>
    </row>
    <row r="566">
      <c r="A566" t="inlineStr">
        <is>
          <t>PAY-00565</t>
        </is>
      </c>
      <c r="B566" t="inlineStr">
        <is>
          <t>P-00168</t>
        </is>
      </c>
      <c r="C566" t="inlineStr">
        <is>
          <t>PURCHASE</t>
        </is>
      </c>
      <c r="D566" t="inlineStr">
        <is>
          <t>Inventory purchases</t>
        </is>
      </c>
      <c r="E566" s="4" t="n">
        <v>46262</v>
      </c>
      <c r="F566" s="5" t="n">
        <v>109744.94</v>
      </c>
    </row>
    <row r="567">
      <c r="A567" t="inlineStr">
        <is>
          <t>PAY-00566</t>
        </is>
      </c>
      <c r="B567" t="inlineStr">
        <is>
          <t>P-00169</t>
        </is>
      </c>
      <c r="C567" t="inlineStr">
        <is>
          <t>PURCHASE</t>
        </is>
      </c>
      <c r="D567" t="inlineStr">
        <is>
          <t>Inventory purchases</t>
        </is>
      </c>
      <c r="E567" s="4" t="n">
        <v>46226</v>
      </c>
      <c r="F567" s="5" t="n">
        <v>60093.76</v>
      </c>
    </row>
    <row r="568">
      <c r="A568" t="inlineStr">
        <is>
          <t>PAY-00567</t>
        </is>
      </c>
      <c r="B568" t="inlineStr">
        <is>
          <t>P-00170</t>
        </is>
      </c>
      <c r="C568" t="inlineStr">
        <is>
          <t>PURCHASE</t>
        </is>
      </c>
      <c r="D568" t="inlineStr">
        <is>
          <t>Inventory purchases</t>
        </is>
      </c>
      <c r="E568" s="4" t="n">
        <v>46220</v>
      </c>
      <c r="F568" s="5" t="n">
        <v>110951.83</v>
      </c>
    </row>
    <row r="569">
      <c r="A569" t="inlineStr">
        <is>
          <t>PAY-00568</t>
        </is>
      </c>
      <c r="B569" t="inlineStr">
        <is>
          <t>P-00171</t>
        </is>
      </c>
      <c r="C569" t="inlineStr">
        <is>
          <t>PURCHASE</t>
        </is>
      </c>
      <c r="D569" t="inlineStr">
        <is>
          <t>Inventory purchases</t>
        </is>
      </c>
      <c r="E569" s="4" t="n">
        <v>46226</v>
      </c>
      <c r="F569" s="5" t="n">
        <v>21780.52</v>
      </c>
    </row>
    <row r="570">
      <c r="A570" t="inlineStr">
        <is>
          <t>PAY-00569</t>
        </is>
      </c>
      <c r="B570" t="inlineStr">
        <is>
          <t>P-00172</t>
        </is>
      </c>
      <c r="C570" t="inlineStr">
        <is>
          <t>PURCHASE</t>
        </is>
      </c>
      <c r="D570" t="inlineStr">
        <is>
          <t>Inventory purchases</t>
        </is>
      </c>
      <c r="E570" s="4" t="n">
        <v>46223</v>
      </c>
      <c r="F570" s="5" t="n">
        <v>48598.53</v>
      </c>
    </row>
    <row r="571">
      <c r="A571" t="inlineStr">
        <is>
          <t>PAY-00570</t>
        </is>
      </c>
      <c r="B571" t="inlineStr">
        <is>
          <t>P-00173</t>
        </is>
      </c>
      <c r="C571" t="inlineStr">
        <is>
          <t>PURCHASE</t>
        </is>
      </c>
      <c r="D571" t="inlineStr">
        <is>
          <t>Inventory purchases</t>
        </is>
      </c>
      <c r="E571" s="4" t="n">
        <v>46232</v>
      </c>
      <c r="F571" s="5" t="n">
        <v>67139.42999999999</v>
      </c>
    </row>
    <row r="572">
      <c r="A572" t="inlineStr">
        <is>
          <t>PAY-00571</t>
        </is>
      </c>
      <c r="B572" t="inlineStr">
        <is>
          <t>E-00136</t>
        </is>
      </c>
      <c r="C572" t="inlineStr">
        <is>
          <t>EXPENSE</t>
        </is>
      </c>
      <c r="D572" t="inlineStr">
        <is>
          <t>Rent</t>
        </is>
      </c>
      <c r="E572" s="4" t="n">
        <v>46232</v>
      </c>
      <c r="F572" s="5" t="n">
        <v>29919.76</v>
      </c>
    </row>
    <row r="573">
      <c r="A573" t="inlineStr">
        <is>
          <t>PAY-00572</t>
        </is>
      </c>
      <c r="B573" t="inlineStr">
        <is>
          <t>E-00137</t>
        </is>
      </c>
      <c r="C573" t="inlineStr">
        <is>
          <t>EXPENSE</t>
        </is>
      </c>
      <c r="D573" t="inlineStr">
        <is>
          <t>Salaries</t>
        </is>
      </c>
      <c r="E573" s="4" t="n">
        <v>46229</v>
      </c>
      <c r="F573" s="5" t="n">
        <v>86094.35000000001</v>
      </c>
    </row>
    <row r="574">
      <c r="A574" t="inlineStr">
        <is>
          <t>PAY-00573</t>
        </is>
      </c>
      <c r="B574" t="inlineStr">
        <is>
          <t>E-00138</t>
        </is>
      </c>
      <c r="C574" t="inlineStr">
        <is>
          <t>EXPENSE</t>
        </is>
      </c>
      <c r="D574" t="inlineStr">
        <is>
          <t>Utilities</t>
        </is>
      </c>
      <c r="E574" s="4" t="n">
        <v>46205</v>
      </c>
      <c r="F574" s="5" t="n">
        <v>7599.53</v>
      </c>
    </row>
    <row r="575">
      <c r="A575" t="inlineStr">
        <is>
          <t>PAY-00574</t>
        </is>
      </c>
      <c r="B575" t="inlineStr">
        <is>
          <t>E-00139</t>
        </is>
      </c>
      <c r="C575" t="inlineStr">
        <is>
          <t>EXPENSE</t>
        </is>
      </c>
      <c r="D575" t="inlineStr">
        <is>
          <t>Transport</t>
        </is>
      </c>
      <c r="E575" s="4" t="n">
        <v>46209</v>
      </c>
      <c r="F575" s="5" t="n">
        <v>5920.58</v>
      </c>
    </row>
    <row r="576">
      <c r="A576" t="inlineStr">
        <is>
          <t>PAY-00575</t>
        </is>
      </c>
      <c r="B576" t="inlineStr">
        <is>
          <t>E-00140</t>
        </is>
      </c>
      <c r="C576" t="inlineStr">
        <is>
          <t>EXPENSE</t>
        </is>
      </c>
      <c r="D576" t="inlineStr">
        <is>
          <t>Transport</t>
        </is>
      </c>
      <c r="E576" s="4" t="n">
        <v>46225</v>
      </c>
      <c r="F576" s="5" t="n">
        <v>1542.45</v>
      </c>
    </row>
    <row r="577">
      <c r="A577" t="inlineStr">
        <is>
          <t>PAY-00576</t>
        </is>
      </c>
      <c r="B577" t="inlineStr">
        <is>
          <t>E-00141</t>
        </is>
      </c>
      <c r="C577" t="inlineStr">
        <is>
          <t>EXPENSE</t>
        </is>
      </c>
      <c r="D577" t="inlineStr">
        <is>
          <t>Transport</t>
        </is>
      </c>
      <c r="E577" s="4" t="n">
        <v>46239</v>
      </c>
      <c r="F577" s="5" t="n">
        <v>1682.25</v>
      </c>
    </row>
    <row r="578">
      <c r="A578" t="inlineStr">
        <is>
          <t>PAY-00577</t>
        </is>
      </c>
      <c r="B578" t="inlineStr">
        <is>
          <t>E-00142</t>
        </is>
      </c>
      <c r="C578" t="inlineStr">
        <is>
          <t>EXPENSE</t>
        </is>
      </c>
      <c r="D578" t="inlineStr">
        <is>
          <t>Transport</t>
        </is>
      </c>
      <c r="E578" s="4" t="n">
        <v>46221</v>
      </c>
      <c r="F578" s="5" t="n">
        <v>3615.16</v>
      </c>
    </row>
    <row r="579">
      <c r="A579" t="inlineStr">
        <is>
          <t>PAY-00578</t>
        </is>
      </c>
      <c r="B579" t="inlineStr">
        <is>
          <t>E-00143</t>
        </is>
      </c>
      <c r="C579" t="inlineStr">
        <is>
          <t>EXPENSE</t>
        </is>
      </c>
      <c r="D579" t="inlineStr">
        <is>
          <t>Transport</t>
        </is>
      </c>
      <c r="E579" s="4" t="n">
        <v>46225</v>
      </c>
      <c r="F579" s="5" t="n">
        <v>3319.55</v>
      </c>
    </row>
    <row r="580">
      <c r="A580" t="inlineStr">
        <is>
          <t>PAY-00579</t>
        </is>
      </c>
      <c r="B580" t="inlineStr">
        <is>
          <t>E-00144</t>
        </is>
      </c>
      <c r="C580" t="inlineStr">
        <is>
          <t>EXPENSE</t>
        </is>
      </c>
      <c r="D580" t="inlineStr">
        <is>
          <t>Transport</t>
        </is>
      </c>
      <c r="E580" s="4" t="n">
        <v>46217</v>
      </c>
      <c r="F580" s="5" t="n">
        <v>1775.51</v>
      </c>
    </row>
    <row r="581">
      <c r="A581" t="inlineStr">
        <is>
          <t>PAY-00580</t>
        </is>
      </c>
      <c r="B581" t="inlineStr">
        <is>
          <t>E-00145</t>
        </is>
      </c>
      <c r="C581" t="inlineStr">
        <is>
          <t>EXPENSE</t>
        </is>
      </c>
      <c r="D581" t="inlineStr">
        <is>
          <t>Marketing</t>
        </is>
      </c>
      <c r="E581" s="4" t="n">
        <v>46239</v>
      </c>
      <c r="F581" s="5" t="n">
        <v>6985.15</v>
      </c>
    </row>
    <row r="582">
      <c r="A582" t="inlineStr">
        <is>
          <t>PAY-00581</t>
        </is>
      </c>
      <c r="B582" t="inlineStr">
        <is>
          <t>E-00146</t>
        </is>
      </c>
      <c r="C582" t="inlineStr">
        <is>
          <t>EXPENSE</t>
        </is>
      </c>
      <c r="D582" t="inlineStr">
        <is>
          <t>Marketing</t>
        </is>
      </c>
      <c r="E582" s="4" t="n">
        <v>46233</v>
      </c>
      <c r="F582" s="5" t="n">
        <v>9304.969999999999</v>
      </c>
    </row>
    <row r="583">
      <c r="A583" t="inlineStr">
        <is>
          <t>PAY-00582</t>
        </is>
      </c>
      <c r="B583" t="inlineStr">
        <is>
          <t>E-00147</t>
        </is>
      </c>
      <c r="C583" t="inlineStr">
        <is>
          <t>EXPENSE</t>
        </is>
      </c>
      <c r="D583" t="inlineStr">
        <is>
          <t>Professional fees</t>
        </is>
      </c>
      <c r="E583" s="4" t="n">
        <v>46239</v>
      </c>
      <c r="F583" s="5" t="n">
        <v>6145.71</v>
      </c>
    </row>
    <row r="584">
      <c r="A584" t="inlineStr">
        <is>
          <t>PAY-00583</t>
        </is>
      </c>
      <c r="B584" t="inlineStr">
        <is>
          <t>E-00148</t>
        </is>
      </c>
      <c r="C584" t="inlineStr">
        <is>
          <t>EXPENSE</t>
        </is>
      </c>
      <c r="D584" t="inlineStr">
        <is>
          <t>Misc</t>
        </is>
      </c>
      <c r="E584" s="4" t="n">
        <v>46236</v>
      </c>
      <c r="F584" s="5" t="n">
        <v>5786.61</v>
      </c>
    </row>
    <row r="585">
      <c r="A585" t="inlineStr">
        <is>
          <t>PAY-00584</t>
        </is>
      </c>
      <c r="B585" t="inlineStr">
        <is>
          <t>E-00149</t>
        </is>
      </c>
      <c r="C585" t="inlineStr">
        <is>
          <t>EXPENSE</t>
        </is>
      </c>
      <c r="D585" t="inlineStr">
        <is>
          <t>Misc</t>
        </is>
      </c>
      <c r="E585" s="4" t="n">
        <v>46214</v>
      </c>
      <c r="F585" s="5" t="n">
        <v>2893.75</v>
      </c>
    </row>
    <row r="586">
      <c r="A586" t="inlineStr">
        <is>
          <t>PAY-00585</t>
        </is>
      </c>
      <c r="B586" t="inlineStr">
        <is>
          <t>E-00150</t>
        </is>
      </c>
      <c r="C586" t="inlineStr">
        <is>
          <t>EXPENSE</t>
        </is>
      </c>
      <c r="D586" t="inlineStr">
        <is>
          <t>Misc</t>
        </is>
      </c>
      <c r="E586" s="4" t="n">
        <v>46224</v>
      </c>
      <c r="F586" s="5" t="n">
        <v>3303.65</v>
      </c>
    </row>
    <row r="587">
      <c r="A587" t="inlineStr">
        <is>
          <t>PAY-00586</t>
        </is>
      </c>
      <c r="B587" t="inlineStr">
        <is>
          <t>S-00329</t>
        </is>
      </c>
      <c r="C587" t="inlineStr">
        <is>
          <t>SALES</t>
        </is>
      </c>
      <c r="D587" t="inlineStr">
        <is>
          <t>Accessories</t>
        </is>
      </c>
      <c r="E587" s="4" t="n">
        <v>46271</v>
      </c>
      <c r="F587" s="5" t="n">
        <v>64059.7</v>
      </c>
    </row>
    <row r="588">
      <c r="A588" t="inlineStr">
        <is>
          <t>PAY-00587</t>
        </is>
      </c>
      <c r="B588" t="inlineStr">
        <is>
          <t>S-00331</t>
        </is>
      </c>
      <c r="C588" t="inlineStr">
        <is>
          <t>SALES</t>
        </is>
      </c>
      <c r="D588" t="inlineStr">
        <is>
          <t>Fabrics</t>
        </is>
      </c>
      <c r="E588" s="4" t="n">
        <v>46277</v>
      </c>
      <c r="F588" s="5" t="n">
        <v>25916.64</v>
      </c>
    </row>
    <row r="589">
      <c r="A589" t="inlineStr">
        <is>
          <t>PAY-00588</t>
        </is>
      </c>
      <c r="B589" t="inlineStr">
        <is>
          <t>S-00332</t>
        </is>
      </c>
      <c r="C589" t="inlineStr">
        <is>
          <t>SALES</t>
        </is>
      </c>
      <c r="D589" t="inlineStr">
        <is>
          <t>Accessories</t>
        </is>
      </c>
      <c r="E589" s="4" t="n">
        <v>46264</v>
      </c>
      <c r="F589" s="5" t="n">
        <v>18156.62</v>
      </c>
    </row>
    <row r="590">
      <c r="A590" t="inlineStr">
        <is>
          <t>PAY-00589</t>
        </is>
      </c>
      <c r="B590" t="inlineStr">
        <is>
          <t>S-00333</t>
        </is>
      </c>
      <c r="C590" t="inlineStr">
        <is>
          <t>SALES</t>
        </is>
      </c>
      <c r="D590" t="inlineStr">
        <is>
          <t>Garments</t>
        </is>
      </c>
      <c r="E590" s="4" t="n">
        <v>46290</v>
      </c>
      <c r="F590" s="5" t="n">
        <v>67869.59</v>
      </c>
    </row>
    <row r="591">
      <c r="A591" t="inlineStr">
        <is>
          <t>PAY-00590</t>
        </is>
      </c>
      <c r="B591" t="inlineStr">
        <is>
          <t>S-00334</t>
        </is>
      </c>
      <c r="C591" t="inlineStr">
        <is>
          <t>SALES</t>
        </is>
      </c>
      <c r="D591" t="inlineStr">
        <is>
          <t>Fabrics</t>
        </is>
      </c>
      <c r="E591" s="4" t="n">
        <v>46266</v>
      </c>
      <c r="F591" s="5" t="n">
        <v>47003.72</v>
      </c>
    </row>
    <row r="592">
      <c r="A592" t="inlineStr">
        <is>
          <t>PAY-00591</t>
        </is>
      </c>
      <c r="B592" t="inlineStr">
        <is>
          <t>S-00337</t>
        </is>
      </c>
      <c r="C592" t="inlineStr">
        <is>
          <t>SALES</t>
        </is>
      </c>
      <c r="D592" t="inlineStr">
        <is>
          <t>Garments</t>
        </is>
      </c>
      <c r="E592" s="4" t="n">
        <v>46288</v>
      </c>
      <c r="F592" s="5" t="n">
        <v>101850.9</v>
      </c>
    </row>
    <row r="593">
      <c r="A593" t="inlineStr">
        <is>
          <t>PAY-00592</t>
        </is>
      </c>
      <c r="B593" t="inlineStr">
        <is>
          <t>S-00340</t>
        </is>
      </c>
      <c r="C593" t="inlineStr">
        <is>
          <t>SALES</t>
        </is>
      </c>
      <c r="D593" t="inlineStr">
        <is>
          <t>Garments</t>
        </is>
      </c>
      <c r="E593" s="4" t="n">
        <v>46292</v>
      </c>
      <c r="F593" s="5" t="n">
        <v>63633.29</v>
      </c>
    </row>
    <row r="594">
      <c r="A594" t="inlineStr">
        <is>
          <t>PAY-00593</t>
        </is>
      </c>
      <c r="B594" t="inlineStr">
        <is>
          <t>S-00341</t>
        </is>
      </c>
      <c r="C594" t="inlineStr">
        <is>
          <t>SALES</t>
        </is>
      </c>
      <c r="D594" t="inlineStr">
        <is>
          <t>Fabrics</t>
        </is>
      </c>
      <c r="E594" s="4" t="n">
        <v>46286</v>
      </c>
      <c r="F594" s="5" t="n">
        <v>66855.09</v>
      </c>
    </row>
    <row r="595">
      <c r="A595" t="inlineStr">
        <is>
          <t>PAY-00594</t>
        </is>
      </c>
      <c r="B595" t="inlineStr">
        <is>
          <t>S-00342</t>
        </is>
      </c>
      <c r="C595" t="inlineStr">
        <is>
          <t>SALES</t>
        </is>
      </c>
      <c r="D595" t="inlineStr">
        <is>
          <t>Garments</t>
        </is>
      </c>
      <c r="E595" s="4" t="n">
        <v>46295</v>
      </c>
      <c r="F595" s="5" t="n">
        <v>31351.45</v>
      </c>
    </row>
    <row r="596">
      <c r="A596" t="inlineStr">
        <is>
          <t>PAY-00595</t>
        </is>
      </c>
      <c r="B596" t="inlineStr">
        <is>
          <t>S-00344</t>
        </is>
      </c>
      <c r="C596" t="inlineStr">
        <is>
          <t>SALES</t>
        </is>
      </c>
      <c r="D596" t="inlineStr">
        <is>
          <t>Accessories</t>
        </is>
      </c>
      <c r="E596" s="4" t="n">
        <v>46287</v>
      </c>
      <c r="F596" s="5" t="n">
        <v>86112.98</v>
      </c>
    </row>
    <row r="597">
      <c r="A597" t="inlineStr">
        <is>
          <t>PAY-00596</t>
        </is>
      </c>
      <c r="B597" t="inlineStr">
        <is>
          <t>S-00346</t>
        </is>
      </c>
      <c r="C597" t="inlineStr">
        <is>
          <t>SALES</t>
        </is>
      </c>
      <c r="D597" t="inlineStr">
        <is>
          <t>Fabrics</t>
        </is>
      </c>
      <c r="E597" s="4" t="n">
        <v>46295</v>
      </c>
      <c r="F597" s="5" t="n">
        <v>49909.21</v>
      </c>
    </row>
    <row r="598">
      <c r="A598" t="inlineStr">
        <is>
          <t>PAY-00597</t>
        </is>
      </c>
      <c r="B598" t="inlineStr">
        <is>
          <t>S-00351</t>
        </is>
      </c>
      <c r="C598" t="inlineStr">
        <is>
          <t>SALES</t>
        </is>
      </c>
      <c r="D598" t="inlineStr">
        <is>
          <t>Accessories</t>
        </is>
      </c>
      <c r="E598" s="4" t="n">
        <v>46288</v>
      </c>
      <c r="F598" s="5" t="n">
        <v>25096.51</v>
      </c>
    </row>
    <row r="599">
      <c r="A599" t="inlineStr">
        <is>
          <t>PAY-00598</t>
        </is>
      </c>
      <c r="B599" t="inlineStr">
        <is>
          <t>S-00354</t>
        </is>
      </c>
      <c r="C599" t="inlineStr">
        <is>
          <t>SALES</t>
        </is>
      </c>
      <c r="D599" t="inlineStr">
        <is>
          <t>Fabrics</t>
        </is>
      </c>
      <c r="E599" s="4" t="n">
        <v>46276</v>
      </c>
      <c r="F599" s="5" t="n">
        <v>40221.68</v>
      </c>
    </row>
    <row r="600">
      <c r="A600" t="inlineStr">
        <is>
          <t>PAY-00599</t>
        </is>
      </c>
      <c r="B600" t="inlineStr">
        <is>
          <t>S-00355</t>
        </is>
      </c>
      <c r="C600" t="inlineStr">
        <is>
          <t>SALES</t>
        </is>
      </c>
      <c r="D600" t="inlineStr">
        <is>
          <t>Accessories</t>
        </is>
      </c>
      <c r="E600" s="4" t="n">
        <v>46279</v>
      </c>
      <c r="F600" s="5" t="n">
        <v>44859.42</v>
      </c>
    </row>
    <row r="601">
      <c r="A601" t="inlineStr">
        <is>
          <t>PAY-00600</t>
        </is>
      </c>
      <c r="B601" t="inlineStr">
        <is>
          <t>S-00357</t>
        </is>
      </c>
      <c r="C601" t="inlineStr">
        <is>
          <t>SALES</t>
        </is>
      </c>
      <c r="D601" t="inlineStr">
        <is>
          <t>Fabrics</t>
        </is>
      </c>
      <c r="E601" s="4" t="n">
        <v>46283</v>
      </c>
      <c r="F601" s="5" t="n">
        <v>63093.54</v>
      </c>
    </row>
    <row r="602">
      <c r="A602" t="inlineStr">
        <is>
          <t>PAY-00601</t>
        </is>
      </c>
      <c r="B602" t="inlineStr">
        <is>
          <t>S-00358</t>
        </is>
      </c>
      <c r="C602" t="inlineStr">
        <is>
          <t>SALES</t>
        </is>
      </c>
      <c r="D602" t="inlineStr">
        <is>
          <t>Fabrics</t>
        </is>
      </c>
      <c r="E602" s="4" t="n">
        <v>46269</v>
      </c>
      <c r="F602" s="5" t="n">
        <v>31760.14</v>
      </c>
    </row>
    <row r="603">
      <c r="A603" t="inlineStr">
        <is>
          <t>PAY-00602</t>
        </is>
      </c>
      <c r="B603" t="inlineStr">
        <is>
          <t>P-00174</t>
        </is>
      </c>
      <c r="C603" t="inlineStr">
        <is>
          <t>PURCHASE</t>
        </is>
      </c>
      <c r="D603" t="inlineStr">
        <is>
          <t>Inventory purchases</t>
        </is>
      </c>
      <c r="E603" s="4" t="n">
        <v>46257</v>
      </c>
      <c r="F603" s="5" t="n">
        <v>116383.51</v>
      </c>
    </row>
    <row r="604">
      <c r="A604" t="inlineStr">
        <is>
          <t>PAY-00603</t>
        </is>
      </c>
      <c r="B604" t="inlineStr">
        <is>
          <t>P-00176</t>
        </is>
      </c>
      <c r="C604" t="inlineStr">
        <is>
          <t>PURCHASE</t>
        </is>
      </c>
      <c r="D604" t="inlineStr">
        <is>
          <t>Inventory purchases</t>
        </is>
      </c>
      <c r="E604" s="4" t="n">
        <v>46278</v>
      </c>
      <c r="F604" s="5" t="n">
        <v>109059.05</v>
      </c>
    </row>
    <row r="605">
      <c r="A605" t="inlineStr">
        <is>
          <t>PAY-00604</t>
        </is>
      </c>
      <c r="B605" t="inlineStr">
        <is>
          <t>P-00177</t>
        </is>
      </c>
      <c r="C605" t="inlineStr">
        <is>
          <t>PURCHASE</t>
        </is>
      </c>
      <c r="D605" t="inlineStr">
        <is>
          <t>Inventory purchases</t>
        </is>
      </c>
      <c r="E605" s="4" t="n">
        <v>46256</v>
      </c>
      <c r="F605" s="5" t="n">
        <v>20040.92</v>
      </c>
    </row>
    <row r="606">
      <c r="A606" t="inlineStr">
        <is>
          <t>PAY-00605</t>
        </is>
      </c>
      <c r="B606" t="inlineStr">
        <is>
          <t>P-00178</t>
        </is>
      </c>
      <c r="C606" t="inlineStr">
        <is>
          <t>PURCHASE</t>
        </is>
      </c>
      <c r="D606" t="inlineStr">
        <is>
          <t>Inventory purchases</t>
        </is>
      </c>
      <c r="E606" s="4" t="n">
        <v>46264</v>
      </c>
      <c r="F606" s="5" t="n">
        <v>104183.4</v>
      </c>
    </row>
    <row r="607">
      <c r="A607" t="inlineStr">
        <is>
          <t>PAY-00606</t>
        </is>
      </c>
      <c r="B607" t="inlineStr">
        <is>
          <t>P-00179</t>
        </is>
      </c>
      <c r="C607" t="inlineStr">
        <is>
          <t>PURCHASE</t>
        </is>
      </c>
      <c r="D607" t="inlineStr">
        <is>
          <t>Inventory purchases</t>
        </is>
      </c>
      <c r="E607" s="4" t="n">
        <v>46258</v>
      </c>
      <c r="F607" s="5" t="n">
        <v>107485.02</v>
      </c>
    </row>
    <row r="608">
      <c r="A608" t="inlineStr">
        <is>
          <t>PAY-00607</t>
        </is>
      </c>
      <c r="B608" t="inlineStr">
        <is>
          <t>P-00180</t>
        </is>
      </c>
      <c r="C608" t="inlineStr">
        <is>
          <t>PURCHASE</t>
        </is>
      </c>
      <c r="D608" t="inlineStr">
        <is>
          <t>Inventory purchases</t>
        </is>
      </c>
      <c r="E608" s="4" t="n">
        <v>46246</v>
      </c>
      <c r="F608" s="5" t="n">
        <v>22946.88</v>
      </c>
    </row>
    <row r="609">
      <c r="A609" t="inlineStr">
        <is>
          <t>PAY-00608</t>
        </is>
      </c>
      <c r="B609" t="inlineStr">
        <is>
          <t>P-00181</t>
        </is>
      </c>
      <c r="C609" t="inlineStr">
        <is>
          <t>PURCHASE</t>
        </is>
      </c>
      <c r="D609" t="inlineStr">
        <is>
          <t>Inventory purchases</t>
        </is>
      </c>
      <c r="E609" s="4" t="n">
        <v>46266</v>
      </c>
      <c r="F609" s="5" t="n">
        <v>5797.21</v>
      </c>
    </row>
    <row r="610">
      <c r="A610" t="inlineStr">
        <is>
          <t>PAY-00609</t>
        </is>
      </c>
      <c r="B610" t="inlineStr">
        <is>
          <t>P-00182</t>
        </is>
      </c>
      <c r="C610" t="inlineStr">
        <is>
          <t>PURCHASE</t>
        </is>
      </c>
      <c r="D610" t="inlineStr">
        <is>
          <t>Inventory purchases</t>
        </is>
      </c>
      <c r="E610" s="4" t="n">
        <v>46284</v>
      </c>
      <c r="F610" s="5" t="n">
        <v>17312.76</v>
      </c>
    </row>
    <row r="611">
      <c r="A611" t="inlineStr">
        <is>
          <t>PAY-00610</t>
        </is>
      </c>
      <c r="B611" t="inlineStr">
        <is>
          <t>P-00183</t>
        </is>
      </c>
      <c r="C611" t="inlineStr">
        <is>
          <t>PURCHASE</t>
        </is>
      </c>
      <c r="D611" t="inlineStr">
        <is>
          <t>Inventory purchases</t>
        </is>
      </c>
      <c r="E611" s="4" t="n">
        <v>46265</v>
      </c>
      <c r="F611" s="5" t="n">
        <v>32731.99</v>
      </c>
    </row>
    <row r="612">
      <c r="A612" t="inlineStr">
        <is>
          <t>PAY-00611</t>
        </is>
      </c>
      <c r="B612" t="inlineStr">
        <is>
          <t>P-00184</t>
        </is>
      </c>
      <c r="C612" t="inlineStr">
        <is>
          <t>PURCHASE</t>
        </is>
      </c>
      <c r="D612" t="inlineStr">
        <is>
          <t>Inventory purchases</t>
        </is>
      </c>
      <c r="E612" s="4" t="n">
        <v>46273</v>
      </c>
      <c r="F612" s="5" t="n">
        <v>50511.61</v>
      </c>
    </row>
    <row r="613">
      <c r="A613" t="inlineStr">
        <is>
          <t>PAY-00612</t>
        </is>
      </c>
      <c r="B613" t="inlineStr">
        <is>
          <t>P-00185</t>
        </is>
      </c>
      <c r="C613" t="inlineStr">
        <is>
          <t>PURCHASE</t>
        </is>
      </c>
      <c r="D613" t="inlineStr">
        <is>
          <t>Inventory purchases</t>
        </is>
      </c>
      <c r="E613" s="4" t="n">
        <v>46262</v>
      </c>
      <c r="F613" s="5" t="n">
        <v>27443.24</v>
      </c>
    </row>
    <row r="614">
      <c r="A614" t="inlineStr">
        <is>
          <t>PAY-00613</t>
        </is>
      </c>
      <c r="B614" t="inlineStr">
        <is>
          <t>P-00186</t>
        </is>
      </c>
      <c r="C614" t="inlineStr">
        <is>
          <t>PURCHASE</t>
        </is>
      </c>
      <c r="D614" t="inlineStr">
        <is>
          <t>Inventory purchases</t>
        </is>
      </c>
      <c r="E614" s="4" t="n">
        <v>46277</v>
      </c>
      <c r="F614" s="5" t="n">
        <v>109020.5</v>
      </c>
    </row>
    <row r="615">
      <c r="A615" t="inlineStr">
        <is>
          <t>PAY-00614</t>
        </is>
      </c>
      <c r="B615" t="inlineStr">
        <is>
          <t>P-00187</t>
        </is>
      </c>
      <c r="C615" t="inlineStr">
        <is>
          <t>PURCHASE</t>
        </is>
      </c>
      <c r="D615" t="inlineStr">
        <is>
          <t>Inventory purchases</t>
        </is>
      </c>
      <c r="E615" s="4" t="n">
        <v>46266</v>
      </c>
      <c r="F615" s="5" t="n">
        <v>27994.54</v>
      </c>
    </row>
    <row r="616">
      <c r="A616" t="inlineStr">
        <is>
          <t>PAY-00615</t>
        </is>
      </c>
      <c r="B616" t="inlineStr">
        <is>
          <t>P-00188</t>
        </is>
      </c>
      <c r="C616" t="inlineStr">
        <is>
          <t>PURCHASE</t>
        </is>
      </c>
      <c r="D616" t="inlineStr">
        <is>
          <t>Inventory purchases</t>
        </is>
      </c>
      <c r="E616" s="4" t="n">
        <v>46272</v>
      </c>
      <c r="F616" s="5" t="n">
        <v>79778.17999999999</v>
      </c>
    </row>
    <row r="617">
      <c r="A617" t="inlineStr">
        <is>
          <t>PAY-00616</t>
        </is>
      </c>
      <c r="B617" t="inlineStr">
        <is>
          <t>P-00189</t>
        </is>
      </c>
      <c r="C617" t="inlineStr">
        <is>
          <t>PURCHASE</t>
        </is>
      </c>
      <c r="D617" t="inlineStr">
        <is>
          <t>Inventory purchases</t>
        </is>
      </c>
      <c r="E617" s="4" t="n">
        <v>46263</v>
      </c>
      <c r="F617" s="5" t="n">
        <v>55656.57</v>
      </c>
    </row>
    <row r="618">
      <c r="A618" t="inlineStr">
        <is>
          <t>PAY-00617</t>
        </is>
      </c>
      <c r="B618" t="inlineStr">
        <is>
          <t>P-00190</t>
        </is>
      </c>
      <c r="C618" t="inlineStr">
        <is>
          <t>PURCHASE</t>
        </is>
      </c>
      <c r="D618" t="inlineStr">
        <is>
          <t>Inventory purchases</t>
        </is>
      </c>
      <c r="E618" s="4" t="n">
        <v>46260</v>
      </c>
      <c r="F618" s="5" t="n">
        <v>43157.58</v>
      </c>
    </row>
    <row r="619">
      <c r="A619" t="inlineStr">
        <is>
          <t>PAY-00618</t>
        </is>
      </c>
      <c r="B619" t="inlineStr">
        <is>
          <t>P-00191</t>
        </is>
      </c>
      <c r="C619" t="inlineStr">
        <is>
          <t>PURCHASE</t>
        </is>
      </c>
      <c r="D619" t="inlineStr">
        <is>
          <t>Inventory purchases</t>
        </is>
      </c>
      <c r="E619" s="4" t="n">
        <v>46267</v>
      </c>
      <c r="F619" s="5" t="n">
        <v>62484.03</v>
      </c>
    </row>
    <row r="620">
      <c r="A620" t="inlineStr">
        <is>
          <t>PAY-00619</t>
        </is>
      </c>
      <c r="B620" t="inlineStr">
        <is>
          <t>E-00151</t>
        </is>
      </c>
      <c r="C620" t="inlineStr">
        <is>
          <t>EXPENSE</t>
        </is>
      </c>
      <c r="D620" t="inlineStr">
        <is>
          <t>Rent</t>
        </is>
      </c>
      <c r="E620" s="4" t="n">
        <v>46254</v>
      </c>
      <c r="F620" s="5" t="n">
        <v>29899.63</v>
      </c>
    </row>
    <row r="621">
      <c r="A621" t="inlineStr">
        <is>
          <t>PAY-00620</t>
        </is>
      </c>
      <c r="B621" t="inlineStr">
        <is>
          <t>E-00152</t>
        </is>
      </c>
      <c r="C621" t="inlineStr">
        <is>
          <t>EXPENSE</t>
        </is>
      </c>
      <c r="D621" t="inlineStr">
        <is>
          <t>Salaries</t>
        </is>
      </c>
      <c r="E621" s="4" t="n">
        <v>46241</v>
      </c>
      <c r="F621" s="5" t="n">
        <v>86305.59</v>
      </c>
    </row>
    <row r="622">
      <c r="A622" t="inlineStr">
        <is>
          <t>PAY-00621</t>
        </is>
      </c>
      <c r="B622" t="inlineStr">
        <is>
          <t>E-00153</t>
        </is>
      </c>
      <c r="C622" t="inlineStr">
        <is>
          <t>EXPENSE</t>
        </is>
      </c>
      <c r="D622" t="inlineStr">
        <is>
          <t>Utilities</t>
        </is>
      </c>
      <c r="E622" s="4" t="n">
        <v>46260</v>
      </c>
      <c r="F622" s="5" t="n">
        <v>7625.22</v>
      </c>
    </row>
    <row r="623">
      <c r="A623" t="inlineStr">
        <is>
          <t>PAY-00622</t>
        </is>
      </c>
      <c r="B623" t="inlineStr">
        <is>
          <t>E-00154</t>
        </is>
      </c>
      <c r="C623" t="inlineStr">
        <is>
          <t>EXPENSE</t>
        </is>
      </c>
      <c r="D623" t="inlineStr">
        <is>
          <t>Transport</t>
        </is>
      </c>
      <c r="E623" s="4" t="n">
        <v>46246</v>
      </c>
      <c r="F623" s="5" t="n">
        <v>6806.03</v>
      </c>
    </row>
    <row r="624">
      <c r="A624" t="inlineStr">
        <is>
          <t>PAY-00623</t>
        </is>
      </c>
      <c r="B624" t="inlineStr">
        <is>
          <t>E-00155</t>
        </is>
      </c>
      <c r="C624" t="inlineStr">
        <is>
          <t>EXPENSE</t>
        </is>
      </c>
      <c r="D624" t="inlineStr">
        <is>
          <t>Transport</t>
        </is>
      </c>
      <c r="E624" s="4" t="n">
        <v>46250</v>
      </c>
      <c r="F624" s="5" t="n">
        <v>4190.74</v>
      </c>
    </row>
    <row r="625">
      <c r="A625" t="inlineStr">
        <is>
          <t>PAY-00624</t>
        </is>
      </c>
      <c r="B625" t="inlineStr">
        <is>
          <t>E-00156</t>
        </is>
      </c>
      <c r="C625" t="inlineStr">
        <is>
          <t>EXPENSE</t>
        </is>
      </c>
      <c r="D625" t="inlineStr">
        <is>
          <t>Transport</t>
        </is>
      </c>
      <c r="E625" s="4" t="n">
        <v>46264</v>
      </c>
      <c r="F625" s="5" t="n">
        <v>8614.07</v>
      </c>
    </row>
    <row r="626">
      <c r="A626" t="inlineStr">
        <is>
          <t>PAY-00625</t>
        </is>
      </c>
      <c r="B626" t="inlineStr">
        <is>
          <t>E-00157</t>
        </is>
      </c>
      <c r="C626" t="inlineStr">
        <is>
          <t>EXPENSE</t>
        </is>
      </c>
      <c r="D626" t="inlineStr">
        <is>
          <t>Transport</t>
        </is>
      </c>
      <c r="E626" s="4" t="n">
        <v>46246</v>
      </c>
      <c r="F626" s="5" t="n">
        <v>2956.45</v>
      </c>
    </row>
    <row r="627">
      <c r="A627" t="inlineStr">
        <is>
          <t>PAY-00626</t>
        </is>
      </c>
      <c r="B627" t="inlineStr">
        <is>
          <t>E-00158</t>
        </is>
      </c>
      <c r="C627" t="inlineStr">
        <is>
          <t>EXPENSE</t>
        </is>
      </c>
      <c r="D627" t="inlineStr">
        <is>
          <t>Transport</t>
        </is>
      </c>
      <c r="E627" s="4" t="n">
        <v>46248</v>
      </c>
      <c r="F627" s="5" t="n">
        <v>3817.79</v>
      </c>
    </row>
    <row r="628">
      <c r="A628" t="inlineStr">
        <is>
          <t>PAY-00627</t>
        </is>
      </c>
      <c r="B628" t="inlineStr">
        <is>
          <t>E-00160</t>
        </is>
      </c>
      <c r="C628" t="inlineStr">
        <is>
          <t>EXPENSE</t>
        </is>
      </c>
      <c r="D628" t="inlineStr">
        <is>
          <t>Marketing</t>
        </is>
      </c>
      <c r="E628" s="4" t="n">
        <v>46255</v>
      </c>
      <c r="F628" s="5" t="n">
        <v>17742.9</v>
      </c>
    </row>
    <row r="629">
      <c r="A629" t="inlineStr">
        <is>
          <t>PAY-00628</t>
        </is>
      </c>
      <c r="B629" t="inlineStr">
        <is>
          <t>E-00161</t>
        </is>
      </c>
      <c r="C629" t="inlineStr">
        <is>
          <t>EXPENSE</t>
        </is>
      </c>
      <c r="D629" t="inlineStr">
        <is>
          <t>Marketing</t>
        </is>
      </c>
      <c r="E629" s="4" t="n">
        <v>46261</v>
      </c>
      <c r="F629" s="5" t="n">
        <v>24026.98</v>
      </c>
    </row>
    <row r="630">
      <c r="A630" t="inlineStr">
        <is>
          <t>PAY-00629</t>
        </is>
      </c>
      <c r="B630" t="inlineStr">
        <is>
          <t>E-00162</t>
        </is>
      </c>
      <c r="C630" t="inlineStr">
        <is>
          <t>EXPENSE</t>
        </is>
      </c>
      <c r="D630" t="inlineStr">
        <is>
          <t>Professional fees</t>
        </is>
      </c>
      <c r="E630" s="4" t="n">
        <v>46265</v>
      </c>
      <c r="F630" s="5" t="n">
        <v>6772.36</v>
      </c>
    </row>
    <row r="631">
      <c r="A631" t="inlineStr">
        <is>
          <t>PAY-00630</t>
        </is>
      </c>
      <c r="B631" t="inlineStr">
        <is>
          <t>E-00163</t>
        </is>
      </c>
      <c r="C631" t="inlineStr">
        <is>
          <t>EXPENSE</t>
        </is>
      </c>
      <c r="D631" t="inlineStr">
        <is>
          <t>Misc</t>
        </is>
      </c>
      <c r="E631" s="4" t="n">
        <v>46263</v>
      </c>
      <c r="F631" s="5" t="n">
        <v>1416.29</v>
      </c>
    </row>
    <row r="632">
      <c r="A632" t="inlineStr">
        <is>
          <t>PAY-00631</t>
        </is>
      </c>
      <c r="B632" t="inlineStr">
        <is>
          <t>E-00164</t>
        </is>
      </c>
      <c r="C632" t="inlineStr">
        <is>
          <t>EXPENSE</t>
        </is>
      </c>
      <c r="D632" t="inlineStr">
        <is>
          <t>Misc</t>
        </is>
      </c>
      <c r="E632" s="4" t="n">
        <v>46253</v>
      </c>
      <c r="F632" s="5" t="n">
        <v>2401.02</v>
      </c>
    </row>
    <row r="633">
      <c r="A633" t="inlineStr">
        <is>
          <t>PAY-00632</t>
        </is>
      </c>
      <c r="B633" t="inlineStr">
        <is>
          <t>E-00165</t>
        </is>
      </c>
      <c r="C633" t="inlineStr">
        <is>
          <t>EXPENSE</t>
        </is>
      </c>
      <c r="D633" t="inlineStr">
        <is>
          <t>Misc</t>
        </is>
      </c>
      <c r="E633" s="4" t="n">
        <v>46270</v>
      </c>
      <c r="F633" s="5" t="n">
        <v>4468.13</v>
      </c>
    </row>
    <row r="634">
      <c r="A634" t="inlineStr">
        <is>
          <t>PAY-00633</t>
        </is>
      </c>
      <c r="B634" t="inlineStr">
        <is>
          <t>S-00362</t>
        </is>
      </c>
      <c r="C634" t="inlineStr">
        <is>
          <t>SALES</t>
        </is>
      </c>
      <c r="D634" t="inlineStr">
        <is>
          <t>Garments</t>
        </is>
      </c>
      <c r="E634" s="4" t="n">
        <v>46290</v>
      </c>
      <c r="F634" s="5" t="n">
        <v>69074.13</v>
      </c>
    </row>
    <row r="635">
      <c r="A635" t="inlineStr">
        <is>
          <t>PAY-00634</t>
        </is>
      </c>
      <c r="B635" t="inlineStr">
        <is>
          <t>S-00365</t>
        </is>
      </c>
      <c r="C635" t="inlineStr">
        <is>
          <t>SALES</t>
        </is>
      </c>
      <c r="D635" t="inlineStr">
        <is>
          <t>Fabrics</t>
        </is>
      </c>
      <c r="E635" s="4" t="n">
        <v>46293</v>
      </c>
      <c r="F635" s="5" t="n">
        <v>12264.84</v>
      </c>
    </row>
    <row r="636">
      <c r="A636" t="inlineStr">
        <is>
          <t>PAY-00635</t>
        </is>
      </c>
      <c r="B636" t="inlineStr">
        <is>
          <t>S-00375</t>
        </is>
      </c>
      <c r="C636" t="inlineStr">
        <is>
          <t>SALES</t>
        </is>
      </c>
      <c r="D636" t="inlineStr">
        <is>
          <t>Fabrics</t>
        </is>
      </c>
      <c r="E636" s="4" t="n">
        <v>46282</v>
      </c>
      <c r="F636" s="5" t="n">
        <v>67021.94</v>
      </c>
    </row>
    <row r="637">
      <c r="A637" t="inlineStr">
        <is>
          <t>PAY-00636</t>
        </is>
      </c>
      <c r="B637" t="inlineStr">
        <is>
          <t>S-00384</t>
        </is>
      </c>
      <c r="C637" t="inlineStr">
        <is>
          <t>SALES</t>
        </is>
      </c>
      <c r="D637" t="inlineStr">
        <is>
          <t>Garments</t>
        </is>
      </c>
      <c r="E637" s="4" t="n">
        <v>46288</v>
      </c>
      <c r="F637" s="5" t="n">
        <v>29577.69</v>
      </c>
    </row>
    <row r="638">
      <c r="A638" t="inlineStr">
        <is>
          <t>PAY-00637</t>
        </is>
      </c>
      <c r="B638" t="inlineStr">
        <is>
          <t>S-00388</t>
        </is>
      </c>
      <c r="C638" t="inlineStr">
        <is>
          <t>SALES</t>
        </is>
      </c>
      <c r="D638" t="inlineStr">
        <is>
          <t>Fabrics</t>
        </is>
      </c>
      <c r="E638" s="4" t="n">
        <v>46291</v>
      </c>
      <c r="F638" s="5" t="n">
        <v>43085.69</v>
      </c>
    </row>
    <row r="639">
      <c r="A639" t="inlineStr">
        <is>
          <t>PAY-00638</t>
        </is>
      </c>
      <c r="B639" t="inlineStr">
        <is>
          <t>S-00395</t>
        </is>
      </c>
      <c r="C639" t="inlineStr">
        <is>
          <t>SALES</t>
        </is>
      </c>
      <c r="D639" t="inlineStr">
        <is>
          <t>Garments</t>
        </is>
      </c>
      <c r="E639" s="4" t="n">
        <v>46283</v>
      </c>
      <c r="F639" s="5" t="n">
        <v>18914.22</v>
      </c>
    </row>
    <row r="640">
      <c r="A640" t="inlineStr">
        <is>
          <t>PAY-00639</t>
        </is>
      </c>
      <c r="B640" t="inlineStr">
        <is>
          <t>P-00193</t>
        </is>
      </c>
      <c r="C640" t="inlineStr">
        <is>
          <t>PURCHASE</t>
        </is>
      </c>
      <c r="D640" t="inlineStr">
        <is>
          <t>Inventory purchases</t>
        </is>
      </c>
      <c r="E640" s="4" t="n">
        <v>46283</v>
      </c>
      <c r="F640" s="5" t="n">
        <v>85411.36</v>
      </c>
    </row>
    <row r="641">
      <c r="A641" t="inlineStr">
        <is>
          <t>PAY-00640</t>
        </is>
      </c>
      <c r="B641" t="inlineStr">
        <is>
          <t>P-00198</t>
        </is>
      </c>
      <c r="C641" t="inlineStr">
        <is>
          <t>PURCHASE</t>
        </is>
      </c>
      <c r="D641" t="inlineStr">
        <is>
          <t>Inventory purchases</t>
        </is>
      </c>
      <c r="E641" s="4" t="n">
        <v>46290</v>
      </c>
      <c r="F641" s="5" t="n">
        <v>83416.37</v>
      </c>
    </row>
    <row r="642">
      <c r="A642" t="inlineStr">
        <is>
          <t>PAY-00641</t>
        </is>
      </c>
      <c r="B642" t="inlineStr">
        <is>
          <t>P-00201</t>
        </is>
      </c>
      <c r="C642" t="inlineStr">
        <is>
          <t>PURCHASE</t>
        </is>
      </c>
      <c r="D642" t="inlineStr">
        <is>
          <t>Inventory purchases</t>
        </is>
      </c>
      <c r="E642" s="4" t="n">
        <v>46289</v>
      </c>
      <c r="F642" s="5" t="n">
        <v>96197.23</v>
      </c>
    </row>
    <row r="643">
      <c r="A643" t="inlineStr">
        <is>
          <t>PAY-00642</t>
        </is>
      </c>
      <c r="B643" t="inlineStr">
        <is>
          <t>P-00208</t>
        </is>
      </c>
      <c r="C643" t="inlineStr">
        <is>
          <t>PURCHASE</t>
        </is>
      </c>
      <c r="D643" t="inlineStr">
        <is>
          <t>Inventory purchases</t>
        </is>
      </c>
      <c r="E643" s="4" t="n">
        <v>46295</v>
      </c>
      <c r="F643" s="5" t="n">
        <v>86665.74000000001</v>
      </c>
    </row>
    <row r="644">
      <c r="A644" t="inlineStr">
        <is>
          <t>PAY-00643</t>
        </is>
      </c>
      <c r="B644" t="inlineStr">
        <is>
          <t>P-00209</t>
        </is>
      </c>
      <c r="C644" t="inlineStr">
        <is>
          <t>PURCHASE</t>
        </is>
      </c>
      <c r="D644" t="inlineStr">
        <is>
          <t>Inventory purchases</t>
        </is>
      </c>
      <c r="E644" s="4" t="n">
        <v>46291</v>
      </c>
      <c r="F644" s="5" t="n">
        <v>29357.05</v>
      </c>
    </row>
    <row r="645">
      <c r="A645" t="inlineStr">
        <is>
          <t>PAY-00644</t>
        </is>
      </c>
      <c r="B645" t="inlineStr">
        <is>
          <t>E-00166</t>
        </is>
      </c>
      <c r="C645" t="inlineStr">
        <is>
          <t>EXPENSE</t>
        </is>
      </c>
      <c r="D645" t="inlineStr">
        <is>
          <t>Rent</t>
        </is>
      </c>
      <c r="E645" s="4" t="n">
        <v>46282</v>
      </c>
      <c r="F645" s="5" t="n">
        <v>28998.51</v>
      </c>
    </row>
    <row r="646">
      <c r="A646" t="inlineStr">
        <is>
          <t>PAY-00645</t>
        </is>
      </c>
      <c r="B646" t="inlineStr">
        <is>
          <t>E-00167</t>
        </is>
      </c>
      <c r="C646" t="inlineStr">
        <is>
          <t>EXPENSE</t>
        </is>
      </c>
      <c r="D646" t="inlineStr">
        <is>
          <t>Salaries</t>
        </is>
      </c>
      <c r="E646" s="4" t="n">
        <v>46273</v>
      </c>
      <c r="F646" s="5" t="n">
        <v>85672.31</v>
      </c>
    </row>
    <row r="647">
      <c r="A647" t="inlineStr">
        <is>
          <t>PAY-00646</t>
        </is>
      </c>
      <c r="B647" t="inlineStr">
        <is>
          <t>E-00168</t>
        </is>
      </c>
      <c r="C647" t="inlineStr">
        <is>
          <t>EXPENSE</t>
        </is>
      </c>
      <c r="D647" t="inlineStr">
        <is>
          <t>Utilities</t>
        </is>
      </c>
      <c r="E647" s="4" t="n">
        <v>46273</v>
      </c>
      <c r="F647" s="5" t="n">
        <v>7572.76</v>
      </c>
    </row>
    <row r="648">
      <c r="A648" t="inlineStr">
        <is>
          <t>PAY-00647</t>
        </is>
      </c>
      <c r="B648" t="inlineStr">
        <is>
          <t>E-00169</t>
        </is>
      </c>
      <c r="C648" t="inlineStr">
        <is>
          <t>EXPENSE</t>
        </is>
      </c>
      <c r="D648" t="inlineStr">
        <is>
          <t>Transport</t>
        </is>
      </c>
      <c r="E648" s="4" t="n">
        <v>46284</v>
      </c>
      <c r="F648" s="5" t="n">
        <v>2774.57</v>
      </c>
    </row>
    <row r="649">
      <c r="A649" t="inlineStr">
        <is>
          <t>PAY-00648</t>
        </is>
      </c>
      <c r="B649" t="inlineStr">
        <is>
          <t>E-00170</t>
        </is>
      </c>
      <c r="C649" t="inlineStr">
        <is>
          <t>EXPENSE</t>
        </is>
      </c>
      <c r="D649" t="inlineStr">
        <is>
          <t>Transport</t>
        </is>
      </c>
      <c r="E649" s="4" t="n">
        <v>46276</v>
      </c>
      <c r="F649" s="5" t="n">
        <v>7541.87</v>
      </c>
    </row>
    <row r="650">
      <c r="A650" t="inlineStr">
        <is>
          <t>PAY-00649</t>
        </is>
      </c>
      <c r="B650" t="inlineStr">
        <is>
          <t>E-00171</t>
        </is>
      </c>
      <c r="C650" t="inlineStr">
        <is>
          <t>EXPENSE</t>
        </is>
      </c>
      <c r="D650" t="inlineStr">
        <is>
          <t>Transport</t>
        </is>
      </c>
      <c r="E650" s="4" t="n">
        <v>46289</v>
      </c>
      <c r="F650" s="5" t="n">
        <v>5297.23</v>
      </c>
    </row>
    <row r="651">
      <c r="A651" t="inlineStr">
        <is>
          <t>PAY-00650</t>
        </is>
      </c>
      <c r="B651" t="inlineStr">
        <is>
          <t>E-00173</t>
        </is>
      </c>
      <c r="C651" t="inlineStr">
        <is>
          <t>EXPENSE</t>
        </is>
      </c>
      <c r="D651" t="inlineStr">
        <is>
          <t>Transport</t>
        </is>
      </c>
      <c r="E651" s="4" t="n">
        <v>46280</v>
      </c>
      <c r="F651" s="5" t="n">
        <v>3295.47</v>
      </c>
    </row>
    <row r="652">
      <c r="A652" t="inlineStr">
        <is>
          <t>PAY-00651</t>
        </is>
      </c>
      <c r="B652" t="inlineStr">
        <is>
          <t>E-00174</t>
        </is>
      </c>
      <c r="C652" t="inlineStr">
        <is>
          <t>EXPENSE</t>
        </is>
      </c>
      <c r="D652" t="inlineStr">
        <is>
          <t>Transport</t>
        </is>
      </c>
      <c r="E652" s="4" t="n">
        <v>46295</v>
      </c>
      <c r="F652" s="5" t="n">
        <v>3866.26</v>
      </c>
    </row>
    <row r="653">
      <c r="A653" t="inlineStr">
        <is>
          <t>PAY-00652</t>
        </is>
      </c>
      <c r="B653" t="inlineStr">
        <is>
          <t>E-00175</t>
        </is>
      </c>
      <c r="C653" t="inlineStr">
        <is>
          <t>EXPENSE</t>
        </is>
      </c>
      <c r="D653" t="inlineStr">
        <is>
          <t>Marketing</t>
        </is>
      </c>
      <c r="E653" s="4" t="n">
        <v>46288</v>
      </c>
      <c r="F653" s="5" t="n">
        <v>17431.03</v>
      </c>
    </row>
    <row r="654">
      <c r="A654" t="inlineStr">
        <is>
          <t>PAY-00653</t>
        </is>
      </c>
      <c r="B654" t="inlineStr">
        <is>
          <t>E-00176</t>
        </is>
      </c>
      <c r="C654" t="inlineStr">
        <is>
          <t>EXPENSE</t>
        </is>
      </c>
      <c r="D654" t="inlineStr">
        <is>
          <t>Marketing</t>
        </is>
      </c>
      <c r="E654" s="4" t="n">
        <v>46279</v>
      </c>
      <c r="F654" s="5" t="n">
        <v>21611.16</v>
      </c>
    </row>
    <row r="655">
      <c r="A655" t="inlineStr">
        <is>
          <t>PAY-00654</t>
        </is>
      </c>
      <c r="B655" t="inlineStr">
        <is>
          <t>E-00177</t>
        </is>
      </c>
      <c r="C655" t="inlineStr">
        <is>
          <t>EXPENSE</t>
        </is>
      </c>
      <c r="D655" t="inlineStr">
        <is>
          <t>Professional fees</t>
        </is>
      </c>
      <c r="E655" s="4" t="n">
        <v>46294</v>
      </c>
      <c r="F655" s="5" t="n">
        <v>13111.36</v>
      </c>
    </row>
    <row r="656">
      <c r="A656" t="inlineStr">
        <is>
          <t>PAY-00655</t>
        </is>
      </c>
      <c r="B656" t="inlineStr">
        <is>
          <t>E-00178</t>
        </is>
      </c>
      <c r="C656" t="inlineStr">
        <is>
          <t>EXPENSE</t>
        </is>
      </c>
      <c r="D656" t="inlineStr">
        <is>
          <t>Misc</t>
        </is>
      </c>
      <c r="E656" s="4" t="n">
        <v>46292</v>
      </c>
      <c r="F656" s="5" t="n">
        <v>1709.45</v>
      </c>
    </row>
    <row r="657">
      <c r="A657" t="inlineStr">
        <is>
          <t>PAY-00656</t>
        </is>
      </c>
      <c r="B657" t="inlineStr">
        <is>
          <t>E-00179</t>
        </is>
      </c>
      <c r="C657" t="inlineStr">
        <is>
          <t>EXPENSE</t>
        </is>
      </c>
      <c r="D657" t="inlineStr">
        <is>
          <t>Misc</t>
        </is>
      </c>
      <c r="E657" s="4" t="n">
        <v>46270</v>
      </c>
      <c r="F657" s="5" t="n">
        <v>2059.16</v>
      </c>
    </row>
    <row r="658">
      <c r="A658" t="inlineStr">
        <is>
          <t>PAY-00657</t>
        </is>
      </c>
      <c r="B658" t="inlineStr">
        <is>
          <t>E-00180</t>
        </is>
      </c>
      <c r="C658" t="inlineStr">
        <is>
          <t>EXPENSE</t>
        </is>
      </c>
      <c r="D658" t="inlineStr">
        <is>
          <t>Misc</t>
        </is>
      </c>
      <c r="E658" s="4" t="n">
        <v>46290</v>
      </c>
      <c r="F658" s="5" t="n">
        <v>3750.56</v>
      </c>
    </row>
  </sheetData>
  <autoFilter ref="A1:F6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P&amp;L — monthly (formula-driven)</t>
        </is>
      </c>
    </row>
    <row r="2">
      <c r="A2" s="3" t="inlineStr">
        <is>
          <t>Line</t>
        </is>
      </c>
      <c r="B2" s="6" t="n">
        <v>45931</v>
      </c>
      <c r="C2" s="6" t="n">
        <v>45962</v>
      </c>
      <c r="D2" s="6" t="n">
        <v>45992</v>
      </c>
      <c r="E2" s="6" t="n">
        <v>46023</v>
      </c>
      <c r="F2" s="6" t="n">
        <v>46054</v>
      </c>
      <c r="G2" s="6" t="n">
        <v>46082</v>
      </c>
      <c r="H2" s="6" t="n">
        <v>46113</v>
      </c>
      <c r="I2" s="6" t="n">
        <v>46143</v>
      </c>
      <c r="J2" s="6" t="n">
        <v>46174</v>
      </c>
      <c r="K2" s="6" t="n">
        <v>46204</v>
      </c>
      <c r="L2" s="6" t="n">
        <v>46235</v>
      </c>
      <c r="M2" s="6" t="n">
        <v>46266</v>
      </c>
      <c r="N2" s="3" t="inlineStr">
        <is>
          <t>FY total</t>
        </is>
      </c>
    </row>
    <row r="3">
      <c r="A3" t="inlineStr">
        <is>
          <t>Revenue — Fabrics</t>
        </is>
      </c>
      <c r="B3" s="5">
        <f>SUMIFS(Raw_Invoices!$F:$F,Raw_Invoices!$B:$B,"&gt;="&amp;B$2,Raw_Invoices!$B:$B,"&lt;="&amp;EOMONTH(B$2,0),Raw_Invoices!$D:$D,"SALES",Raw_Invoices!$E:$E,"Fabrics")</f>
        <v/>
      </c>
      <c r="C3" s="5">
        <f>SUMIFS(Raw_Invoices!$F:$F,Raw_Invoices!$B:$B,"&gt;="&amp;C$2,Raw_Invoices!$B:$B,"&lt;="&amp;EOMONTH(C$2,0),Raw_Invoices!$D:$D,"SALES",Raw_Invoices!$E:$E,"Fabrics")</f>
        <v/>
      </c>
      <c r="D3" s="5">
        <f>SUMIFS(Raw_Invoices!$F:$F,Raw_Invoices!$B:$B,"&gt;="&amp;D$2,Raw_Invoices!$B:$B,"&lt;="&amp;EOMONTH(D$2,0),Raw_Invoices!$D:$D,"SALES",Raw_Invoices!$E:$E,"Fabrics")</f>
        <v/>
      </c>
      <c r="E3" s="5">
        <f>SUMIFS(Raw_Invoices!$F:$F,Raw_Invoices!$B:$B,"&gt;="&amp;E$2,Raw_Invoices!$B:$B,"&lt;="&amp;EOMONTH(E$2,0),Raw_Invoices!$D:$D,"SALES",Raw_Invoices!$E:$E,"Fabrics")</f>
        <v/>
      </c>
      <c r="F3" s="5">
        <f>SUMIFS(Raw_Invoices!$F:$F,Raw_Invoices!$B:$B,"&gt;="&amp;F$2,Raw_Invoices!$B:$B,"&lt;="&amp;EOMONTH(F$2,0),Raw_Invoices!$D:$D,"SALES",Raw_Invoices!$E:$E,"Fabrics")</f>
        <v/>
      </c>
      <c r="G3" s="5">
        <f>SUMIFS(Raw_Invoices!$F:$F,Raw_Invoices!$B:$B,"&gt;="&amp;G$2,Raw_Invoices!$B:$B,"&lt;="&amp;EOMONTH(G$2,0),Raw_Invoices!$D:$D,"SALES",Raw_Invoices!$E:$E,"Fabrics")</f>
        <v/>
      </c>
      <c r="H3" s="5">
        <f>SUMIFS(Raw_Invoices!$F:$F,Raw_Invoices!$B:$B,"&gt;="&amp;H$2,Raw_Invoices!$B:$B,"&lt;="&amp;EOMONTH(H$2,0),Raw_Invoices!$D:$D,"SALES",Raw_Invoices!$E:$E,"Fabrics")</f>
        <v/>
      </c>
      <c r="I3" s="5">
        <f>SUMIFS(Raw_Invoices!$F:$F,Raw_Invoices!$B:$B,"&gt;="&amp;I$2,Raw_Invoices!$B:$B,"&lt;="&amp;EOMONTH(I$2,0),Raw_Invoices!$D:$D,"SALES",Raw_Invoices!$E:$E,"Fabrics")</f>
        <v/>
      </c>
      <c r="J3" s="5">
        <f>SUMIFS(Raw_Invoices!$F:$F,Raw_Invoices!$B:$B,"&gt;="&amp;J$2,Raw_Invoices!$B:$B,"&lt;="&amp;EOMONTH(J$2,0),Raw_Invoices!$D:$D,"SALES",Raw_Invoices!$E:$E,"Fabrics")</f>
        <v/>
      </c>
      <c r="K3" s="5">
        <f>SUMIFS(Raw_Invoices!$F:$F,Raw_Invoices!$B:$B,"&gt;="&amp;K$2,Raw_Invoices!$B:$B,"&lt;="&amp;EOMONTH(K$2,0),Raw_Invoices!$D:$D,"SALES",Raw_Invoices!$E:$E,"Fabrics")</f>
        <v/>
      </c>
      <c r="L3" s="5">
        <f>SUMIFS(Raw_Invoices!$F:$F,Raw_Invoices!$B:$B,"&gt;="&amp;L$2,Raw_Invoices!$B:$B,"&lt;="&amp;EOMONTH(L$2,0),Raw_Invoices!$D:$D,"SALES",Raw_Invoices!$E:$E,"Fabrics")</f>
        <v/>
      </c>
      <c r="M3" s="5">
        <f>SUMIFS(Raw_Invoices!$F:$F,Raw_Invoices!$B:$B,"&gt;="&amp;M$2,Raw_Invoices!$B:$B,"&lt;="&amp;EOMONTH(M$2,0),Raw_Invoices!$D:$D,"SALES",Raw_Invoices!$E:$E,"Fabrics")</f>
        <v/>
      </c>
      <c r="N3" s="5">
        <f>SUM(B3:M3)</f>
        <v/>
      </c>
    </row>
    <row r="4">
      <c r="A4" t="inlineStr">
        <is>
          <t>Revenue — Garments</t>
        </is>
      </c>
      <c r="B4" s="5">
        <f>SUMIFS(Raw_Invoices!$F:$F,Raw_Invoices!$B:$B,"&gt;="&amp;B$2,Raw_Invoices!$B:$B,"&lt;="&amp;EOMONTH(B$2,0),Raw_Invoices!$D:$D,"SALES",Raw_Invoices!$E:$E,"Garments")</f>
        <v/>
      </c>
      <c r="C4" s="5">
        <f>SUMIFS(Raw_Invoices!$F:$F,Raw_Invoices!$B:$B,"&gt;="&amp;C$2,Raw_Invoices!$B:$B,"&lt;="&amp;EOMONTH(C$2,0),Raw_Invoices!$D:$D,"SALES",Raw_Invoices!$E:$E,"Garments")</f>
        <v/>
      </c>
      <c r="D4" s="5">
        <f>SUMIFS(Raw_Invoices!$F:$F,Raw_Invoices!$B:$B,"&gt;="&amp;D$2,Raw_Invoices!$B:$B,"&lt;="&amp;EOMONTH(D$2,0),Raw_Invoices!$D:$D,"SALES",Raw_Invoices!$E:$E,"Garments")</f>
        <v/>
      </c>
      <c r="E4" s="5">
        <f>SUMIFS(Raw_Invoices!$F:$F,Raw_Invoices!$B:$B,"&gt;="&amp;E$2,Raw_Invoices!$B:$B,"&lt;="&amp;EOMONTH(E$2,0),Raw_Invoices!$D:$D,"SALES",Raw_Invoices!$E:$E,"Garments")</f>
        <v/>
      </c>
      <c r="F4" s="5">
        <f>SUMIFS(Raw_Invoices!$F:$F,Raw_Invoices!$B:$B,"&gt;="&amp;F$2,Raw_Invoices!$B:$B,"&lt;="&amp;EOMONTH(F$2,0),Raw_Invoices!$D:$D,"SALES",Raw_Invoices!$E:$E,"Garments")</f>
        <v/>
      </c>
      <c r="G4" s="5">
        <f>SUMIFS(Raw_Invoices!$F:$F,Raw_Invoices!$B:$B,"&gt;="&amp;G$2,Raw_Invoices!$B:$B,"&lt;="&amp;EOMONTH(G$2,0),Raw_Invoices!$D:$D,"SALES",Raw_Invoices!$E:$E,"Garments")</f>
        <v/>
      </c>
      <c r="H4" s="5">
        <f>SUMIFS(Raw_Invoices!$F:$F,Raw_Invoices!$B:$B,"&gt;="&amp;H$2,Raw_Invoices!$B:$B,"&lt;="&amp;EOMONTH(H$2,0),Raw_Invoices!$D:$D,"SALES",Raw_Invoices!$E:$E,"Garments")</f>
        <v/>
      </c>
      <c r="I4" s="5">
        <f>SUMIFS(Raw_Invoices!$F:$F,Raw_Invoices!$B:$B,"&gt;="&amp;I$2,Raw_Invoices!$B:$B,"&lt;="&amp;EOMONTH(I$2,0),Raw_Invoices!$D:$D,"SALES",Raw_Invoices!$E:$E,"Garments")</f>
        <v/>
      </c>
      <c r="J4" s="5">
        <f>SUMIFS(Raw_Invoices!$F:$F,Raw_Invoices!$B:$B,"&gt;="&amp;J$2,Raw_Invoices!$B:$B,"&lt;="&amp;EOMONTH(J$2,0),Raw_Invoices!$D:$D,"SALES",Raw_Invoices!$E:$E,"Garments")</f>
        <v/>
      </c>
      <c r="K4" s="5">
        <f>SUMIFS(Raw_Invoices!$F:$F,Raw_Invoices!$B:$B,"&gt;="&amp;K$2,Raw_Invoices!$B:$B,"&lt;="&amp;EOMONTH(K$2,0),Raw_Invoices!$D:$D,"SALES",Raw_Invoices!$E:$E,"Garments")</f>
        <v/>
      </c>
      <c r="L4" s="5">
        <f>SUMIFS(Raw_Invoices!$F:$F,Raw_Invoices!$B:$B,"&gt;="&amp;L$2,Raw_Invoices!$B:$B,"&lt;="&amp;EOMONTH(L$2,0),Raw_Invoices!$D:$D,"SALES",Raw_Invoices!$E:$E,"Garments")</f>
        <v/>
      </c>
      <c r="M4" s="5">
        <f>SUMIFS(Raw_Invoices!$F:$F,Raw_Invoices!$B:$B,"&gt;="&amp;M$2,Raw_Invoices!$B:$B,"&lt;="&amp;EOMONTH(M$2,0),Raw_Invoices!$D:$D,"SALES",Raw_Invoices!$E:$E,"Garments")</f>
        <v/>
      </c>
      <c r="N4" s="5">
        <f>SUM(B4:M4)</f>
        <v/>
      </c>
    </row>
    <row r="5">
      <c r="A5" t="inlineStr">
        <is>
          <t>Revenue — Accessories</t>
        </is>
      </c>
      <c r="B5" s="5">
        <f>SUMIFS(Raw_Invoices!$F:$F,Raw_Invoices!$B:$B,"&gt;="&amp;B$2,Raw_Invoices!$B:$B,"&lt;="&amp;EOMONTH(B$2,0),Raw_Invoices!$D:$D,"SALES",Raw_Invoices!$E:$E,"Accessories")</f>
        <v/>
      </c>
      <c r="C5" s="5">
        <f>SUMIFS(Raw_Invoices!$F:$F,Raw_Invoices!$B:$B,"&gt;="&amp;C$2,Raw_Invoices!$B:$B,"&lt;="&amp;EOMONTH(C$2,0),Raw_Invoices!$D:$D,"SALES",Raw_Invoices!$E:$E,"Accessories")</f>
        <v/>
      </c>
      <c r="D5" s="5">
        <f>SUMIFS(Raw_Invoices!$F:$F,Raw_Invoices!$B:$B,"&gt;="&amp;D$2,Raw_Invoices!$B:$B,"&lt;="&amp;EOMONTH(D$2,0),Raw_Invoices!$D:$D,"SALES",Raw_Invoices!$E:$E,"Accessories")</f>
        <v/>
      </c>
      <c r="E5" s="5">
        <f>SUMIFS(Raw_Invoices!$F:$F,Raw_Invoices!$B:$B,"&gt;="&amp;E$2,Raw_Invoices!$B:$B,"&lt;="&amp;EOMONTH(E$2,0),Raw_Invoices!$D:$D,"SALES",Raw_Invoices!$E:$E,"Accessories")</f>
        <v/>
      </c>
      <c r="F5" s="5">
        <f>SUMIFS(Raw_Invoices!$F:$F,Raw_Invoices!$B:$B,"&gt;="&amp;F$2,Raw_Invoices!$B:$B,"&lt;="&amp;EOMONTH(F$2,0),Raw_Invoices!$D:$D,"SALES",Raw_Invoices!$E:$E,"Accessories")</f>
        <v/>
      </c>
      <c r="G5" s="5">
        <f>SUMIFS(Raw_Invoices!$F:$F,Raw_Invoices!$B:$B,"&gt;="&amp;G$2,Raw_Invoices!$B:$B,"&lt;="&amp;EOMONTH(G$2,0),Raw_Invoices!$D:$D,"SALES",Raw_Invoices!$E:$E,"Accessories")</f>
        <v/>
      </c>
      <c r="H5" s="5">
        <f>SUMIFS(Raw_Invoices!$F:$F,Raw_Invoices!$B:$B,"&gt;="&amp;H$2,Raw_Invoices!$B:$B,"&lt;="&amp;EOMONTH(H$2,0),Raw_Invoices!$D:$D,"SALES",Raw_Invoices!$E:$E,"Accessories")</f>
        <v/>
      </c>
      <c r="I5" s="5">
        <f>SUMIFS(Raw_Invoices!$F:$F,Raw_Invoices!$B:$B,"&gt;="&amp;I$2,Raw_Invoices!$B:$B,"&lt;="&amp;EOMONTH(I$2,0),Raw_Invoices!$D:$D,"SALES",Raw_Invoices!$E:$E,"Accessories")</f>
        <v/>
      </c>
      <c r="J5" s="5">
        <f>SUMIFS(Raw_Invoices!$F:$F,Raw_Invoices!$B:$B,"&gt;="&amp;J$2,Raw_Invoices!$B:$B,"&lt;="&amp;EOMONTH(J$2,0),Raw_Invoices!$D:$D,"SALES",Raw_Invoices!$E:$E,"Accessories")</f>
        <v/>
      </c>
      <c r="K5" s="5">
        <f>SUMIFS(Raw_Invoices!$F:$F,Raw_Invoices!$B:$B,"&gt;="&amp;K$2,Raw_Invoices!$B:$B,"&lt;="&amp;EOMONTH(K$2,0),Raw_Invoices!$D:$D,"SALES",Raw_Invoices!$E:$E,"Accessories")</f>
        <v/>
      </c>
      <c r="L5" s="5">
        <f>SUMIFS(Raw_Invoices!$F:$F,Raw_Invoices!$B:$B,"&gt;="&amp;L$2,Raw_Invoices!$B:$B,"&lt;="&amp;EOMONTH(L$2,0),Raw_Invoices!$D:$D,"SALES",Raw_Invoices!$E:$E,"Accessories")</f>
        <v/>
      </c>
      <c r="M5" s="5">
        <f>SUMIFS(Raw_Invoices!$F:$F,Raw_Invoices!$B:$B,"&gt;="&amp;M$2,Raw_Invoices!$B:$B,"&lt;="&amp;EOMONTH(M$2,0),Raw_Invoices!$D:$D,"SALES",Raw_Invoices!$E:$E,"Accessories")</f>
        <v/>
      </c>
      <c r="N5" s="5">
        <f>SUM(B5:M5)</f>
        <v/>
      </c>
    </row>
    <row r="6">
      <c r="A6" s="7" t="inlineStr">
        <is>
          <t>Total revenue</t>
        </is>
      </c>
      <c r="B6" s="5">
        <f>SUM(B3:B5)</f>
        <v/>
      </c>
      <c r="C6" s="5">
        <f>SUM(C3:C5)</f>
        <v/>
      </c>
      <c r="D6" s="5">
        <f>SUM(D3:D5)</f>
        <v/>
      </c>
      <c r="E6" s="5">
        <f>SUM(E3:E5)</f>
        <v/>
      </c>
      <c r="F6" s="5">
        <f>SUM(F3:F5)</f>
        <v/>
      </c>
      <c r="G6" s="5">
        <f>SUM(G3:G5)</f>
        <v/>
      </c>
      <c r="H6" s="5">
        <f>SUM(H3:H5)</f>
        <v/>
      </c>
      <c r="I6" s="5">
        <f>SUM(I3:I5)</f>
        <v/>
      </c>
      <c r="J6" s="5">
        <f>SUM(J3:J5)</f>
        <v/>
      </c>
      <c r="K6" s="5">
        <f>SUM(K3:K5)</f>
        <v/>
      </c>
      <c r="L6" s="5">
        <f>SUM(L3:L5)</f>
        <v/>
      </c>
      <c r="M6" s="5">
        <f>SUM(M3:M5)</f>
        <v/>
      </c>
      <c r="N6" s="5">
        <f>SUM(B6:M6)</f>
        <v/>
      </c>
    </row>
    <row r="7">
      <c r="A7" t="inlineStr">
        <is>
          <t>COGS — Inventory purchases</t>
        </is>
      </c>
      <c r="B7" s="5">
        <f>SUMIFS(Raw_Invoices!$F:$F,Raw_Invoices!$B:$B,"&gt;="&amp;B$2,Raw_Invoices!$B:$B,"&lt;="&amp;EOMONTH(B$2,0),Raw_Invoices!$D:$D,"PURCHASE",Raw_Invoices!$E:$E,"Inventory purchases")</f>
        <v/>
      </c>
      <c r="C7" s="5">
        <f>SUMIFS(Raw_Invoices!$F:$F,Raw_Invoices!$B:$B,"&gt;="&amp;C$2,Raw_Invoices!$B:$B,"&lt;="&amp;EOMONTH(C$2,0),Raw_Invoices!$D:$D,"PURCHASE",Raw_Invoices!$E:$E,"Inventory purchases")</f>
        <v/>
      </c>
      <c r="D7" s="5">
        <f>SUMIFS(Raw_Invoices!$F:$F,Raw_Invoices!$B:$B,"&gt;="&amp;D$2,Raw_Invoices!$B:$B,"&lt;="&amp;EOMONTH(D$2,0),Raw_Invoices!$D:$D,"PURCHASE",Raw_Invoices!$E:$E,"Inventory purchases")</f>
        <v/>
      </c>
      <c r="E7" s="5">
        <f>SUMIFS(Raw_Invoices!$F:$F,Raw_Invoices!$B:$B,"&gt;="&amp;E$2,Raw_Invoices!$B:$B,"&lt;="&amp;EOMONTH(E$2,0),Raw_Invoices!$D:$D,"PURCHASE",Raw_Invoices!$E:$E,"Inventory purchases")</f>
        <v/>
      </c>
      <c r="F7" s="5">
        <f>SUMIFS(Raw_Invoices!$F:$F,Raw_Invoices!$B:$B,"&gt;="&amp;F$2,Raw_Invoices!$B:$B,"&lt;="&amp;EOMONTH(F$2,0),Raw_Invoices!$D:$D,"PURCHASE",Raw_Invoices!$E:$E,"Inventory purchases")</f>
        <v/>
      </c>
      <c r="G7" s="5">
        <f>SUMIFS(Raw_Invoices!$F:$F,Raw_Invoices!$B:$B,"&gt;="&amp;G$2,Raw_Invoices!$B:$B,"&lt;="&amp;EOMONTH(G$2,0),Raw_Invoices!$D:$D,"PURCHASE",Raw_Invoices!$E:$E,"Inventory purchases")</f>
        <v/>
      </c>
      <c r="H7" s="5">
        <f>SUMIFS(Raw_Invoices!$F:$F,Raw_Invoices!$B:$B,"&gt;="&amp;H$2,Raw_Invoices!$B:$B,"&lt;="&amp;EOMONTH(H$2,0),Raw_Invoices!$D:$D,"PURCHASE",Raw_Invoices!$E:$E,"Inventory purchases")</f>
        <v/>
      </c>
      <c r="I7" s="5">
        <f>SUMIFS(Raw_Invoices!$F:$F,Raw_Invoices!$B:$B,"&gt;="&amp;I$2,Raw_Invoices!$B:$B,"&lt;="&amp;EOMONTH(I$2,0),Raw_Invoices!$D:$D,"PURCHASE",Raw_Invoices!$E:$E,"Inventory purchases")</f>
        <v/>
      </c>
      <c r="J7" s="5">
        <f>SUMIFS(Raw_Invoices!$F:$F,Raw_Invoices!$B:$B,"&gt;="&amp;J$2,Raw_Invoices!$B:$B,"&lt;="&amp;EOMONTH(J$2,0),Raw_Invoices!$D:$D,"PURCHASE",Raw_Invoices!$E:$E,"Inventory purchases")</f>
        <v/>
      </c>
      <c r="K7" s="5">
        <f>SUMIFS(Raw_Invoices!$F:$F,Raw_Invoices!$B:$B,"&gt;="&amp;K$2,Raw_Invoices!$B:$B,"&lt;="&amp;EOMONTH(K$2,0),Raw_Invoices!$D:$D,"PURCHASE",Raw_Invoices!$E:$E,"Inventory purchases")</f>
        <v/>
      </c>
      <c r="L7" s="5">
        <f>SUMIFS(Raw_Invoices!$F:$F,Raw_Invoices!$B:$B,"&gt;="&amp;L$2,Raw_Invoices!$B:$B,"&lt;="&amp;EOMONTH(L$2,0),Raw_Invoices!$D:$D,"PURCHASE",Raw_Invoices!$E:$E,"Inventory purchases")</f>
        <v/>
      </c>
      <c r="M7" s="5">
        <f>SUMIFS(Raw_Invoices!$F:$F,Raw_Invoices!$B:$B,"&gt;="&amp;M$2,Raw_Invoices!$B:$B,"&lt;="&amp;EOMONTH(M$2,0),Raw_Invoices!$D:$D,"PURCHASE",Raw_Invoices!$E:$E,"Inventory purchases")</f>
        <v/>
      </c>
      <c r="N7" s="5">
        <f>SUM(B7:M7)</f>
        <v/>
      </c>
    </row>
    <row r="8">
      <c r="A8" s="7" t="inlineStr">
        <is>
          <t>Gross profit</t>
        </is>
      </c>
      <c r="B8" s="5">
        <f>B6-B7</f>
        <v/>
      </c>
      <c r="C8" s="5">
        <f>C6-C7</f>
        <v/>
      </c>
      <c r="D8" s="5">
        <f>D6-D7</f>
        <v/>
      </c>
      <c r="E8" s="5">
        <f>E6-E7</f>
        <v/>
      </c>
      <c r="F8" s="5">
        <f>F6-F7</f>
        <v/>
      </c>
      <c r="G8" s="5">
        <f>G6-G7</f>
        <v/>
      </c>
      <c r="H8" s="5">
        <f>H6-H7</f>
        <v/>
      </c>
      <c r="I8" s="5">
        <f>I6-I7</f>
        <v/>
      </c>
      <c r="J8" s="5">
        <f>J6-J7</f>
        <v/>
      </c>
      <c r="K8" s="5">
        <f>K6-K7</f>
        <v/>
      </c>
      <c r="L8" s="5">
        <f>L6-L7</f>
        <v/>
      </c>
      <c r="M8" s="5">
        <f>M6-M7</f>
        <v/>
      </c>
      <c r="N8" s="5">
        <f>SUM(B8:M8)</f>
        <v/>
      </c>
    </row>
    <row r="9">
      <c r="A9" t="inlineStr">
        <is>
          <t>Expenses — Rent</t>
        </is>
      </c>
      <c r="B9" s="5">
        <f>SUMIFS(Raw_Invoices!$F:$F,Raw_Invoices!$B:$B,"&gt;="&amp;B$2,Raw_Invoices!$B:$B,"&lt;="&amp;EOMONTH(B$2,0),Raw_Invoices!$D:$D,"EXPENSE",Raw_Invoices!$E:$E,"Rent")</f>
        <v/>
      </c>
      <c r="C9" s="5">
        <f>SUMIFS(Raw_Invoices!$F:$F,Raw_Invoices!$B:$B,"&gt;="&amp;C$2,Raw_Invoices!$B:$B,"&lt;="&amp;EOMONTH(C$2,0),Raw_Invoices!$D:$D,"EXPENSE",Raw_Invoices!$E:$E,"Rent")</f>
        <v/>
      </c>
      <c r="D9" s="5">
        <f>SUMIFS(Raw_Invoices!$F:$F,Raw_Invoices!$B:$B,"&gt;="&amp;D$2,Raw_Invoices!$B:$B,"&lt;="&amp;EOMONTH(D$2,0),Raw_Invoices!$D:$D,"EXPENSE",Raw_Invoices!$E:$E,"Rent")</f>
        <v/>
      </c>
      <c r="E9" s="5">
        <f>SUMIFS(Raw_Invoices!$F:$F,Raw_Invoices!$B:$B,"&gt;="&amp;E$2,Raw_Invoices!$B:$B,"&lt;="&amp;EOMONTH(E$2,0),Raw_Invoices!$D:$D,"EXPENSE",Raw_Invoices!$E:$E,"Rent")</f>
        <v/>
      </c>
      <c r="F9" s="5">
        <f>SUMIFS(Raw_Invoices!$F:$F,Raw_Invoices!$B:$B,"&gt;="&amp;F$2,Raw_Invoices!$B:$B,"&lt;="&amp;EOMONTH(F$2,0),Raw_Invoices!$D:$D,"EXPENSE",Raw_Invoices!$E:$E,"Rent")</f>
        <v/>
      </c>
      <c r="G9" s="5">
        <f>SUMIFS(Raw_Invoices!$F:$F,Raw_Invoices!$B:$B,"&gt;="&amp;G$2,Raw_Invoices!$B:$B,"&lt;="&amp;EOMONTH(G$2,0),Raw_Invoices!$D:$D,"EXPENSE",Raw_Invoices!$E:$E,"Rent")</f>
        <v/>
      </c>
      <c r="H9" s="5">
        <f>SUMIFS(Raw_Invoices!$F:$F,Raw_Invoices!$B:$B,"&gt;="&amp;H$2,Raw_Invoices!$B:$B,"&lt;="&amp;EOMONTH(H$2,0),Raw_Invoices!$D:$D,"EXPENSE",Raw_Invoices!$E:$E,"Rent")</f>
        <v/>
      </c>
      <c r="I9" s="5">
        <f>SUMIFS(Raw_Invoices!$F:$F,Raw_Invoices!$B:$B,"&gt;="&amp;I$2,Raw_Invoices!$B:$B,"&lt;="&amp;EOMONTH(I$2,0),Raw_Invoices!$D:$D,"EXPENSE",Raw_Invoices!$E:$E,"Rent")</f>
        <v/>
      </c>
      <c r="J9" s="5">
        <f>SUMIFS(Raw_Invoices!$F:$F,Raw_Invoices!$B:$B,"&gt;="&amp;J$2,Raw_Invoices!$B:$B,"&lt;="&amp;EOMONTH(J$2,0),Raw_Invoices!$D:$D,"EXPENSE",Raw_Invoices!$E:$E,"Rent")</f>
        <v/>
      </c>
      <c r="K9" s="5">
        <f>SUMIFS(Raw_Invoices!$F:$F,Raw_Invoices!$B:$B,"&gt;="&amp;K$2,Raw_Invoices!$B:$B,"&lt;="&amp;EOMONTH(K$2,0),Raw_Invoices!$D:$D,"EXPENSE",Raw_Invoices!$E:$E,"Rent")</f>
        <v/>
      </c>
      <c r="L9" s="5">
        <f>SUMIFS(Raw_Invoices!$F:$F,Raw_Invoices!$B:$B,"&gt;="&amp;L$2,Raw_Invoices!$B:$B,"&lt;="&amp;EOMONTH(L$2,0),Raw_Invoices!$D:$D,"EXPENSE",Raw_Invoices!$E:$E,"Rent")</f>
        <v/>
      </c>
      <c r="M9" s="5">
        <f>SUMIFS(Raw_Invoices!$F:$F,Raw_Invoices!$B:$B,"&gt;="&amp;M$2,Raw_Invoices!$B:$B,"&lt;="&amp;EOMONTH(M$2,0),Raw_Invoices!$D:$D,"EXPENSE",Raw_Invoices!$E:$E,"Rent")</f>
        <v/>
      </c>
      <c r="N9" s="5">
        <f>SUM(B9:M9)</f>
        <v/>
      </c>
    </row>
    <row r="10">
      <c r="A10" t="inlineStr">
        <is>
          <t>Expenses — Salaries</t>
        </is>
      </c>
      <c r="B10" s="5">
        <f>SUMIFS(Raw_Invoices!$F:$F,Raw_Invoices!$B:$B,"&gt;="&amp;B$2,Raw_Invoices!$B:$B,"&lt;="&amp;EOMONTH(B$2,0),Raw_Invoices!$D:$D,"EXPENSE",Raw_Invoices!$E:$E,"Salaries")</f>
        <v/>
      </c>
      <c r="C10" s="5">
        <f>SUMIFS(Raw_Invoices!$F:$F,Raw_Invoices!$B:$B,"&gt;="&amp;C$2,Raw_Invoices!$B:$B,"&lt;="&amp;EOMONTH(C$2,0),Raw_Invoices!$D:$D,"EXPENSE",Raw_Invoices!$E:$E,"Salaries")</f>
        <v/>
      </c>
      <c r="D10" s="5">
        <f>SUMIFS(Raw_Invoices!$F:$F,Raw_Invoices!$B:$B,"&gt;="&amp;D$2,Raw_Invoices!$B:$B,"&lt;="&amp;EOMONTH(D$2,0),Raw_Invoices!$D:$D,"EXPENSE",Raw_Invoices!$E:$E,"Salaries")</f>
        <v/>
      </c>
      <c r="E10" s="5">
        <f>SUMIFS(Raw_Invoices!$F:$F,Raw_Invoices!$B:$B,"&gt;="&amp;E$2,Raw_Invoices!$B:$B,"&lt;="&amp;EOMONTH(E$2,0),Raw_Invoices!$D:$D,"EXPENSE",Raw_Invoices!$E:$E,"Salaries")</f>
        <v/>
      </c>
      <c r="F10" s="5">
        <f>SUMIFS(Raw_Invoices!$F:$F,Raw_Invoices!$B:$B,"&gt;="&amp;F$2,Raw_Invoices!$B:$B,"&lt;="&amp;EOMONTH(F$2,0),Raw_Invoices!$D:$D,"EXPENSE",Raw_Invoices!$E:$E,"Salaries")</f>
        <v/>
      </c>
      <c r="G10" s="5">
        <f>SUMIFS(Raw_Invoices!$F:$F,Raw_Invoices!$B:$B,"&gt;="&amp;G$2,Raw_Invoices!$B:$B,"&lt;="&amp;EOMONTH(G$2,0),Raw_Invoices!$D:$D,"EXPENSE",Raw_Invoices!$E:$E,"Salaries")</f>
        <v/>
      </c>
      <c r="H10" s="5">
        <f>SUMIFS(Raw_Invoices!$F:$F,Raw_Invoices!$B:$B,"&gt;="&amp;H$2,Raw_Invoices!$B:$B,"&lt;="&amp;EOMONTH(H$2,0),Raw_Invoices!$D:$D,"EXPENSE",Raw_Invoices!$E:$E,"Salaries")</f>
        <v/>
      </c>
      <c r="I10" s="5">
        <f>SUMIFS(Raw_Invoices!$F:$F,Raw_Invoices!$B:$B,"&gt;="&amp;I$2,Raw_Invoices!$B:$B,"&lt;="&amp;EOMONTH(I$2,0),Raw_Invoices!$D:$D,"EXPENSE",Raw_Invoices!$E:$E,"Salaries")</f>
        <v/>
      </c>
      <c r="J10" s="5">
        <f>SUMIFS(Raw_Invoices!$F:$F,Raw_Invoices!$B:$B,"&gt;="&amp;J$2,Raw_Invoices!$B:$B,"&lt;="&amp;EOMONTH(J$2,0),Raw_Invoices!$D:$D,"EXPENSE",Raw_Invoices!$E:$E,"Salaries")</f>
        <v/>
      </c>
      <c r="K10" s="5">
        <f>SUMIFS(Raw_Invoices!$F:$F,Raw_Invoices!$B:$B,"&gt;="&amp;K$2,Raw_Invoices!$B:$B,"&lt;="&amp;EOMONTH(K$2,0),Raw_Invoices!$D:$D,"EXPENSE",Raw_Invoices!$E:$E,"Salaries")</f>
        <v/>
      </c>
      <c r="L10" s="5">
        <f>SUMIFS(Raw_Invoices!$F:$F,Raw_Invoices!$B:$B,"&gt;="&amp;L$2,Raw_Invoices!$B:$B,"&lt;="&amp;EOMONTH(L$2,0),Raw_Invoices!$D:$D,"EXPENSE",Raw_Invoices!$E:$E,"Salaries")</f>
        <v/>
      </c>
      <c r="M10" s="5">
        <f>SUMIFS(Raw_Invoices!$F:$F,Raw_Invoices!$B:$B,"&gt;="&amp;M$2,Raw_Invoices!$B:$B,"&lt;="&amp;EOMONTH(M$2,0),Raw_Invoices!$D:$D,"EXPENSE",Raw_Invoices!$E:$E,"Salaries")</f>
        <v/>
      </c>
      <c r="N10" s="5">
        <f>SUM(B10:M10)</f>
        <v/>
      </c>
    </row>
    <row r="11">
      <c r="A11" t="inlineStr">
        <is>
          <t>Expenses — Utilities</t>
        </is>
      </c>
      <c r="B11" s="5">
        <f>SUMIFS(Raw_Invoices!$F:$F,Raw_Invoices!$B:$B,"&gt;="&amp;B$2,Raw_Invoices!$B:$B,"&lt;="&amp;EOMONTH(B$2,0),Raw_Invoices!$D:$D,"EXPENSE",Raw_Invoices!$E:$E,"Utilities")</f>
        <v/>
      </c>
      <c r="C11" s="5">
        <f>SUMIFS(Raw_Invoices!$F:$F,Raw_Invoices!$B:$B,"&gt;="&amp;C$2,Raw_Invoices!$B:$B,"&lt;="&amp;EOMONTH(C$2,0),Raw_Invoices!$D:$D,"EXPENSE",Raw_Invoices!$E:$E,"Utilities")</f>
        <v/>
      </c>
      <c r="D11" s="5">
        <f>SUMIFS(Raw_Invoices!$F:$F,Raw_Invoices!$B:$B,"&gt;="&amp;D$2,Raw_Invoices!$B:$B,"&lt;="&amp;EOMONTH(D$2,0),Raw_Invoices!$D:$D,"EXPENSE",Raw_Invoices!$E:$E,"Utilities")</f>
        <v/>
      </c>
      <c r="E11" s="5">
        <f>SUMIFS(Raw_Invoices!$F:$F,Raw_Invoices!$B:$B,"&gt;="&amp;E$2,Raw_Invoices!$B:$B,"&lt;="&amp;EOMONTH(E$2,0),Raw_Invoices!$D:$D,"EXPENSE",Raw_Invoices!$E:$E,"Utilities")</f>
        <v/>
      </c>
      <c r="F11" s="5">
        <f>SUMIFS(Raw_Invoices!$F:$F,Raw_Invoices!$B:$B,"&gt;="&amp;F$2,Raw_Invoices!$B:$B,"&lt;="&amp;EOMONTH(F$2,0),Raw_Invoices!$D:$D,"EXPENSE",Raw_Invoices!$E:$E,"Utilities")</f>
        <v/>
      </c>
      <c r="G11" s="5">
        <f>SUMIFS(Raw_Invoices!$F:$F,Raw_Invoices!$B:$B,"&gt;="&amp;G$2,Raw_Invoices!$B:$B,"&lt;="&amp;EOMONTH(G$2,0),Raw_Invoices!$D:$D,"EXPENSE",Raw_Invoices!$E:$E,"Utilities")</f>
        <v/>
      </c>
      <c r="H11" s="5">
        <f>SUMIFS(Raw_Invoices!$F:$F,Raw_Invoices!$B:$B,"&gt;="&amp;H$2,Raw_Invoices!$B:$B,"&lt;="&amp;EOMONTH(H$2,0),Raw_Invoices!$D:$D,"EXPENSE",Raw_Invoices!$E:$E,"Utilities")</f>
        <v/>
      </c>
      <c r="I11" s="5">
        <f>SUMIFS(Raw_Invoices!$F:$F,Raw_Invoices!$B:$B,"&gt;="&amp;I$2,Raw_Invoices!$B:$B,"&lt;="&amp;EOMONTH(I$2,0),Raw_Invoices!$D:$D,"EXPENSE",Raw_Invoices!$E:$E,"Utilities")</f>
        <v/>
      </c>
      <c r="J11" s="5">
        <f>SUMIFS(Raw_Invoices!$F:$F,Raw_Invoices!$B:$B,"&gt;="&amp;J$2,Raw_Invoices!$B:$B,"&lt;="&amp;EOMONTH(J$2,0),Raw_Invoices!$D:$D,"EXPENSE",Raw_Invoices!$E:$E,"Utilities")</f>
        <v/>
      </c>
      <c r="K11" s="5">
        <f>SUMIFS(Raw_Invoices!$F:$F,Raw_Invoices!$B:$B,"&gt;="&amp;K$2,Raw_Invoices!$B:$B,"&lt;="&amp;EOMONTH(K$2,0),Raw_Invoices!$D:$D,"EXPENSE",Raw_Invoices!$E:$E,"Utilities")</f>
        <v/>
      </c>
      <c r="L11" s="5">
        <f>SUMIFS(Raw_Invoices!$F:$F,Raw_Invoices!$B:$B,"&gt;="&amp;L$2,Raw_Invoices!$B:$B,"&lt;="&amp;EOMONTH(L$2,0),Raw_Invoices!$D:$D,"EXPENSE",Raw_Invoices!$E:$E,"Utilities")</f>
        <v/>
      </c>
      <c r="M11" s="5">
        <f>SUMIFS(Raw_Invoices!$F:$F,Raw_Invoices!$B:$B,"&gt;="&amp;M$2,Raw_Invoices!$B:$B,"&lt;="&amp;EOMONTH(M$2,0),Raw_Invoices!$D:$D,"EXPENSE",Raw_Invoices!$E:$E,"Utilities")</f>
        <v/>
      </c>
      <c r="N11" s="5">
        <f>SUM(B11:M11)</f>
        <v/>
      </c>
    </row>
    <row r="12">
      <c r="A12" t="inlineStr">
        <is>
          <t>Expenses — Transport</t>
        </is>
      </c>
      <c r="B12" s="5">
        <f>SUMIFS(Raw_Invoices!$F:$F,Raw_Invoices!$B:$B,"&gt;="&amp;B$2,Raw_Invoices!$B:$B,"&lt;="&amp;EOMONTH(B$2,0),Raw_Invoices!$D:$D,"EXPENSE",Raw_Invoices!$E:$E,"Transport")</f>
        <v/>
      </c>
      <c r="C12" s="5">
        <f>SUMIFS(Raw_Invoices!$F:$F,Raw_Invoices!$B:$B,"&gt;="&amp;C$2,Raw_Invoices!$B:$B,"&lt;="&amp;EOMONTH(C$2,0),Raw_Invoices!$D:$D,"EXPENSE",Raw_Invoices!$E:$E,"Transport")</f>
        <v/>
      </c>
      <c r="D12" s="5">
        <f>SUMIFS(Raw_Invoices!$F:$F,Raw_Invoices!$B:$B,"&gt;="&amp;D$2,Raw_Invoices!$B:$B,"&lt;="&amp;EOMONTH(D$2,0),Raw_Invoices!$D:$D,"EXPENSE",Raw_Invoices!$E:$E,"Transport")</f>
        <v/>
      </c>
      <c r="E12" s="5">
        <f>SUMIFS(Raw_Invoices!$F:$F,Raw_Invoices!$B:$B,"&gt;="&amp;E$2,Raw_Invoices!$B:$B,"&lt;="&amp;EOMONTH(E$2,0),Raw_Invoices!$D:$D,"EXPENSE",Raw_Invoices!$E:$E,"Transport")</f>
        <v/>
      </c>
      <c r="F12" s="5">
        <f>SUMIFS(Raw_Invoices!$F:$F,Raw_Invoices!$B:$B,"&gt;="&amp;F$2,Raw_Invoices!$B:$B,"&lt;="&amp;EOMONTH(F$2,0),Raw_Invoices!$D:$D,"EXPENSE",Raw_Invoices!$E:$E,"Transport")</f>
        <v/>
      </c>
      <c r="G12" s="5">
        <f>SUMIFS(Raw_Invoices!$F:$F,Raw_Invoices!$B:$B,"&gt;="&amp;G$2,Raw_Invoices!$B:$B,"&lt;="&amp;EOMONTH(G$2,0),Raw_Invoices!$D:$D,"EXPENSE",Raw_Invoices!$E:$E,"Transport")</f>
        <v/>
      </c>
      <c r="H12" s="5">
        <f>SUMIFS(Raw_Invoices!$F:$F,Raw_Invoices!$B:$B,"&gt;="&amp;H$2,Raw_Invoices!$B:$B,"&lt;="&amp;EOMONTH(H$2,0),Raw_Invoices!$D:$D,"EXPENSE",Raw_Invoices!$E:$E,"Transport")</f>
        <v/>
      </c>
      <c r="I12" s="5">
        <f>SUMIFS(Raw_Invoices!$F:$F,Raw_Invoices!$B:$B,"&gt;="&amp;I$2,Raw_Invoices!$B:$B,"&lt;="&amp;EOMONTH(I$2,0),Raw_Invoices!$D:$D,"EXPENSE",Raw_Invoices!$E:$E,"Transport")</f>
        <v/>
      </c>
      <c r="J12" s="5">
        <f>SUMIFS(Raw_Invoices!$F:$F,Raw_Invoices!$B:$B,"&gt;="&amp;J$2,Raw_Invoices!$B:$B,"&lt;="&amp;EOMONTH(J$2,0),Raw_Invoices!$D:$D,"EXPENSE",Raw_Invoices!$E:$E,"Transport")</f>
        <v/>
      </c>
      <c r="K12" s="5">
        <f>SUMIFS(Raw_Invoices!$F:$F,Raw_Invoices!$B:$B,"&gt;="&amp;K$2,Raw_Invoices!$B:$B,"&lt;="&amp;EOMONTH(K$2,0),Raw_Invoices!$D:$D,"EXPENSE",Raw_Invoices!$E:$E,"Transport")</f>
        <v/>
      </c>
      <c r="L12" s="5">
        <f>SUMIFS(Raw_Invoices!$F:$F,Raw_Invoices!$B:$B,"&gt;="&amp;L$2,Raw_Invoices!$B:$B,"&lt;="&amp;EOMONTH(L$2,0),Raw_Invoices!$D:$D,"EXPENSE",Raw_Invoices!$E:$E,"Transport")</f>
        <v/>
      </c>
      <c r="M12" s="5">
        <f>SUMIFS(Raw_Invoices!$F:$F,Raw_Invoices!$B:$B,"&gt;="&amp;M$2,Raw_Invoices!$B:$B,"&lt;="&amp;EOMONTH(M$2,0),Raw_Invoices!$D:$D,"EXPENSE",Raw_Invoices!$E:$E,"Transport")</f>
        <v/>
      </c>
      <c r="N12" s="5">
        <f>SUM(B12:M12)</f>
        <v/>
      </c>
    </row>
    <row r="13">
      <c r="A13" t="inlineStr">
        <is>
          <t>Expenses — Marketing</t>
        </is>
      </c>
      <c r="B13" s="5">
        <f>SUMIFS(Raw_Invoices!$F:$F,Raw_Invoices!$B:$B,"&gt;="&amp;B$2,Raw_Invoices!$B:$B,"&lt;="&amp;EOMONTH(B$2,0),Raw_Invoices!$D:$D,"EXPENSE",Raw_Invoices!$E:$E,"Marketing")</f>
        <v/>
      </c>
      <c r="C13" s="5">
        <f>SUMIFS(Raw_Invoices!$F:$F,Raw_Invoices!$B:$B,"&gt;="&amp;C$2,Raw_Invoices!$B:$B,"&lt;="&amp;EOMONTH(C$2,0),Raw_Invoices!$D:$D,"EXPENSE",Raw_Invoices!$E:$E,"Marketing")</f>
        <v/>
      </c>
      <c r="D13" s="5">
        <f>SUMIFS(Raw_Invoices!$F:$F,Raw_Invoices!$B:$B,"&gt;="&amp;D$2,Raw_Invoices!$B:$B,"&lt;="&amp;EOMONTH(D$2,0),Raw_Invoices!$D:$D,"EXPENSE",Raw_Invoices!$E:$E,"Marketing")</f>
        <v/>
      </c>
      <c r="E13" s="5">
        <f>SUMIFS(Raw_Invoices!$F:$F,Raw_Invoices!$B:$B,"&gt;="&amp;E$2,Raw_Invoices!$B:$B,"&lt;="&amp;EOMONTH(E$2,0),Raw_Invoices!$D:$D,"EXPENSE",Raw_Invoices!$E:$E,"Marketing")</f>
        <v/>
      </c>
      <c r="F13" s="5">
        <f>SUMIFS(Raw_Invoices!$F:$F,Raw_Invoices!$B:$B,"&gt;="&amp;F$2,Raw_Invoices!$B:$B,"&lt;="&amp;EOMONTH(F$2,0),Raw_Invoices!$D:$D,"EXPENSE",Raw_Invoices!$E:$E,"Marketing")</f>
        <v/>
      </c>
      <c r="G13" s="5">
        <f>SUMIFS(Raw_Invoices!$F:$F,Raw_Invoices!$B:$B,"&gt;="&amp;G$2,Raw_Invoices!$B:$B,"&lt;="&amp;EOMONTH(G$2,0),Raw_Invoices!$D:$D,"EXPENSE",Raw_Invoices!$E:$E,"Marketing")</f>
        <v/>
      </c>
      <c r="H13" s="5">
        <f>SUMIFS(Raw_Invoices!$F:$F,Raw_Invoices!$B:$B,"&gt;="&amp;H$2,Raw_Invoices!$B:$B,"&lt;="&amp;EOMONTH(H$2,0),Raw_Invoices!$D:$D,"EXPENSE",Raw_Invoices!$E:$E,"Marketing")</f>
        <v/>
      </c>
      <c r="I13" s="5">
        <f>SUMIFS(Raw_Invoices!$F:$F,Raw_Invoices!$B:$B,"&gt;="&amp;I$2,Raw_Invoices!$B:$B,"&lt;="&amp;EOMONTH(I$2,0),Raw_Invoices!$D:$D,"EXPENSE",Raw_Invoices!$E:$E,"Marketing")</f>
        <v/>
      </c>
      <c r="J13" s="5">
        <f>SUMIFS(Raw_Invoices!$F:$F,Raw_Invoices!$B:$B,"&gt;="&amp;J$2,Raw_Invoices!$B:$B,"&lt;="&amp;EOMONTH(J$2,0),Raw_Invoices!$D:$D,"EXPENSE",Raw_Invoices!$E:$E,"Marketing")</f>
        <v/>
      </c>
      <c r="K13" s="5">
        <f>SUMIFS(Raw_Invoices!$F:$F,Raw_Invoices!$B:$B,"&gt;="&amp;K$2,Raw_Invoices!$B:$B,"&lt;="&amp;EOMONTH(K$2,0),Raw_Invoices!$D:$D,"EXPENSE",Raw_Invoices!$E:$E,"Marketing")</f>
        <v/>
      </c>
      <c r="L13" s="5">
        <f>SUMIFS(Raw_Invoices!$F:$F,Raw_Invoices!$B:$B,"&gt;="&amp;L$2,Raw_Invoices!$B:$B,"&lt;="&amp;EOMONTH(L$2,0),Raw_Invoices!$D:$D,"EXPENSE",Raw_Invoices!$E:$E,"Marketing")</f>
        <v/>
      </c>
      <c r="M13" s="5">
        <f>SUMIFS(Raw_Invoices!$F:$F,Raw_Invoices!$B:$B,"&gt;="&amp;M$2,Raw_Invoices!$B:$B,"&lt;="&amp;EOMONTH(M$2,0),Raw_Invoices!$D:$D,"EXPENSE",Raw_Invoices!$E:$E,"Marketing")</f>
        <v/>
      </c>
      <c r="N13" s="5">
        <f>SUM(B13:M13)</f>
        <v/>
      </c>
    </row>
    <row r="14">
      <c r="A14" t="inlineStr">
        <is>
          <t>Expenses — Professional fees</t>
        </is>
      </c>
      <c r="B14" s="5">
        <f>SUMIFS(Raw_Invoices!$F:$F,Raw_Invoices!$B:$B,"&gt;="&amp;B$2,Raw_Invoices!$B:$B,"&lt;="&amp;EOMONTH(B$2,0),Raw_Invoices!$D:$D,"EXPENSE",Raw_Invoices!$E:$E,"Professional fees")</f>
        <v/>
      </c>
      <c r="C14" s="5">
        <f>SUMIFS(Raw_Invoices!$F:$F,Raw_Invoices!$B:$B,"&gt;="&amp;C$2,Raw_Invoices!$B:$B,"&lt;="&amp;EOMONTH(C$2,0),Raw_Invoices!$D:$D,"EXPENSE",Raw_Invoices!$E:$E,"Professional fees")</f>
        <v/>
      </c>
      <c r="D14" s="5">
        <f>SUMIFS(Raw_Invoices!$F:$F,Raw_Invoices!$B:$B,"&gt;="&amp;D$2,Raw_Invoices!$B:$B,"&lt;="&amp;EOMONTH(D$2,0),Raw_Invoices!$D:$D,"EXPENSE",Raw_Invoices!$E:$E,"Professional fees")</f>
        <v/>
      </c>
      <c r="E14" s="5">
        <f>SUMIFS(Raw_Invoices!$F:$F,Raw_Invoices!$B:$B,"&gt;="&amp;E$2,Raw_Invoices!$B:$B,"&lt;="&amp;EOMONTH(E$2,0),Raw_Invoices!$D:$D,"EXPENSE",Raw_Invoices!$E:$E,"Professional fees")</f>
        <v/>
      </c>
      <c r="F14" s="5">
        <f>SUMIFS(Raw_Invoices!$F:$F,Raw_Invoices!$B:$B,"&gt;="&amp;F$2,Raw_Invoices!$B:$B,"&lt;="&amp;EOMONTH(F$2,0),Raw_Invoices!$D:$D,"EXPENSE",Raw_Invoices!$E:$E,"Professional fees")</f>
        <v/>
      </c>
      <c r="G14" s="5">
        <f>SUMIFS(Raw_Invoices!$F:$F,Raw_Invoices!$B:$B,"&gt;="&amp;G$2,Raw_Invoices!$B:$B,"&lt;="&amp;EOMONTH(G$2,0),Raw_Invoices!$D:$D,"EXPENSE",Raw_Invoices!$E:$E,"Professional fees")</f>
        <v/>
      </c>
      <c r="H14" s="5">
        <f>SUMIFS(Raw_Invoices!$F:$F,Raw_Invoices!$B:$B,"&gt;="&amp;H$2,Raw_Invoices!$B:$B,"&lt;="&amp;EOMONTH(H$2,0),Raw_Invoices!$D:$D,"EXPENSE",Raw_Invoices!$E:$E,"Professional fees")</f>
        <v/>
      </c>
      <c r="I14" s="5">
        <f>SUMIFS(Raw_Invoices!$F:$F,Raw_Invoices!$B:$B,"&gt;="&amp;I$2,Raw_Invoices!$B:$B,"&lt;="&amp;EOMONTH(I$2,0),Raw_Invoices!$D:$D,"EXPENSE",Raw_Invoices!$E:$E,"Professional fees")</f>
        <v/>
      </c>
      <c r="J14" s="5">
        <f>SUMIFS(Raw_Invoices!$F:$F,Raw_Invoices!$B:$B,"&gt;="&amp;J$2,Raw_Invoices!$B:$B,"&lt;="&amp;EOMONTH(J$2,0),Raw_Invoices!$D:$D,"EXPENSE",Raw_Invoices!$E:$E,"Professional fees")</f>
        <v/>
      </c>
      <c r="K14" s="5">
        <f>SUMIFS(Raw_Invoices!$F:$F,Raw_Invoices!$B:$B,"&gt;="&amp;K$2,Raw_Invoices!$B:$B,"&lt;="&amp;EOMONTH(K$2,0),Raw_Invoices!$D:$D,"EXPENSE",Raw_Invoices!$E:$E,"Professional fees")</f>
        <v/>
      </c>
      <c r="L14" s="5">
        <f>SUMIFS(Raw_Invoices!$F:$F,Raw_Invoices!$B:$B,"&gt;="&amp;L$2,Raw_Invoices!$B:$B,"&lt;="&amp;EOMONTH(L$2,0),Raw_Invoices!$D:$D,"EXPENSE",Raw_Invoices!$E:$E,"Professional fees")</f>
        <v/>
      </c>
      <c r="M14" s="5">
        <f>SUMIFS(Raw_Invoices!$F:$F,Raw_Invoices!$B:$B,"&gt;="&amp;M$2,Raw_Invoices!$B:$B,"&lt;="&amp;EOMONTH(M$2,0),Raw_Invoices!$D:$D,"EXPENSE",Raw_Invoices!$E:$E,"Professional fees")</f>
        <v/>
      </c>
      <c r="N14" s="5">
        <f>SUM(B14:M14)</f>
        <v/>
      </c>
    </row>
    <row r="15">
      <c r="A15" t="inlineStr">
        <is>
          <t>Expenses — Misc</t>
        </is>
      </c>
      <c r="B15" s="5">
        <f>SUMIFS(Raw_Invoices!$F:$F,Raw_Invoices!$B:$B,"&gt;="&amp;B$2,Raw_Invoices!$B:$B,"&lt;="&amp;EOMONTH(B$2,0),Raw_Invoices!$D:$D,"EXPENSE",Raw_Invoices!$E:$E,"Misc")</f>
        <v/>
      </c>
      <c r="C15" s="5">
        <f>SUMIFS(Raw_Invoices!$F:$F,Raw_Invoices!$B:$B,"&gt;="&amp;C$2,Raw_Invoices!$B:$B,"&lt;="&amp;EOMONTH(C$2,0),Raw_Invoices!$D:$D,"EXPENSE",Raw_Invoices!$E:$E,"Misc")</f>
        <v/>
      </c>
      <c r="D15" s="5">
        <f>SUMIFS(Raw_Invoices!$F:$F,Raw_Invoices!$B:$B,"&gt;="&amp;D$2,Raw_Invoices!$B:$B,"&lt;="&amp;EOMONTH(D$2,0),Raw_Invoices!$D:$D,"EXPENSE",Raw_Invoices!$E:$E,"Misc")</f>
        <v/>
      </c>
      <c r="E15" s="5">
        <f>SUMIFS(Raw_Invoices!$F:$F,Raw_Invoices!$B:$B,"&gt;="&amp;E$2,Raw_Invoices!$B:$B,"&lt;="&amp;EOMONTH(E$2,0),Raw_Invoices!$D:$D,"EXPENSE",Raw_Invoices!$E:$E,"Misc")</f>
        <v/>
      </c>
      <c r="F15" s="5">
        <f>SUMIFS(Raw_Invoices!$F:$F,Raw_Invoices!$B:$B,"&gt;="&amp;F$2,Raw_Invoices!$B:$B,"&lt;="&amp;EOMONTH(F$2,0),Raw_Invoices!$D:$D,"EXPENSE",Raw_Invoices!$E:$E,"Misc")</f>
        <v/>
      </c>
      <c r="G15" s="5">
        <f>SUMIFS(Raw_Invoices!$F:$F,Raw_Invoices!$B:$B,"&gt;="&amp;G$2,Raw_Invoices!$B:$B,"&lt;="&amp;EOMONTH(G$2,0),Raw_Invoices!$D:$D,"EXPENSE",Raw_Invoices!$E:$E,"Misc")</f>
        <v/>
      </c>
      <c r="H15" s="5">
        <f>SUMIFS(Raw_Invoices!$F:$F,Raw_Invoices!$B:$B,"&gt;="&amp;H$2,Raw_Invoices!$B:$B,"&lt;="&amp;EOMONTH(H$2,0),Raw_Invoices!$D:$D,"EXPENSE",Raw_Invoices!$E:$E,"Misc")</f>
        <v/>
      </c>
      <c r="I15" s="5">
        <f>SUMIFS(Raw_Invoices!$F:$F,Raw_Invoices!$B:$B,"&gt;="&amp;I$2,Raw_Invoices!$B:$B,"&lt;="&amp;EOMONTH(I$2,0),Raw_Invoices!$D:$D,"EXPENSE",Raw_Invoices!$E:$E,"Misc")</f>
        <v/>
      </c>
      <c r="J15" s="5">
        <f>SUMIFS(Raw_Invoices!$F:$F,Raw_Invoices!$B:$B,"&gt;="&amp;J$2,Raw_Invoices!$B:$B,"&lt;="&amp;EOMONTH(J$2,0),Raw_Invoices!$D:$D,"EXPENSE",Raw_Invoices!$E:$E,"Misc")</f>
        <v/>
      </c>
      <c r="K15" s="5">
        <f>SUMIFS(Raw_Invoices!$F:$F,Raw_Invoices!$B:$B,"&gt;="&amp;K$2,Raw_Invoices!$B:$B,"&lt;="&amp;EOMONTH(K$2,0),Raw_Invoices!$D:$D,"EXPENSE",Raw_Invoices!$E:$E,"Misc")</f>
        <v/>
      </c>
      <c r="L15" s="5">
        <f>SUMIFS(Raw_Invoices!$F:$F,Raw_Invoices!$B:$B,"&gt;="&amp;L$2,Raw_Invoices!$B:$B,"&lt;="&amp;EOMONTH(L$2,0),Raw_Invoices!$D:$D,"EXPENSE",Raw_Invoices!$E:$E,"Misc")</f>
        <v/>
      </c>
      <c r="M15" s="5">
        <f>SUMIFS(Raw_Invoices!$F:$F,Raw_Invoices!$B:$B,"&gt;="&amp;M$2,Raw_Invoices!$B:$B,"&lt;="&amp;EOMONTH(M$2,0),Raw_Invoices!$D:$D,"EXPENSE",Raw_Invoices!$E:$E,"Misc")</f>
        <v/>
      </c>
      <c r="N15" s="5">
        <f>SUM(B15:M15)</f>
        <v/>
      </c>
    </row>
    <row r="16">
      <c r="A16" s="7" t="inlineStr">
        <is>
          <t>Total expenses</t>
        </is>
      </c>
      <c r="B16" s="5">
        <f>SUM(B9:B15)</f>
        <v/>
      </c>
      <c r="C16" s="5">
        <f>SUM(C9:C15)</f>
        <v/>
      </c>
      <c r="D16" s="5">
        <f>SUM(D9:D15)</f>
        <v/>
      </c>
      <c r="E16" s="5">
        <f>SUM(E9:E15)</f>
        <v/>
      </c>
      <c r="F16" s="5">
        <f>SUM(F9:F15)</f>
        <v/>
      </c>
      <c r="G16" s="5">
        <f>SUM(G9:G15)</f>
        <v/>
      </c>
      <c r="H16" s="5">
        <f>SUM(H9:H15)</f>
        <v/>
      </c>
      <c r="I16" s="5">
        <f>SUM(I9:I15)</f>
        <v/>
      </c>
      <c r="J16" s="5">
        <f>SUM(J9:J15)</f>
        <v/>
      </c>
      <c r="K16" s="5">
        <f>SUM(K9:K15)</f>
        <v/>
      </c>
      <c r="L16" s="5">
        <f>SUM(L9:L15)</f>
        <v/>
      </c>
      <c r="M16" s="5">
        <f>SUM(M9:M15)</f>
        <v/>
      </c>
      <c r="N16" s="5">
        <f>SUM(B16:M16)</f>
        <v/>
      </c>
    </row>
    <row r="17">
      <c r="A17" s="7" t="inlineStr">
        <is>
          <t>Net profit</t>
        </is>
      </c>
      <c r="B17" s="5">
        <f>B8-B16</f>
        <v/>
      </c>
      <c r="C17" s="5">
        <f>C8-C16</f>
        <v/>
      </c>
      <c r="D17" s="5">
        <f>D8-D16</f>
        <v/>
      </c>
      <c r="E17" s="5">
        <f>E8-E16</f>
        <v/>
      </c>
      <c r="F17" s="5">
        <f>F8-F16</f>
        <v/>
      </c>
      <c r="G17" s="5">
        <f>G8-G16</f>
        <v/>
      </c>
      <c r="H17" s="5">
        <f>H8-H16</f>
        <v/>
      </c>
      <c r="I17" s="5">
        <f>I8-I16</f>
        <v/>
      </c>
      <c r="J17" s="5">
        <f>J8-J16</f>
        <v/>
      </c>
      <c r="K17" s="5">
        <f>K8-K16</f>
        <v/>
      </c>
      <c r="L17" s="5">
        <f>L8-L16</f>
        <v/>
      </c>
      <c r="M17" s="5">
        <f>M8-M16</f>
        <v/>
      </c>
      <c r="N17" s="5">
        <f>SUM(B17:M17)</f>
        <v/>
      </c>
    </row>
    <row r="18">
      <c r="A18" t="inlineStr">
        <is>
          <t>Gross margin %</t>
        </is>
      </c>
      <c r="B18" s="8">
        <f>IF(B6=0,0,B8/B6)</f>
        <v/>
      </c>
      <c r="C18" s="8">
        <f>IF(C6=0,0,C8/C6)</f>
        <v/>
      </c>
      <c r="D18" s="8">
        <f>IF(D6=0,0,D8/D6)</f>
        <v/>
      </c>
      <c r="E18" s="8">
        <f>IF(E6=0,0,E8/E6)</f>
        <v/>
      </c>
      <c r="F18" s="8">
        <f>IF(F6=0,0,F8/F6)</f>
        <v/>
      </c>
      <c r="G18" s="8">
        <f>IF(G6=0,0,G8/G6)</f>
        <v/>
      </c>
      <c r="H18" s="8">
        <f>IF(H6=0,0,H8/H6)</f>
        <v/>
      </c>
      <c r="I18" s="8">
        <f>IF(I6=0,0,I8/I6)</f>
        <v/>
      </c>
      <c r="J18" s="8">
        <f>IF(J6=0,0,J8/J6)</f>
        <v/>
      </c>
      <c r="K18" s="8">
        <f>IF(K6=0,0,K8/K6)</f>
        <v/>
      </c>
      <c r="L18" s="8">
        <f>IF(L6=0,0,L8/L6)</f>
        <v/>
      </c>
      <c r="M18" s="8">
        <f>IF(M6=0,0,M8/M6)</f>
        <v/>
      </c>
      <c r="N18" s="8">
        <f>SUM(B18:M18)</f>
        <v/>
      </c>
    </row>
    <row r="19">
      <c r="A19" t="inlineStr">
        <is>
          <t>Net margin %</t>
        </is>
      </c>
      <c r="B19" s="8">
        <f>IF(B6=0,0,B17/B6)</f>
        <v/>
      </c>
      <c r="C19" s="8">
        <f>IF(C6=0,0,C17/C6)</f>
        <v/>
      </c>
      <c r="D19" s="8">
        <f>IF(D6=0,0,D17/D6)</f>
        <v/>
      </c>
      <c r="E19" s="8">
        <f>IF(E6=0,0,E17/E6)</f>
        <v/>
      </c>
      <c r="F19" s="8">
        <f>IF(F6=0,0,F17/F6)</f>
        <v/>
      </c>
      <c r="G19" s="8">
        <f>IF(G6=0,0,G17/G6)</f>
        <v/>
      </c>
      <c r="H19" s="8">
        <f>IF(H6=0,0,H17/H6)</f>
        <v/>
      </c>
      <c r="I19" s="8">
        <f>IF(I6=0,0,I17/I6)</f>
        <v/>
      </c>
      <c r="J19" s="8">
        <f>IF(J6=0,0,J17/J6)</f>
        <v/>
      </c>
      <c r="K19" s="8">
        <f>IF(K6=0,0,K17/K6)</f>
        <v/>
      </c>
      <c r="L19" s="8">
        <f>IF(L6=0,0,L17/L6)</f>
        <v/>
      </c>
      <c r="M19" s="8">
        <f>IF(M6=0,0,M17/M6)</f>
        <v/>
      </c>
      <c r="N19" s="8">
        <f>SUM(B19:M19)</f>
        <v/>
      </c>
    </row>
    <row r="20">
      <c r="A20" t="inlineStr">
        <is>
          <t>GST — Output</t>
        </is>
      </c>
      <c r="B20" s="5">
        <f>SUMIFS(Raw_Invoices!$H:$H,Raw_Invoices!$B:$B,"&gt;="&amp;B$2,Raw_Invoices!$B:$B,"&lt;="&amp;EOMONTH(B$2,0),Raw_Invoices!$D:$D,"SALES")</f>
        <v/>
      </c>
      <c r="C20" s="5">
        <f>SUMIFS(Raw_Invoices!$H:$H,Raw_Invoices!$B:$B,"&gt;="&amp;C$2,Raw_Invoices!$B:$B,"&lt;="&amp;EOMONTH(C$2,0),Raw_Invoices!$D:$D,"SALES")</f>
        <v/>
      </c>
      <c r="D20" s="5">
        <f>SUMIFS(Raw_Invoices!$H:$H,Raw_Invoices!$B:$B,"&gt;="&amp;D$2,Raw_Invoices!$B:$B,"&lt;="&amp;EOMONTH(D$2,0),Raw_Invoices!$D:$D,"SALES")</f>
        <v/>
      </c>
      <c r="E20" s="5">
        <f>SUMIFS(Raw_Invoices!$H:$H,Raw_Invoices!$B:$B,"&gt;="&amp;E$2,Raw_Invoices!$B:$B,"&lt;="&amp;EOMONTH(E$2,0),Raw_Invoices!$D:$D,"SALES")</f>
        <v/>
      </c>
      <c r="F20" s="5">
        <f>SUMIFS(Raw_Invoices!$H:$H,Raw_Invoices!$B:$B,"&gt;="&amp;F$2,Raw_Invoices!$B:$B,"&lt;="&amp;EOMONTH(F$2,0),Raw_Invoices!$D:$D,"SALES")</f>
        <v/>
      </c>
      <c r="G20" s="5">
        <f>SUMIFS(Raw_Invoices!$H:$H,Raw_Invoices!$B:$B,"&gt;="&amp;G$2,Raw_Invoices!$B:$B,"&lt;="&amp;EOMONTH(G$2,0),Raw_Invoices!$D:$D,"SALES")</f>
        <v/>
      </c>
      <c r="H20" s="5">
        <f>SUMIFS(Raw_Invoices!$H:$H,Raw_Invoices!$B:$B,"&gt;="&amp;H$2,Raw_Invoices!$B:$B,"&lt;="&amp;EOMONTH(H$2,0),Raw_Invoices!$D:$D,"SALES")</f>
        <v/>
      </c>
      <c r="I20" s="5">
        <f>SUMIFS(Raw_Invoices!$H:$H,Raw_Invoices!$B:$B,"&gt;="&amp;I$2,Raw_Invoices!$B:$B,"&lt;="&amp;EOMONTH(I$2,0),Raw_Invoices!$D:$D,"SALES")</f>
        <v/>
      </c>
      <c r="J20" s="5">
        <f>SUMIFS(Raw_Invoices!$H:$H,Raw_Invoices!$B:$B,"&gt;="&amp;J$2,Raw_Invoices!$B:$B,"&lt;="&amp;EOMONTH(J$2,0),Raw_Invoices!$D:$D,"SALES")</f>
        <v/>
      </c>
      <c r="K20" s="5">
        <f>SUMIFS(Raw_Invoices!$H:$H,Raw_Invoices!$B:$B,"&gt;="&amp;K$2,Raw_Invoices!$B:$B,"&lt;="&amp;EOMONTH(K$2,0),Raw_Invoices!$D:$D,"SALES")</f>
        <v/>
      </c>
      <c r="L20" s="5">
        <f>SUMIFS(Raw_Invoices!$H:$H,Raw_Invoices!$B:$B,"&gt;="&amp;L$2,Raw_Invoices!$B:$B,"&lt;="&amp;EOMONTH(L$2,0),Raw_Invoices!$D:$D,"SALES")</f>
        <v/>
      </c>
      <c r="M20" s="5">
        <f>SUMIFS(Raw_Invoices!$H:$H,Raw_Invoices!$B:$B,"&gt;="&amp;M$2,Raw_Invoices!$B:$B,"&lt;="&amp;EOMONTH(M$2,0),Raw_Invoices!$D:$D,"SALES")</f>
        <v/>
      </c>
      <c r="N20" s="5">
        <f>SUM(B20:M20)</f>
        <v/>
      </c>
    </row>
    <row r="21">
      <c r="A21" t="inlineStr">
        <is>
          <t>GST — Input</t>
        </is>
      </c>
      <c r="B21" s="5">
        <f>SUMIFS(Raw_Invoices!$H:$H,Raw_Invoices!$B:$B,"&gt;="&amp;B$2,Raw_Invoices!$B:$B,"&lt;="&amp;EOMONTH(B$2,0),Raw_Invoices!$D:$D,"PURCHASE")+SUMIFS(Raw_Invoices!$H:$H,Raw_Invoices!$B:$B,"&gt;="&amp;B$2,Raw_Invoices!$B:$B,"&lt;="&amp;EOMONTH(B$2,0),Raw_Invoices!$D:$D,"EXPENSE")</f>
        <v/>
      </c>
      <c r="C21" s="5">
        <f>SUMIFS(Raw_Invoices!$H:$H,Raw_Invoices!$B:$B,"&gt;="&amp;C$2,Raw_Invoices!$B:$B,"&lt;="&amp;EOMONTH(C$2,0),Raw_Invoices!$D:$D,"PURCHASE")+SUMIFS(Raw_Invoices!$H:$H,Raw_Invoices!$B:$B,"&gt;="&amp;C$2,Raw_Invoices!$B:$B,"&lt;="&amp;EOMONTH(C$2,0),Raw_Invoices!$D:$D,"EXPENSE")</f>
        <v/>
      </c>
      <c r="D21" s="5">
        <f>SUMIFS(Raw_Invoices!$H:$H,Raw_Invoices!$B:$B,"&gt;="&amp;D$2,Raw_Invoices!$B:$B,"&lt;="&amp;EOMONTH(D$2,0),Raw_Invoices!$D:$D,"PURCHASE")+SUMIFS(Raw_Invoices!$H:$H,Raw_Invoices!$B:$B,"&gt;="&amp;D$2,Raw_Invoices!$B:$B,"&lt;="&amp;EOMONTH(D$2,0),Raw_Invoices!$D:$D,"EXPENSE")</f>
        <v/>
      </c>
      <c r="E21" s="5">
        <f>SUMIFS(Raw_Invoices!$H:$H,Raw_Invoices!$B:$B,"&gt;="&amp;E$2,Raw_Invoices!$B:$B,"&lt;="&amp;EOMONTH(E$2,0),Raw_Invoices!$D:$D,"PURCHASE")+SUMIFS(Raw_Invoices!$H:$H,Raw_Invoices!$B:$B,"&gt;="&amp;E$2,Raw_Invoices!$B:$B,"&lt;="&amp;EOMONTH(E$2,0),Raw_Invoices!$D:$D,"EXPENSE")</f>
        <v/>
      </c>
      <c r="F21" s="5">
        <f>SUMIFS(Raw_Invoices!$H:$H,Raw_Invoices!$B:$B,"&gt;="&amp;F$2,Raw_Invoices!$B:$B,"&lt;="&amp;EOMONTH(F$2,0),Raw_Invoices!$D:$D,"PURCHASE")+SUMIFS(Raw_Invoices!$H:$H,Raw_Invoices!$B:$B,"&gt;="&amp;F$2,Raw_Invoices!$B:$B,"&lt;="&amp;EOMONTH(F$2,0),Raw_Invoices!$D:$D,"EXPENSE")</f>
        <v/>
      </c>
      <c r="G21" s="5">
        <f>SUMIFS(Raw_Invoices!$H:$H,Raw_Invoices!$B:$B,"&gt;="&amp;G$2,Raw_Invoices!$B:$B,"&lt;="&amp;EOMONTH(G$2,0),Raw_Invoices!$D:$D,"PURCHASE")+SUMIFS(Raw_Invoices!$H:$H,Raw_Invoices!$B:$B,"&gt;="&amp;G$2,Raw_Invoices!$B:$B,"&lt;="&amp;EOMONTH(G$2,0),Raw_Invoices!$D:$D,"EXPENSE")</f>
        <v/>
      </c>
      <c r="H21" s="5">
        <f>SUMIFS(Raw_Invoices!$H:$H,Raw_Invoices!$B:$B,"&gt;="&amp;H$2,Raw_Invoices!$B:$B,"&lt;="&amp;EOMONTH(H$2,0),Raw_Invoices!$D:$D,"PURCHASE")+SUMIFS(Raw_Invoices!$H:$H,Raw_Invoices!$B:$B,"&gt;="&amp;H$2,Raw_Invoices!$B:$B,"&lt;="&amp;EOMONTH(H$2,0),Raw_Invoices!$D:$D,"EXPENSE")</f>
        <v/>
      </c>
      <c r="I21" s="5">
        <f>SUMIFS(Raw_Invoices!$H:$H,Raw_Invoices!$B:$B,"&gt;="&amp;I$2,Raw_Invoices!$B:$B,"&lt;="&amp;EOMONTH(I$2,0),Raw_Invoices!$D:$D,"PURCHASE")+SUMIFS(Raw_Invoices!$H:$H,Raw_Invoices!$B:$B,"&gt;="&amp;I$2,Raw_Invoices!$B:$B,"&lt;="&amp;EOMONTH(I$2,0),Raw_Invoices!$D:$D,"EXPENSE")</f>
        <v/>
      </c>
      <c r="J21" s="5">
        <f>SUMIFS(Raw_Invoices!$H:$H,Raw_Invoices!$B:$B,"&gt;="&amp;J$2,Raw_Invoices!$B:$B,"&lt;="&amp;EOMONTH(J$2,0),Raw_Invoices!$D:$D,"PURCHASE")+SUMIFS(Raw_Invoices!$H:$H,Raw_Invoices!$B:$B,"&gt;="&amp;J$2,Raw_Invoices!$B:$B,"&lt;="&amp;EOMONTH(J$2,0),Raw_Invoices!$D:$D,"EXPENSE")</f>
        <v/>
      </c>
      <c r="K21" s="5">
        <f>SUMIFS(Raw_Invoices!$H:$H,Raw_Invoices!$B:$B,"&gt;="&amp;K$2,Raw_Invoices!$B:$B,"&lt;="&amp;EOMONTH(K$2,0),Raw_Invoices!$D:$D,"PURCHASE")+SUMIFS(Raw_Invoices!$H:$H,Raw_Invoices!$B:$B,"&gt;="&amp;K$2,Raw_Invoices!$B:$B,"&lt;="&amp;EOMONTH(K$2,0),Raw_Invoices!$D:$D,"EXPENSE")</f>
        <v/>
      </c>
      <c r="L21" s="5">
        <f>SUMIFS(Raw_Invoices!$H:$H,Raw_Invoices!$B:$B,"&gt;="&amp;L$2,Raw_Invoices!$B:$B,"&lt;="&amp;EOMONTH(L$2,0),Raw_Invoices!$D:$D,"PURCHASE")+SUMIFS(Raw_Invoices!$H:$H,Raw_Invoices!$B:$B,"&gt;="&amp;L$2,Raw_Invoices!$B:$B,"&lt;="&amp;EOMONTH(L$2,0),Raw_Invoices!$D:$D,"EXPENSE")</f>
        <v/>
      </c>
      <c r="M21" s="5">
        <f>SUMIFS(Raw_Invoices!$H:$H,Raw_Invoices!$B:$B,"&gt;="&amp;M$2,Raw_Invoices!$B:$B,"&lt;="&amp;EOMONTH(M$2,0),Raw_Invoices!$D:$D,"PURCHASE")+SUMIFS(Raw_Invoices!$H:$H,Raw_Invoices!$B:$B,"&gt;="&amp;M$2,Raw_Invoices!$B:$B,"&lt;="&amp;EOMONTH(M$2,0),Raw_Invoices!$D:$D,"EXPENSE")</f>
        <v/>
      </c>
      <c r="N21" s="5">
        <f>SUM(B21:M21)</f>
        <v/>
      </c>
    </row>
    <row r="22">
      <c r="A22" s="7" t="inlineStr">
        <is>
          <t>GST — Net payable</t>
        </is>
      </c>
      <c r="B22" s="5">
        <f>B20-B21</f>
        <v/>
      </c>
      <c r="C22" s="5">
        <f>C20-C21</f>
        <v/>
      </c>
      <c r="D22" s="5">
        <f>D20-D21</f>
        <v/>
      </c>
      <c r="E22" s="5">
        <f>E20-E21</f>
        <v/>
      </c>
      <c r="F22" s="5">
        <f>F20-F21</f>
        <v/>
      </c>
      <c r="G22" s="5">
        <f>G20-G21</f>
        <v/>
      </c>
      <c r="H22" s="5">
        <f>H20-H21</f>
        <v/>
      </c>
      <c r="I22" s="5">
        <f>I20-I21</f>
        <v/>
      </c>
      <c r="J22" s="5">
        <f>J20-J21</f>
        <v/>
      </c>
      <c r="K22" s="5">
        <f>K20-K21</f>
        <v/>
      </c>
      <c r="L22" s="5">
        <f>L20-L21</f>
        <v/>
      </c>
      <c r="M22" s="5">
        <f>M20-M21</f>
        <v/>
      </c>
      <c r="N22" s="5">
        <f>SUM(B22:M22)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CashFlow — monthly (formula-driven)</t>
        </is>
      </c>
    </row>
    <row r="2">
      <c r="A2" s="3" t="inlineStr">
        <is>
          <t>Line</t>
        </is>
      </c>
      <c r="B2" s="6" t="n">
        <v>45931</v>
      </c>
      <c r="C2" s="6" t="n">
        <v>45962</v>
      </c>
      <c r="D2" s="6" t="n">
        <v>45992</v>
      </c>
      <c r="E2" s="6" t="n">
        <v>46023</v>
      </c>
      <c r="F2" s="6" t="n">
        <v>46054</v>
      </c>
      <c r="G2" s="6" t="n">
        <v>46082</v>
      </c>
      <c r="H2" s="6" t="n">
        <v>46113</v>
      </c>
      <c r="I2" s="6" t="n">
        <v>46143</v>
      </c>
      <c r="J2" s="6" t="n">
        <v>46174</v>
      </c>
      <c r="K2" s="6" t="n">
        <v>46204</v>
      </c>
      <c r="L2" s="6" t="n">
        <v>46235</v>
      </c>
      <c r="M2" s="6" t="n">
        <v>46266</v>
      </c>
      <c r="N2" s="3" t="inlineStr">
        <is>
          <t>FY total</t>
        </is>
      </c>
    </row>
    <row r="3">
      <c r="A3" t="inlineStr">
        <is>
          <t>Cash receipts — customers</t>
        </is>
      </c>
      <c r="B3" s="5">
        <f>SUMIFS(Raw_Payments!$F:$F,Raw_Payments!$E:$E,"&gt;="&amp;B$2,Raw_Payments!$E:$E,"&lt;="&amp;EOMONTH(B$2,0),Raw_Payments!$C:$C,"SALES")</f>
        <v/>
      </c>
      <c r="C3" s="5">
        <f>SUMIFS(Raw_Payments!$F:$F,Raw_Payments!$E:$E,"&gt;="&amp;C$2,Raw_Payments!$E:$E,"&lt;="&amp;EOMONTH(C$2,0),Raw_Payments!$C:$C,"SALES")</f>
        <v/>
      </c>
      <c r="D3" s="5">
        <f>SUMIFS(Raw_Payments!$F:$F,Raw_Payments!$E:$E,"&gt;="&amp;D$2,Raw_Payments!$E:$E,"&lt;="&amp;EOMONTH(D$2,0),Raw_Payments!$C:$C,"SALES")</f>
        <v/>
      </c>
      <c r="E3" s="5">
        <f>SUMIFS(Raw_Payments!$F:$F,Raw_Payments!$E:$E,"&gt;="&amp;E$2,Raw_Payments!$E:$E,"&lt;="&amp;EOMONTH(E$2,0),Raw_Payments!$C:$C,"SALES")</f>
        <v/>
      </c>
      <c r="F3" s="5">
        <f>SUMIFS(Raw_Payments!$F:$F,Raw_Payments!$E:$E,"&gt;="&amp;F$2,Raw_Payments!$E:$E,"&lt;="&amp;EOMONTH(F$2,0),Raw_Payments!$C:$C,"SALES")</f>
        <v/>
      </c>
      <c r="G3" s="5">
        <f>SUMIFS(Raw_Payments!$F:$F,Raw_Payments!$E:$E,"&gt;="&amp;G$2,Raw_Payments!$E:$E,"&lt;="&amp;EOMONTH(G$2,0),Raw_Payments!$C:$C,"SALES")</f>
        <v/>
      </c>
      <c r="H3" s="5">
        <f>SUMIFS(Raw_Payments!$F:$F,Raw_Payments!$E:$E,"&gt;="&amp;H$2,Raw_Payments!$E:$E,"&lt;="&amp;EOMONTH(H$2,0),Raw_Payments!$C:$C,"SALES")</f>
        <v/>
      </c>
      <c r="I3" s="5">
        <f>SUMIFS(Raw_Payments!$F:$F,Raw_Payments!$E:$E,"&gt;="&amp;I$2,Raw_Payments!$E:$E,"&lt;="&amp;EOMONTH(I$2,0),Raw_Payments!$C:$C,"SALES")</f>
        <v/>
      </c>
      <c r="J3" s="5">
        <f>SUMIFS(Raw_Payments!$F:$F,Raw_Payments!$E:$E,"&gt;="&amp;J$2,Raw_Payments!$E:$E,"&lt;="&amp;EOMONTH(J$2,0),Raw_Payments!$C:$C,"SALES")</f>
        <v/>
      </c>
      <c r="K3" s="5">
        <f>SUMIFS(Raw_Payments!$F:$F,Raw_Payments!$E:$E,"&gt;="&amp;K$2,Raw_Payments!$E:$E,"&lt;="&amp;EOMONTH(K$2,0),Raw_Payments!$C:$C,"SALES")</f>
        <v/>
      </c>
      <c r="L3" s="5">
        <f>SUMIFS(Raw_Payments!$F:$F,Raw_Payments!$E:$E,"&gt;="&amp;L$2,Raw_Payments!$E:$E,"&lt;="&amp;EOMONTH(L$2,0),Raw_Payments!$C:$C,"SALES")</f>
        <v/>
      </c>
      <c r="M3" s="5">
        <f>SUMIFS(Raw_Payments!$F:$F,Raw_Payments!$E:$E,"&gt;="&amp;M$2,Raw_Payments!$E:$E,"&lt;="&amp;EOMONTH(M$2,0),Raw_Payments!$C:$C,"SALES")</f>
        <v/>
      </c>
      <c r="N3" s="5">
        <f>SUM(B3:M3)</f>
        <v/>
      </c>
    </row>
    <row r="4">
      <c r="A4" t="inlineStr">
        <is>
          <t>Cash paid — inventory</t>
        </is>
      </c>
      <c r="B4" s="5">
        <f>SUMIFS(Raw_Payments!$F:$F,Raw_Payments!$E:$E,"&gt;="&amp;B$2,Raw_Payments!$E:$E,"&lt;="&amp;EOMONTH(B$2,0),Raw_Payments!$C:$C,"PURCHASE")</f>
        <v/>
      </c>
      <c r="C4" s="5">
        <f>SUMIFS(Raw_Payments!$F:$F,Raw_Payments!$E:$E,"&gt;="&amp;C$2,Raw_Payments!$E:$E,"&lt;="&amp;EOMONTH(C$2,0),Raw_Payments!$C:$C,"PURCHASE")</f>
        <v/>
      </c>
      <c r="D4" s="5">
        <f>SUMIFS(Raw_Payments!$F:$F,Raw_Payments!$E:$E,"&gt;="&amp;D$2,Raw_Payments!$E:$E,"&lt;="&amp;EOMONTH(D$2,0),Raw_Payments!$C:$C,"PURCHASE")</f>
        <v/>
      </c>
      <c r="E4" s="5">
        <f>SUMIFS(Raw_Payments!$F:$F,Raw_Payments!$E:$E,"&gt;="&amp;E$2,Raw_Payments!$E:$E,"&lt;="&amp;EOMONTH(E$2,0),Raw_Payments!$C:$C,"PURCHASE")</f>
        <v/>
      </c>
      <c r="F4" s="5">
        <f>SUMIFS(Raw_Payments!$F:$F,Raw_Payments!$E:$E,"&gt;="&amp;F$2,Raw_Payments!$E:$E,"&lt;="&amp;EOMONTH(F$2,0),Raw_Payments!$C:$C,"PURCHASE")</f>
        <v/>
      </c>
      <c r="G4" s="5">
        <f>SUMIFS(Raw_Payments!$F:$F,Raw_Payments!$E:$E,"&gt;="&amp;G$2,Raw_Payments!$E:$E,"&lt;="&amp;EOMONTH(G$2,0),Raw_Payments!$C:$C,"PURCHASE")</f>
        <v/>
      </c>
      <c r="H4" s="5">
        <f>SUMIFS(Raw_Payments!$F:$F,Raw_Payments!$E:$E,"&gt;="&amp;H$2,Raw_Payments!$E:$E,"&lt;="&amp;EOMONTH(H$2,0),Raw_Payments!$C:$C,"PURCHASE")</f>
        <v/>
      </c>
      <c r="I4" s="5">
        <f>SUMIFS(Raw_Payments!$F:$F,Raw_Payments!$E:$E,"&gt;="&amp;I$2,Raw_Payments!$E:$E,"&lt;="&amp;EOMONTH(I$2,0),Raw_Payments!$C:$C,"PURCHASE")</f>
        <v/>
      </c>
      <c r="J4" s="5">
        <f>SUMIFS(Raw_Payments!$F:$F,Raw_Payments!$E:$E,"&gt;="&amp;J$2,Raw_Payments!$E:$E,"&lt;="&amp;EOMONTH(J$2,0),Raw_Payments!$C:$C,"PURCHASE")</f>
        <v/>
      </c>
      <c r="K4" s="5">
        <f>SUMIFS(Raw_Payments!$F:$F,Raw_Payments!$E:$E,"&gt;="&amp;K$2,Raw_Payments!$E:$E,"&lt;="&amp;EOMONTH(K$2,0),Raw_Payments!$C:$C,"PURCHASE")</f>
        <v/>
      </c>
      <c r="L4" s="5">
        <f>SUMIFS(Raw_Payments!$F:$F,Raw_Payments!$E:$E,"&gt;="&amp;L$2,Raw_Payments!$E:$E,"&lt;="&amp;EOMONTH(L$2,0),Raw_Payments!$C:$C,"PURCHASE")</f>
        <v/>
      </c>
      <c r="M4" s="5">
        <f>SUMIFS(Raw_Payments!$F:$F,Raw_Payments!$E:$E,"&gt;="&amp;M$2,Raw_Payments!$E:$E,"&lt;="&amp;EOMONTH(M$2,0),Raw_Payments!$C:$C,"PURCHASE")</f>
        <v/>
      </c>
      <c r="N4" s="5">
        <f>SUM(B4:M4)</f>
        <v/>
      </c>
    </row>
    <row r="5">
      <c r="A5" t="inlineStr">
        <is>
          <t>Cash paid — expenses</t>
        </is>
      </c>
      <c r="B5" s="5">
        <f>SUMIFS(Raw_Payments!$F:$F,Raw_Payments!$E:$E,"&gt;="&amp;B$2,Raw_Payments!$E:$E,"&lt;="&amp;EOMONTH(B$2,0),Raw_Payments!$C:$C,"EXPENSE")</f>
        <v/>
      </c>
      <c r="C5" s="5">
        <f>SUMIFS(Raw_Payments!$F:$F,Raw_Payments!$E:$E,"&gt;="&amp;C$2,Raw_Payments!$E:$E,"&lt;="&amp;EOMONTH(C$2,0),Raw_Payments!$C:$C,"EXPENSE")</f>
        <v/>
      </c>
      <c r="D5" s="5">
        <f>SUMIFS(Raw_Payments!$F:$F,Raw_Payments!$E:$E,"&gt;="&amp;D$2,Raw_Payments!$E:$E,"&lt;="&amp;EOMONTH(D$2,0),Raw_Payments!$C:$C,"EXPENSE")</f>
        <v/>
      </c>
      <c r="E5" s="5">
        <f>SUMIFS(Raw_Payments!$F:$F,Raw_Payments!$E:$E,"&gt;="&amp;E$2,Raw_Payments!$E:$E,"&lt;="&amp;EOMONTH(E$2,0),Raw_Payments!$C:$C,"EXPENSE")</f>
        <v/>
      </c>
      <c r="F5" s="5">
        <f>SUMIFS(Raw_Payments!$F:$F,Raw_Payments!$E:$E,"&gt;="&amp;F$2,Raw_Payments!$E:$E,"&lt;="&amp;EOMONTH(F$2,0),Raw_Payments!$C:$C,"EXPENSE")</f>
        <v/>
      </c>
      <c r="G5" s="5">
        <f>SUMIFS(Raw_Payments!$F:$F,Raw_Payments!$E:$E,"&gt;="&amp;G$2,Raw_Payments!$E:$E,"&lt;="&amp;EOMONTH(G$2,0),Raw_Payments!$C:$C,"EXPENSE")</f>
        <v/>
      </c>
      <c r="H5" s="5">
        <f>SUMIFS(Raw_Payments!$F:$F,Raw_Payments!$E:$E,"&gt;="&amp;H$2,Raw_Payments!$E:$E,"&lt;="&amp;EOMONTH(H$2,0),Raw_Payments!$C:$C,"EXPENSE")</f>
        <v/>
      </c>
      <c r="I5" s="5">
        <f>SUMIFS(Raw_Payments!$F:$F,Raw_Payments!$E:$E,"&gt;="&amp;I$2,Raw_Payments!$E:$E,"&lt;="&amp;EOMONTH(I$2,0),Raw_Payments!$C:$C,"EXPENSE")</f>
        <v/>
      </c>
      <c r="J5" s="5">
        <f>SUMIFS(Raw_Payments!$F:$F,Raw_Payments!$E:$E,"&gt;="&amp;J$2,Raw_Payments!$E:$E,"&lt;="&amp;EOMONTH(J$2,0),Raw_Payments!$C:$C,"EXPENSE")</f>
        <v/>
      </c>
      <c r="K5" s="5">
        <f>SUMIFS(Raw_Payments!$F:$F,Raw_Payments!$E:$E,"&gt;="&amp;K$2,Raw_Payments!$E:$E,"&lt;="&amp;EOMONTH(K$2,0),Raw_Payments!$C:$C,"EXPENSE")</f>
        <v/>
      </c>
      <c r="L5" s="5">
        <f>SUMIFS(Raw_Payments!$F:$F,Raw_Payments!$E:$E,"&gt;="&amp;L$2,Raw_Payments!$E:$E,"&lt;="&amp;EOMONTH(L$2,0),Raw_Payments!$C:$C,"EXPENSE")</f>
        <v/>
      </c>
      <c r="M5" s="5">
        <f>SUMIFS(Raw_Payments!$F:$F,Raw_Payments!$E:$E,"&gt;="&amp;M$2,Raw_Payments!$E:$E,"&lt;="&amp;EOMONTH(M$2,0),Raw_Payments!$C:$C,"EXPENSE")</f>
        <v/>
      </c>
      <c r="N5" s="5">
        <f>SUM(B5:M5)</f>
        <v/>
      </c>
    </row>
    <row r="6">
      <c r="A6" s="7" t="inlineStr">
        <is>
          <t>Net cash flow</t>
        </is>
      </c>
      <c r="B6" s="5">
        <f>B3-B4-B5</f>
        <v/>
      </c>
      <c r="C6" s="5">
        <f>C3-C4-C5</f>
        <v/>
      </c>
      <c r="D6" s="5">
        <f>D3-D4-D5</f>
        <v/>
      </c>
      <c r="E6" s="5">
        <f>E3-E4-E5</f>
        <v/>
      </c>
      <c r="F6" s="5">
        <f>F3-F4-F5</f>
        <v/>
      </c>
      <c r="G6" s="5">
        <f>G3-G4-G5</f>
        <v/>
      </c>
      <c r="H6" s="5">
        <f>H3-H4-H5</f>
        <v/>
      </c>
      <c r="I6" s="5">
        <f>I3-I4-I5</f>
        <v/>
      </c>
      <c r="J6" s="5">
        <f>J3-J4-J5</f>
        <v/>
      </c>
      <c r="K6" s="5">
        <f>K3-K4-K5</f>
        <v/>
      </c>
      <c r="L6" s="5">
        <f>L3-L4-L5</f>
        <v/>
      </c>
      <c r="M6" s="5">
        <f>M3-M4-M5</f>
        <v/>
      </c>
      <c r="N6" s="5">
        <f>SUM(B6:M6)</f>
        <v/>
      </c>
    </row>
    <row r="7">
      <c r="A7" s="7" t="inlineStr">
        <is>
          <t>Cumulative cash flow</t>
        </is>
      </c>
      <c r="B7" s="5">
        <f>B6</f>
        <v/>
      </c>
      <c r="C7" s="5">
        <f>B7+C6</f>
        <v/>
      </c>
      <c r="D7" s="5">
        <f>C7+D6</f>
        <v/>
      </c>
      <c r="E7" s="5">
        <f>D7+E6</f>
        <v/>
      </c>
      <c r="F7" s="5">
        <f>E7+F6</f>
        <v/>
      </c>
      <c r="G7" s="5">
        <f>F7+G6</f>
        <v/>
      </c>
      <c r="H7" s="5">
        <f>G7+H6</f>
        <v/>
      </c>
      <c r="I7" s="5">
        <f>H7+I6</f>
        <v/>
      </c>
      <c r="J7" s="5">
        <f>I7+J6</f>
        <v/>
      </c>
      <c r="K7" s="5">
        <f>J7+K6</f>
        <v/>
      </c>
      <c r="L7" s="5">
        <f>K7+L6</f>
        <v/>
      </c>
      <c r="M7" s="5">
        <f>L7+M6</f>
        <v/>
      </c>
      <c r="N7" s="5">
        <f>M7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2" customWidth="1" min="4" max="4"/>
    <col width="12" customWidth="1" min="5" max="5"/>
    <col width="12" customWidth="1" min="6" max="6"/>
    <col width="15" customWidth="1" min="7" max="7"/>
    <col width="9" customWidth="1" min="8" max="8"/>
    <col width="28" customWidth="1" min="10" max="10"/>
    <col width="22" customWidth="1" min="11" max="11"/>
  </cols>
  <sheetData>
    <row r="1">
      <c r="A1" s="1" t="inlineStr">
        <is>
          <t>Receivables — outstanding invoices &amp; aging (formula-driven)</t>
        </is>
      </c>
      <c r="J1" s="7" t="inlineStr">
        <is>
          <t>Aging summary</t>
        </is>
      </c>
    </row>
    <row r="2">
      <c r="J2" s="9" t="inlineStr">
        <is>
          <t>Bucket</t>
        </is>
      </c>
      <c r="K2" s="9" t="inlineStr">
        <is>
          <t>Outstanding</t>
        </is>
      </c>
    </row>
    <row r="3">
      <c r="A3" s="3" t="inlineStr">
        <is>
          <t>inv_id</t>
        </is>
      </c>
      <c r="B3" s="3" t="inlineStr">
        <is>
          <t>party</t>
        </is>
      </c>
      <c r="C3" s="3" t="inlineStr">
        <is>
          <t>invoice date</t>
        </is>
      </c>
      <c r="D3" s="3" t="inlineStr">
        <is>
          <t>total</t>
        </is>
      </c>
      <c r="E3" s="3" t="inlineStr">
        <is>
          <t>paid</t>
        </is>
      </c>
      <c r="F3" s="3" t="inlineStr">
        <is>
          <t>balance</t>
        </is>
      </c>
      <c r="G3" s="3" t="inlineStr">
        <is>
          <t>days outstanding</t>
        </is>
      </c>
      <c r="H3" s="3" t="inlineStr">
        <is>
          <t>bucket</t>
        </is>
      </c>
      <c r="J3" t="inlineStr">
        <is>
          <t>0-30</t>
        </is>
      </c>
      <c r="K3" s="5">
        <f>SUMIFS($F$4:$F$173,$H$4:$H$173,"0-30")</f>
        <v/>
      </c>
    </row>
    <row r="4">
      <c r="A4" t="inlineStr">
        <is>
          <t>S-00003</t>
        </is>
      </c>
      <c r="B4" t="inlineStr">
        <is>
          <t>City Centre Apparel</t>
        </is>
      </c>
      <c r="C4" s="4" t="n">
        <v>45934</v>
      </c>
      <c r="D4" s="5" t="n">
        <v>93076.64</v>
      </c>
      <c r="E4" s="5" t="n">
        <v>44997.63</v>
      </c>
      <c r="F4" s="5">
        <f>D4-E4</f>
        <v/>
      </c>
      <c r="G4">
        <f>Guide!$B$2-C4</f>
        <v/>
      </c>
      <c r="H4">
        <f>IF(G4="","",IF(G4&lt;=30,"0-30",IF(G4&lt;=60,"31-60",IF(G4&lt;=90,"61-90","90+"))))</f>
        <v/>
      </c>
      <c r="J4" t="inlineStr">
        <is>
          <t>31-60</t>
        </is>
      </c>
      <c r="K4" s="5">
        <f>SUMIFS($F$4:$F$173,$H$4:$H$173,"31-60")</f>
        <v/>
      </c>
    </row>
    <row r="5">
      <c r="A5" t="inlineStr">
        <is>
          <t>S-00006</t>
        </is>
      </c>
      <c r="B5" t="inlineStr">
        <is>
          <t>Patna Fashion House</t>
        </is>
      </c>
      <c r="C5" s="4" t="n">
        <v>45950</v>
      </c>
      <c r="D5" s="5" t="n">
        <v>94337.77</v>
      </c>
      <c r="E5" s="5" t="n">
        <v>47036.71</v>
      </c>
      <c r="F5" s="5">
        <f>D5-E5</f>
        <v/>
      </c>
      <c r="G5">
        <f>Guide!$B$2-C5</f>
        <v/>
      </c>
      <c r="H5">
        <f>IF(G5="","",IF(G5&lt;=30,"0-30",IF(G5&lt;=60,"31-60",IF(G5&lt;=90,"61-90","90+"))))</f>
        <v/>
      </c>
      <c r="J5" t="inlineStr">
        <is>
          <t>61-90</t>
        </is>
      </c>
      <c r="K5" s="5">
        <f>SUMIFS($F$4:$F$173,$H$4:$H$173,"61-90")</f>
        <v/>
      </c>
    </row>
    <row r="6">
      <c r="A6" t="inlineStr">
        <is>
          <t>S-00008</t>
        </is>
      </c>
      <c r="B6" t="inlineStr">
        <is>
          <t>Gaya Textile Traders</t>
        </is>
      </c>
      <c r="C6" s="4" t="n">
        <v>45961</v>
      </c>
      <c r="D6" s="5" t="n">
        <v>91989.16</v>
      </c>
      <c r="E6" s="5" t="n">
        <v>0</v>
      </c>
      <c r="F6" s="5">
        <f>D6-E6</f>
        <v/>
      </c>
      <c r="G6">
        <f>Guide!$B$2-C6</f>
        <v/>
      </c>
      <c r="H6">
        <f>IF(G6="","",IF(G6&lt;=30,"0-30",IF(G6&lt;=60,"31-60",IF(G6&lt;=90,"61-90","90+"))))</f>
        <v/>
      </c>
      <c r="J6" t="inlineStr">
        <is>
          <t>90+</t>
        </is>
      </c>
      <c r="K6" s="5">
        <f>SUMIFS($F$4:$F$173,$H$4:$H$173,"90+")</f>
        <v/>
      </c>
    </row>
    <row r="7">
      <c r="A7" t="inlineStr">
        <is>
          <t>S-00009</t>
        </is>
      </c>
      <c r="B7" t="inlineStr">
        <is>
          <t>Arrah Garment Plaza</t>
        </is>
      </c>
      <c r="C7" s="4" t="n">
        <v>45942</v>
      </c>
      <c r="D7" s="5" t="n">
        <v>78306.28</v>
      </c>
      <c r="E7" s="5" t="n">
        <v>45569.08</v>
      </c>
      <c r="F7" s="5">
        <f>D7-E7</f>
        <v/>
      </c>
      <c r="G7">
        <f>Guide!$B$2-C7</f>
        <v/>
      </c>
      <c r="H7">
        <f>IF(G7="","",IF(G7&lt;=30,"0-30",IF(G7&lt;=60,"31-60",IF(G7&lt;=90,"61-90","90+"))))</f>
        <v/>
      </c>
      <c r="J7" s="7" t="inlineStr">
        <is>
          <t>Total outstanding</t>
        </is>
      </c>
      <c r="K7" s="5">
        <f>SUM(F4:F173)</f>
        <v/>
      </c>
    </row>
    <row r="8">
      <c r="A8" t="inlineStr">
        <is>
          <t>S-00014</t>
        </is>
      </c>
      <c r="B8" t="inlineStr">
        <is>
          <t>Lakshmi Cloth Store</t>
        </is>
      </c>
      <c r="C8" s="4" t="n">
        <v>45938</v>
      </c>
      <c r="D8" s="5" t="n">
        <v>80784.61</v>
      </c>
      <c r="E8" s="5" t="n">
        <v>0</v>
      </c>
      <c r="F8" s="5">
        <f>D8-E8</f>
        <v/>
      </c>
      <c r="G8">
        <f>Guide!$B$2-C8</f>
        <v/>
      </c>
      <c r="H8">
        <f>IF(G8="","",IF(G8&lt;=30,"0-30",IF(G8&lt;=60,"31-60",IF(G8&lt;=90,"61-90","90+"))))</f>
        <v/>
      </c>
      <c r="J8" t="inlineStr">
        <is>
          <t>Invoices outstanding</t>
        </is>
      </c>
      <c r="K8">
        <f>COUNTA(A4:A173)</f>
        <v/>
      </c>
    </row>
    <row r="9">
      <c r="A9" t="inlineStr">
        <is>
          <t>S-00016</t>
        </is>
      </c>
      <c r="B9" t="inlineStr">
        <is>
          <t>Muzaffarpur Cloth House</t>
        </is>
      </c>
      <c r="C9" s="4" t="n">
        <v>45932</v>
      </c>
      <c r="D9" s="5" t="n">
        <v>45485.38</v>
      </c>
      <c r="E9" s="5" t="n">
        <v>0</v>
      </c>
      <c r="F9" s="5">
        <f>D9-E9</f>
        <v/>
      </c>
      <c r="G9">
        <f>Guide!$B$2-C9</f>
        <v/>
      </c>
      <c r="H9">
        <f>IF(G9="","",IF(G9&lt;=30,"0-30",IF(G9&lt;=60,"31-60",IF(G9&lt;=90,"61-90","90+"))))</f>
        <v/>
      </c>
      <c r="J9" t="inlineStr">
        <is>
          <t>Avg collection days (paid sales)</t>
        </is>
      </c>
      <c r="K9">
        <f>AVERAGEIFS(Raw_Invoices!$M:$M,Raw_Invoices!$D:$D,"SALES",Raw_Invoices!$M:$M,"&lt;&gt;")</f>
        <v/>
      </c>
    </row>
    <row r="10">
      <c r="A10" t="inlineStr">
        <is>
          <t>S-00018</t>
        </is>
      </c>
      <c r="B10" t="inlineStr">
        <is>
          <t>Trendy Threads</t>
        </is>
      </c>
      <c r="C10" s="4" t="n">
        <v>45941</v>
      </c>
      <c r="D10" s="5" t="n">
        <v>82138.41</v>
      </c>
      <c r="E10" s="5" t="n">
        <v>48055.6</v>
      </c>
      <c r="F10" s="5">
        <f>D10-E10</f>
        <v/>
      </c>
      <c r="G10">
        <f>Guide!$B$2-C10</f>
        <v/>
      </c>
      <c r="H10">
        <f>IF(G10="","",IF(G10&lt;=30,"0-30",IF(G10&lt;=60,"31-60",IF(G10&lt;=90,"61-90","90+"))))</f>
        <v/>
      </c>
      <c r="J10" t="inlineStr">
        <is>
          <t>Overdue 61+ days</t>
        </is>
      </c>
      <c r="K10" s="5">
        <f>K5+K6</f>
        <v/>
      </c>
    </row>
    <row r="11">
      <c r="A11" t="inlineStr">
        <is>
          <t>S-00026</t>
        </is>
      </c>
      <c r="B11" t="inlineStr">
        <is>
          <t>Trendy Threads</t>
        </is>
      </c>
      <c r="C11" s="4" t="n">
        <v>45953</v>
      </c>
      <c r="D11" s="5" t="n">
        <v>54668.47</v>
      </c>
      <c r="E11" s="5" t="n">
        <v>26916.26</v>
      </c>
      <c r="F11" s="5">
        <f>D11-E11</f>
        <v/>
      </c>
      <c r="G11">
        <f>Guide!$B$2-C11</f>
        <v/>
      </c>
      <c r="H11">
        <f>IF(G11="","",IF(G11&lt;=30,"0-30",IF(G11&lt;=60,"31-60",IF(G11&lt;=90,"61-90","90+"))))</f>
        <v/>
      </c>
    </row>
    <row r="12">
      <c r="A12" t="inlineStr">
        <is>
          <t>S-00030</t>
        </is>
      </c>
      <c r="B12" t="inlineStr">
        <is>
          <t>Bazaar Collection</t>
        </is>
      </c>
      <c r="C12" s="4" t="n">
        <v>45954</v>
      </c>
      <c r="D12" s="5" t="n">
        <v>85087.37</v>
      </c>
      <c r="E12" s="5" t="n">
        <v>40598.37</v>
      </c>
      <c r="F12" s="5">
        <f>D12-E12</f>
        <v/>
      </c>
      <c r="G12">
        <f>Guide!$B$2-C12</f>
        <v/>
      </c>
      <c r="H12">
        <f>IF(G12="","",IF(G12&lt;=30,"0-30",IF(G12&lt;=60,"31-60",IF(G12&lt;=90,"61-90","90+"))))</f>
        <v/>
      </c>
    </row>
    <row r="13">
      <c r="A13" t="inlineStr">
        <is>
          <t>P-00002</t>
        </is>
      </c>
      <c r="B13" t="inlineStr">
        <is>
          <t>Kolkata Hosiery House</t>
        </is>
      </c>
      <c r="C13" s="4" t="n">
        <v>45960</v>
      </c>
      <c r="D13" s="5" t="n">
        <v>23554.03</v>
      </c>
      <c r="E13" s="5" t="n">
        <v>0</v>
      </c>
      <c r="F13" s="5">
        <f>D13-E13</f>
        <v/>
      </c>
      <c r="G13">
        <f>Guide!$B$2-C13</f>
        <v/>
      </c>
      <c r="H13">
        <f>IF(G13="","",IF(G13&lt;=30,"0-30",IF(G13&lt;=60,"31-60",IF(G13&lt;=90,"61-90","90+"))))</f>
        <v/>
      </c>
    </row>
    <row r="14">
      <c r="A14" t="inlineStr">
        <is>
          <t>P-00009</t>
        </is>
      </c>
      <c r="B14" t="inlineStr">
        <is>
          <t>Jaipur Print Works</t>
        </is>
      </c>
      <c r="C14" s="4" t="n">
        <v>45953</v>
      </c>
      <c r="D14" s="5" t="n">
        <v>103751.62</v>
      </c>
      <c r="E14" s="5" t="n">
        <v>48854.72</v>
      </c>
      <c r="F14" s="5">
        <f>D14-E14</f>
        <v/>
      </c>
      <c r="G14">
        <f>Guide!$B$2-C14</f>
        <v/>
      </c>
      <c r="H14">
        <f>IF(G14="","",IF(G14&lt;=30,"0-30",IF(G14&lt;=60,"31-60",IF(G14&lt;=90,"61-90","90+"))))</f>
        <v/>
      </c>
    </row>
    <row r="15">
      <c r="A15" t="inlineStr">
        <is>
          <t>P-00011</t>
        </is>
      </c>
      <c r="B15" t="inlineStr">
        <is>
          <t>Ludhiana Knitwear Co</t>
        </is>
      </c>
      <c r="C15" s="4" t="n">
        <v>45932</v>
      </c>
      <c r="D15" s="5" t="n">
        <v>114690.45</v>
      </c>
      <c r="E15" s="5" t="n">
        <v>0</v>
      </c>
      <c r="F15" s="5">
        <f>D15-E15</f>
        <v/>
      </c>
      <c r="G15">
        <f>Guide!$B$2-C15</f>
        <v/>
      </c>
      <c r="H15">
        <f>IF(G15="","",IF(G15&lt;=30,"0-30",IF(G15&lt;=60,"31-60",IF(G15&lt;=90,"61-90","90+"))))</f>
        <v/>
      </c>
    </row>
    <row r="16">
      <c r="A16" t="inlineStr">
        <is>
          <t>E-00006</t>
        </is>
      </c>
      <c r="B16" t="inlineStr">
        <is>
          <t>Various</t>
        </is>
      </c>
      <c r="C16" s="4" t="n">
        <v>45942</v>
      </c>
      <c r="D16" s="5" t="n">
        <v>1630.2</v>
      </c>
      <c r="E16" s="5" t="n">
        <v>0</v>
      </c>
      <c r="F16" s="5">
        <f>D16-E16</f>
        <v/>
      </c>
      <c r="G16">
        <f>Guide!$B$2-C16</f>
        <v/>
      </c>
      <c r="H16">
        <f>IF(G16="","",IF(G16&lt;=30,"0-30",IF(G16&lt;=60,"31-60",IF(G16&lt;=90,"61-90","90+"))))</f>
        <v/>
      </c>
    </row>
    <row r="17">
      <c r="A17" t="inlineStr">
        <is>
          <t>S-00041</t>
        </is>
      </c>
      <c r="B17" t="inlineStr">
        <is>
          <t>Patna Fashion House</t>
        </is>
      </c>
      <c r="C17" s="4" t="n">
        <v>45989</v>
      </c>
      <c r="D17" s="5" t="n">
        <v>10713.91</v>
      </c>
      <c r="E17" s="5" t="n">
        <v>8084.75</v>
      </c>
      <c r="F17" s="5">
        <f>D17-E17</f>
        <v/>
      </c>
      <c r="G17">
        <f>Guide!$B$2-C17</f>
        <v/>
      </c>
      <c r="H17">
        <f>IF(G17="","",IF(G17&lt;=30,"0-30",IF(G17&lt;=60,"31-60",IF(G17&lt;=90,"61-90","90+"))))</f>
        <v/>
      </c>
    </row>
    <row r="18">
      <c r="A18" t="inlineStr">
        <is>
          <t>S-00045</t>
        </is>
      </c>
      <c r="B18" t="inlineStr">
        <is>
          <t>New Look Garments</t>
        </is>
      </c>
      <c r="C18" s="4" t="n">
        <v>45967</v>
      </c>
      <c r="D18" s="5" t="n">
        <v>76805.3</v>
      </c>
      <c r="E18" s="5" t="n">
        <v>0</v>
      </c>
      <c r="F18" s="5">
        <f>D18-E18</f>
        <v/>
      </c>
      <c r="G18">
        <f>Guide!$B$2-C18</f>
        <v/>
      </c>
      <c r="H18">
        <f>IF(G18="","",IF(G18&lt;=30,"0-30",IF(G18&lt;=60,"31-60",IF(G18&lt;=90,"61-90","90+"))))</f>
        <v/>
      </c>
    </row>
    <row r="19">
      <c r="A19" t="inlineStr">
        <is>
          <t>S-00052</t>
        </is>
      </c>
      <c r="B19" t="inlineStr">
        <is>
          <t>Sharma Retail Store</t>
        </is>
      </c>
      <c r="C19" s="4" t="n">
        <v>45985</v>
      </c>
      <c r="D19" s="5" t="n">
        <v>47810.03</v>
      </c>
      <c r="E19" s="5" t="n">
        <v>0</v>
      </c>
      <c r="F19" s="5">
        <f>D19-E19</f>
        <v/>
      </c>
      <c r="G19">
        <f>Guide!$B$2-C19</f>
        <v/>
      </c>
      <c r="H19">
        <f>IF(G19="","",IF(G19&lt;=30,"0-30",IF(G19&lt;=60,"31-60",IF(G19&lt;=90,"61-90","90+"))))</f>
        <v/>
      </c>
    </row>
    <row r="20">
      <c r="A20" t="inlineStr">
        <is>
          <t>S-00053</t>
        </is>
      </c>
      <c r="B20" t="inlineStr">
        <is>
          <t>Sharma Retail Store</t>
        </is>
      </c>
      <c r="C20" s="4" t="n">
        <v>45984</v>
      </c>
      <c r="D20" s="5" t="n">
        <v>89119.21000000001</v>
      </c>
      <c r="E20" s="5" t="n">
        <v>0</v>
      </c>
      <c r="F20" s="5">
        <f>D20-E20</f>
        <v/>
      </c>
      <c r="G20">
        <f>Guide!$B$2-C20</f>
        <v/>
      </c>
      <c r="H20">
        <f>IF(G20="","",IF(G20&lt;=30,"0-30",IF(G20&lt;=60,"31-60",IF(G20&lt;=90,"61-90","90+"))))</f>
        <v/>
      </c>
    </row>
    <row r="21">
      <c r="A21" t="inlineStr">
        <is>
          <t>S-00055</t>
        </is>
      </c>
      <c r="B21" t="inlineStr">
        <is>
          <t>Trendy Threads</t>
        </is>
      </c>
      <c r="C21" s="4" t="n">
        <v>45966</v>
      </c>
      <c r="D21" s="5" t="n">
        <v>34914.96</v>
      </c>
      <c r="E21" s="5" t="n">
        <v>0</v>
      </c>
      <c r="F21" s="5">
        <f>D21-E21</f>
        <v/>
      </c>
      <c r="G21">
        <f>Guide!$B$2-C21</f>
        <v/>
      </c>
      <c r="H21">
        <f>IF(G21="","",IF(G21&lt;=30,"0-30",IF(G21&lt;=60,"31-60",IF(G21&lt;=90,"61-90","90+"))))</f>
        <v/>
      </c>
    </row>
    <row r="22">
      <c r="A22" t="inlineStr">
        <is>
          <t>S-00060</t>
        </is>
      </c>
      <c r="B22" t="inlineStr">
        <is>
          <t>Purnia Fashion Hub</t>
        </is>
      </c>
      <c r="C22" s="4" t="n">
        <v>45987</v>
      </c>
      <c r="D22" s="5" t="n">
        <v>103350</v>
      </c>
      <c r="E22" s="5" t="n">
        <v>0</v>
      </c>
      <c r="F22" s="5">
        <f>D22-E22</f>
        <v/>
      </c>
      <c r="G22">
        <f>Guide!$B$2-C22</f>
        <v/>
      </c>
      <c r="H22">
        <f>IF(G22="","",IF(G22&lt;=30,"0-30",IF(G22&lt;=60,"31-60",IF(G22&lt;=90,"61-90","90+"))))</f>
        <v/>
      </c>
    </row>
    <row r="23">
      <c r="A23" t="inlineStr">
        <is>
          <t>S-00067</t>
        </is>
      </c>
      <c r="B23" t="inlineStr">
        <is>
          <t>Trendy Threads</t>
        </is>
      </c>
      <c r="C23" s="4" t="n">
        <v>45986</v>
      </c>
      <c r="D23" s="5" t="n">
        <v>38819.27</v>
      </c>
      <c r="E23" s="5" t="n">
        <v>16404.24</v>
      </c>
      <c r="F23" s="5">
        <f>D23-E23</f>
        <v/>
      </c>
      <c r="G23">
        <f>Guide!$B$2-C23</f>
        <v/>
      </c>
      <c r="H23">
        <f>IF(G23="","",IF(G23&lt;=30,"0-30",IF(G23&lt;=60,"31-60",IF(G23&lt;=90,"61-90","90+"))))</f>
        <v/>
      </c>
    </row>
    <row r="24">
      <c r="A24" t="inlineStr">
        <is>
          <t>P-00026</t>
        </is>
      </c>
      <c r="B24" t="inlineStr">
        <is>
          <t>Tiruppur Garment Works</t>
        </is>
      </c>
      <c r="C24" s="4" t="n">
        <v>45964</v>
      </c>
      <c r="D24" s="5" t="n">
        <v>15557.19</v>
      </c>
      <c r="E24" s="5" t="n">
        <v>0</v>
      </c>
      <c r="F24" s="5">
        <f>D24-E24</f>
        <v/>
      </c>
      <c r="G24">
        <f>Guide!$B$2-C24</f>
        <v/>
      </c>
      <c r="H24">
        <f>IF(G24="","",IF(G24&lt;=30,"0-30",IF(G24&lt;=60,"31-60",IF(G24&lt;=90,"61-90","90+"))))</f>
        <v/>
      </c>
    </row>
    <row r="25">
      <c r="A25" t="inlineStr">
        <is>
          <t>S-00079</t>
        </is>
      </c>
      <c r="B25" t="inlineStr">
        <is>
          <t>Muzaffarpur Cloth House</t>
        </is>
      </c>
      <c r="C25" s="4" t="n">
        <v>45997</v>
      </c>
      <c r="D25" s="5" t="n">
        <v>25236.28</v>
      </c>
      <c r="E25" s="5" t="n">
        <v>0</v>
      </c>
      <c r="F25" s="5">
        <f>D25-E25</f>
        <v/>
      </c>
      <c r="G25">
        <f>Guide!$B$2-C25</f>
        <v/>
      </c>
      <c r="H25">
        <f>IF(G25="","",IF(G25&lt;=30,"0-30",IF(G25&lt;=60,"31-60",IF(G25&lt;=90,"61-90","90+"))))</f>
        <v/>
      </c>
    </row>
    <row r="26">
      <c r="A26" t="inlineStr">
        <is>
          <t>S-00081</t>
        </is>
      </c>
      <c r="B26" t="inlineStr">
        <is>
          <t>Vishal Mega Mart (franchise)</t>
        </is>
      </c>
      <c r="C26" s="4" t="n">
        <v>46016</v>
      </c>
      <c r="D26" s="5" t="n">
        <v>99523.3</v>
      </c>
      <c r="E26" s="5" t="n">
        <v>60832.79</v>
      </c>
      <c r="F26" s="5">
        <f>D26-E26</f>
        <v/>
      </c>
      <c r="G26">
        <f>Guide!$B$2-C26</f>
        <v/>
      </c>
      <c r="H26">
        <f>IF(G26="","",IF(G26&lt;=30,"0-30",IF(G26&lt;=60,"31-60",IF(G26&lt;=90,"61-90","90+"))))</f>
        <v/>
      </c>
    </row>
    <row r="27">
      <c r="A27" t="inlineStr">
        <is>
          <t>S-00085</t>
        </is>
      </c>
      <c r="B27" t="inlineStr">
        <is>
          <t>New Look Garments</t>
        </is>
      </c>
      <c r="C27" s="4" t="n">
        <v>45994</v>
      </c>
      <c r="D27" s="5" t="n">
        <v>66662.96000000001</v>
      </c>
      <c r="E27" s="5" t="n">
        <v>0</v>
      </c>
      <c r="F27" s="5">
        <f>D27-E27</f>
        <v/>
      </c>
      <c r="G27">
        <f>Guide!$B$2-C27</f>
        <v/>
      </c>
      <c r="H27">
        <f>IF(G27="","",IF(G27&lt;=30,"0-30",IF(G27&lt;=60,"31-60",IF(G27&lt;=90,"61-90","90+"))))</f>
        <v/>
      </c>
    </row>
    <row r="28">
      <c r="A28" t="inlineStr">
        <is>
          <t>S-00100</t>
        </is>
      </c>
      <c r="B28" t="inlineStr">
        <is>
          <t>Bazaar Collection</t>
        </is>
      </c>
      <c r="C28" s="4" t="n">
        <v>46009</v>
      </c>
      <c r="D28" s="5" t="n">
        <v>87943.77</v>
      </c>
      <c r="E28" s="5" t="n">
        <v>0</v>
      </c>
      <c r="F28" s="5">
        <f>D28-E28</f>
        <v/>
      </c>
      <c r="G28">
        <f>Guide!$B$2-C28</f>
        <v/>
      </c>
      <c r="H28">
        <f>IF(G28="","",IF(G28&lt;=30,"0-30",IF(G28&lt;=60,"31-60",IF(G28&lt;=90,"61-90","90+"))))</f>
        <v/>
      </c>
    </row>
    <row r="29">
      <c r="A29" t="inlineStr">
        <is>
          <t>S-00105</t>
        </is>
      </c>
      <c r="B29" t="inlineStr">
        <is>
          <t>Patna Fashion House</t>
        </is>
      </c>
      <c r="C29" s="4" t="n">
        <v>46008</v>
      </c>
      <c r="D29" s="5" t="n">
        <v>53790.23</v>
      </c>
      <c r="E29" s="5" t="n">
        <v>0</v>
      </c>
      <c r="F29" s="5">
        <f>D29-E29</f>
        <v/>
      </c>
      <c r="G29">
        <f>Guide!$B$2-C29</f>
        <v/>
      </c>
      <c r="H29">
        <f>IF(G29="","",IF(G29&lt;=30,"0-30",IF(G29&lt;=60,"31-60",IF(G29&lt;=90,"61-90","90+"))))</f>
        <v/>
      </c>
    </row>
    <row r="30">
      <c r="A30" t="inlineStr">
        <is>
          <t>S-00108</t>
        </is>
      </c>
      <c r="B30" t="inlineStr">
        <is>
          <t>New Look Garments</t>
        </is>
      </c>
      <c r="C30" s="4" t="n">
        <v>45996</v>
      </c>
      <c r="D30" s="5" t="n">
        <v>93142.95</v>
      </c>
      <c r="E30" s="5" t="n">
        <v>0</v>
      </c>
      <c r="F30" s="5">
        <f>D30-E30</f>
        <v/>
      </c>
      <c r="G30">
        <f>Guide!$B$2-C30</f>
        <v/>
      </c>
      <c r="H30">
        <f>IF(G30="","",IF(G30&lt;=30,"0-30",IF(G30&lt;=60,"31-60",IF(G30&lt;=90,"61-90","90+"))))</f>
        <v/>
      </c>
    </row>
    <row r="31">
      <c r="A31" t="inlineStr">
        <is>
          <t>S-00112</t>
        </is>
      </c>
      <c r="B31" t="inlineStr">
        <is>
          <t>Purnia Fashion Hub</t>
        </is>
      </c>
      <c r="C31" s="4" t="n">
        <v>45998</v>
      </c>
      <c r="D31" s="5" t="n">
        <v>62364.85</v>
      </c>
      <c r="E31" s="5" t="n">
        <v>0</v>
      </c>
      <c r="F31" s="5">
        <f>D31-E31</f>
        <v/>
      </c>
      <c r="G31">
        <f>Guide!$B$2-C31</f>
        <v/>
      </c>
      <c r="H31">
        <f>IF(G31="","",IF(G31&lt;=30,"0-30",IF(G31&lt;=60,"31-60",IF(G31&lt;=90,"61-90","90+"))))</f>
        <v/>
      </c>
    </row>
    <row r="32">
      <c r="A32" t="inlineStr">
        <is>
          <t>P-00035</t>
        </is>
      </c>
      <c r="B32" t="inlineStr">
        <is>
          <t>Jaipur Print Works</t>
        </is>
      </c>
      <c r="C32" s="4" t="n">
        <v>46016</v>
      </c>
      <c r="D32" s="5" t="n">
        <v>97194.44</v>
      </c>
      <c r="E32" s="5" t="n">
        <v>0</v>
      </c>
      <c r="F32" s="5">
        <f>D32-E32</f>
        <v/>
      </c>
      <c r="G32">
        <f>Guide!$B$2-C32</f>
        <v/>
      </c>
      <c r="H32">
        <f>IF(G32="","",IF(G32&lt;=30,"0-30",IF(G32&lt;=60,"31-60",IF(G32&lt;=90,"61-90","90+"))))</f>
        <v/>
      </c>
    </row>
    <row r="33">
      <c r="A33" t="inlineStr">
        <is>
          <t>P-00042</t>
        </is>
      </c>
      <c r="B33" t="inlineStr">
        <is>
          <t>Surat Textile Mills</t>
        </is>
      </c>
      <c r="C33" s="4" t="n">
        <v>45998</v>
      </c>
      <c r="D33" s="5" t="n">
        <v>81481.62</v>
      </c>
      <c r="E33" s="5" t="n">
        <v>0</v>
      </c>
      <c r="F33" s="5">
        <f>D33-E33</f>
        <v/>
      </c>
      <c r="G33">
        <f>Guide!$B$2-C33</f>
        <v/>
      </c>
      <c r="H33">
        <f>IF(G33="","",IF(G33&lt;=30,"0-30",IF(G33&lt;=60,"31-60",IF(G33&lt;=90,"61-90","90+"))))</f>
        <v/>
      </c>
    </row>
    <row r="34">
      <c r="A34" t="inlineStr">
        <is>
          <t>P-00050</t>
        </is>
      </c>
      <c r="B34" t="inlineStr">
        <is>
          <t>Kolkata Hosiery House</t>
        </is>
      </c>
      <c r="C34" s="4" t="n">
        <v>46012</v>
      </c>
      <c r="D34" s="5" t="n">
        <v>93763.17</v>
      </c>
      <c r="E34" s="5" t="n">
        <v>0</v>
      </c>
      <c r="F34" s="5">
        <f>D34-E34</f>
        <v/>
      </c>
      <c r="G34">
        <f>Guide!$B$2-C34</f>
        <v/>
      </c>
      <c r="H34">
        <f>IF(G34="","",IF(G34&lt;=30,"0-30",IF(G34&lt;=60,"31-60",IF(G34&lt;=90,"61-90","90+"))))</f>
        <v/>
      </c>
    </row>
    <row r="35">
      <c r="A35" t="inlineStr">
        <is>
          <t>E-00043</t>
        </is>
      </c>
      <c r="B35" t="inlineStr">
        <is>
          <t>Various</t>
        </is>
      </c>
      <c r="C35" s="4" t="n">
        <v>45993</v>
      </c>
      <c r="D35" s="5" t="n">
        <v>6337.38</v>
      </c>
      <c r="E35" s="5" t="n">
        <v>0</v>
      </c>
      <c r="F35" s="5">
        <f>D35-E35</f>
        <v/>
      </c>
      <c r="G35">
        <f>Guide!$B$2-C35</f>
        <v/>
      </c>
      <c r="H35">
        <f>IF(G35="","",IF(G35&lt;=30,"0-30",IF(G35&lt;=60,"31-60",IF(G35&lt;=90,"61-90","90+"))))</f>
        <v/>
      </c>
    </row>
    <row r="36">
      <c r="A36" t="inlineStr">
        <is>
          <t>S-00115</t>
        </is>
      </c>
      <c r="B36" t="inlineStr">
        <is>
          <t>Trendy Threads</t>
        </is>
      </c>
      <c r="C36" s="4" t="n">
        <v>46034</v>
      </c>
      <c r="D36" s="5" t="n">
        <v>14840.73</v>
      </c>
      <c r="E36" s="5" t="n">
        <v>8630.690000000001</v>
      </c>
      <c r="F36" s="5">
        <f>D36-E36</f>
        <v/>
      </c>
      <c r="G36">
        <f>Guide!$B$2-C36</f>
        <v/>
      </c>
      <c r="H36">
        <f>IF(G36="","",IF(G36&lt;=30,"0-30",IF(G36&lt;=60,"31-60",IF(G36&lt;=90,"61-90","90+"))))</f>
        <v/>
      </c>
    </row>
    <row r="37">
      <c r="A37" t="inlineStr">
        <is>
          <t>S-00117</t>
        </is>
      </c>
      <c r="B37" t="inlineStr">
        <is>
          <t>Trendy Threads</t>
        </is>
      </c>
      <c r="C37" s="4" t="n">
        <v>46032</v>
      </c>
      <c r="D37" s="5" t="n">
        <v>53480.65</v>
      </c>
      <c r="E37" s="5" t="n">
        <v>0</v>
      </c>
      <c r="F37" s="5">
        <f>D37-E37</f>
        <v/>
      </c>
      <c r="G37">
        <f>Guide!$B$2-C37</f>
        <v/>
      </c>
      <c r="H37">
        <f>IF(G37="","",IF(G37&lt;=30,"0-30",IF(G37&lt;=60,"31-60",IF(G37&lt;=90,"61-90","90+"))))</f>
        <v/>
      </c>
    </row>
    <row r="38">
      <c r="A38" t="inlineStr">
        <is>
          <t>S-00121</t>
        </is>
      </c>
      <c r="B38" t="inlineStr">
        <is>
          <t>Arrah Garment Plaza</t>
        </is>
      </c>
      <c r="C38" s="4" t="n">
        <v>46050</v>
      </c>
      <c r="D38" s="5" t="n">
        <v>80225.44</v>
      </c>
      <c r="E38" s="5" t="n">
        <v>0</v>
      </c>
      <c r="F38" s="5">
        <f>D38-E38</f>
        <v/>
      </c>
      <c r="G38">
        <f>Guide!$B$2-C38</f>
        <v/>
      </c>
      <c r="H38">
        <f>IF(G38="","",IF(G38&lt;=30,"0-30",IF(G38&lt;=60,"31-60",IF(G38&lt;=90,"61-90","90+"))))</f>
        <v/>
      </c>
    </row>
    <row r="39">
      <c r="A39" t="inlineStr">
        <is>
          <t>S-00130</t>
        </is>
      </c>
      <c r="B39" t="inlineStr">
        <is>
          <t>Bhagalpur Silk Centre</t>
        </is>
      </c>
      <c r="C39" s="4" t="n">
        <v>46047</v>
      </c>
      <c r="D39" s="5" t="n">
        <v>78128.89</v>
      </c>
      <c r="E39" s="5" t="n">
        <v>40995.6</v>
      </c>
      <c r="F39" s="5">
        <f>D39-E39</f>
        <v/>
      </c>
      <c r="G39">
        <f>Guide!$B$2-C39</f>
        <v/>
      </c>
      <c r="H39">
        <f>IF(G39="","",IF(G39&lt;=30,"0-30",IF(G39&lt;=60,"31-60",IF(G39&lt;=90,"61-90","90+"))))</f>
        <v/>
      </c>
    </row>
    <row r="40">
      <c r="A40" t="inlineStr">
        <is>
          <t>S-00132</t>
        </is>
      </c>
      <c r="B40" t="inlineStr">
        <is>
          <t>Lakshmi Cloth Store</t>
        </is>
      </c>
      <c r="C40" s="4" t="n">
        <v>46028</v>
      </c>
      <c r="D40" s="5" t="n">
        <v>98902.31</v>
      </c>
      <c r="E40" s="5" t="n">
        <v>0</v>
      </c>
      <c r="F40" s="5">
        <f>D40-E40</f>
        <v/>
      </c>
      <c r="G40">
        <f>Guide!$B$2-C40</f>
        <v/>
      </c>
      <c r="H40">
        <f>IF(G40="","",IF(G40&lt;=30,"0-30",IF(G40&lt;=60,"31-60",IF(G40&lt;=90,"61-90","90+"))))</f>
        <v/>
      </c>
    </row>
    <row r="41">
      <c r="A41" t="inlineStr">
        <is>
          <t>S-00136</t>
        </is>
      </c>
      <c r="B41" t="inlineStr">
        <is>
          <t>Darbhanga Dress Point</t>
        </is>
      </c>
      <c r="C41" s="4" t="n">
        <v>46027</v>
      </c>
      <c r="D41" s="5" t="n">
        <v>51216.59</v>
      </c>
      <c r="E41" s="5" t="n">
        <v>0</v>
      </c>
      <c r="F41" s="5">
        <f>D41-E41</f>
        <v/>
      </c>
      <c r="G41">
        <f>Guide!$B$2-C41</f>
        <v/>
      </c>
      <c r="H41">
        <f>IF(G41="","",IF(G41&lt;=30,"0-30",IF(G41&lt;=60,"31-60",IF(G41&lt;=90,"61-90","90+"))))</f>
        <v/>
      </c>
    </row>
    <row r="42">
      <c r="A42" t="inlineStr">
        <is>
          <t>S-00137</t>
        </is>
      </c>
      <c r="B42" t="inlineStr">
        <is>
          <t>Vishal Mega Mart (franchise)</t>
        </is>
      </c>
      <c r="C42" s="4" t="n">
        <v>46038</v>
      </c>
      <c r="D42" s="5" t="n">
        <v>43401.58</v>
      </c>
      <c r="E42" s="5" t="n">
        <v>34171.01</v>
      </c>
      <c r="F42" s="5">
        <f>D42-E42</f>
        <v/>
      </c>
      <c r="G42">
        <f>Guide!$B$2-C42</f>
        <v/>
      </c>
      <c r="H42">
        <f>IF(G42="","",IF(G42&lt;=30,"0-30",IF(G42&lt;=60,"31-60",IF(G42&lt;=90,"61-90","90+"))))</f>
        <v/>
      </c>
    </row>
    <row r="43">
      <c r="A43" t="inlineStr">
        <is>
          <t>S-00142</t>
        </is>
      </c>
      <c r="B43" t="inlineStr">
        <is>
          <t>Vishal Mega Mart (franchise)</t>
        </is>
      </c>
      <c r="C43" s="4" t="n">
        <v>46028</v>
      </c>
      <c r="D43" s="5" t="n">
        <v>45166.87</v>
      </c>
      <c r="E43" s="5" t="n">
        <v>33424.93</v>
      </c>
      <c r="F43" s="5">
        <f>D43-E43</f>
        <v/>
      </c>
      <c r="G43">
        <f>Guide!$B$2-C43</f>
        <v/>
      </c>
      <c r="H43">
        <f>IF(G43="","",IF(G43&lt;=30,"0-30",IF(G43&lt;=60,"31-60",IF(G43&lt;=90,"61-90","90+"))))</f>
        <v/>
      </c>
    </row>
    <row r="44">
      <c r="A44" t="inlineStr">
        <is>
          <t>S-00145</t>
        </is>
      </c>
      <c r="B44" t="inlineStr">
        <is>
          <t>Arrah Garment Plaza</t>
        </is>
      </c>
      <c r="C44" s="4" t="n">
        <v>46032</v>
      </c>
      <c r="D44" s="5" t="n">
        <v>56796.81</v>
      </c>
      <c r="E44" s="5" t="n">
        <v>32122.61</v>
      </c>
      <c r="F44" s="5">
        <f>D44-E44</f>
        <v/>
      </c>
      <c r="G44">
        <f>Guide!$B$2-C44</f>
        <v/>
      </c>
      <c r="H44">
        <f>IF(G44="","",IF(G44&lt;=30,"0-30",IF(G44&lt;=60,"31-60",IF(G44&lt;=90,"61-90","90+"))))</f>
        <v/>
      </c>
    </row>
    <row r="45">
      <c r="A45" t="inlineStr">
        <is>
          <t>S-00146</t>
        </is>
      </c>
      <c r="B45" t="inlineStr">
        <is>
          <t>Trendy Threads</t>
        </is>
      </c>
      <c r="C45" s="4" t="n">
        <v>46029</v>
      </c>
      <c r="D45" s="5" t="n">
        <v>63591.93</v>
      </c>
      <c r="E45" s="5" t="n">
        <v>0</v>
      </c>
      <c r="F45" s="5">
        <f>D45-E45</f>
        <v/>
      </c>
      <c r="G45">
        <f>Guide!$B$2-C45</f>
        <v/>
      </c>
      <c r="H45">
        <f>IF(G45="","",IF(G45&lt;=30,"0-30",IF(G45&lt;=60,"31-60",IF(G45&lt;=90,"61-90","90+"))))</f>
        <v/>
      </c>
    </row>
    <row r="46">
      <c r="A46" t="inlineStr">
        <is>
          <t>P-00058</t>
        </is>
      </c>
      <c r="B46" t="inlineStr">
        <is>
          <t>Jaipur Print Works</t>
        </is>
      </c>
      <c r="C46" s="4" t="n">
        <v>46048</v>
      </c>
      <c r="D46" s="5" t="n">
        <v>56716.58</v>
      </c>
      <c r="E46" s="5" t="n">
        <v>0</v>
      </c>
      <c r="F46" s="5">
        <f>D46-E46</f>
        <v/>
      </c>
      <c r="G46">
        <f>Guide!$B$2-C46</f>
        <v/>
      </c>
      <c r="H46">
        <f>IF(G46="","",IF(G46&lt;=30,"0-30",IF(G46&lt;=60,"31-60",IF(G46&lt;=90,"61-90","90+"))))</f>
        <v/>
      </c>
    </row>
    <row r="47">
      <c r="A47" t="inlineStr">
        <is>
          <t>P-00063</t>
        </is>
      </c>
      <c r="B47" t="inlineStr">
        <is>
          <t>Tiruppur Garment Works</t>
        </is>
      </c>
      <c r="C47" s="4" t="n">
        <v>46045</v>
      </c>
      <c r="D47" s="5" t="n">
        <v>111284.65</v>
      </c>
      <c r="E47" s="5" t="n">
        <v>0</v>
      </c>
      <c r="F47" s="5">
        <f>D47-E47</f>
        <v/>
      </c>
      <c r="G47">
        <f>Guide!$B$2-C47</f>
        <v/>
      </c>
      <c r="H47">
        <f>IF(G47="","",IF(G47&lt;=30,"0-30",IF(G47&lt;=60,"31-60",IF(G47&lt;=90,"61-90","90+"))))</f>
        <v/>
      </c>
    </row>
    <row r="48">
      <c r="A48" t="inlineStr">
        <is>
          <t>P-00066</t>
        </is>
      </c>
      <c r="B48" t="inlineStr">
        <is>
          <t>Surat Textile Mills</t>
        </is>
      </c>
      <c r="C48" s="4" t="n">
        <v>46053</v>
      </c>
      <c r="D48" s="5" t="n">
        <v>72425.31</v>
      </c>
      <c r="E48" s="5" t="n">
        <v>0</v>
      </c>
      <c r="F48" s="5">
        <f>D48-E48</f>
        <v/>
      </c>
      <c r="G48">
        <f>Guide!$B$2-C48</f>
        <v/>
      </c>
      <c r="H48">
        <f>IF(G48="","",IF(G48&lt;=30,"0-30",IF(G48&lt;=60,"31-60",IF(G48&lt;=90,"61-90","90+"))))</f>
        <v/>
      </c>
    </row>
    <row r="49">
      <c r="A49" t="inlineStr">
        <is>
          <t>E-00054</t>
        </is>
      </c>
      <c r="B49" t="inlineStr">
        <is>
          <t>Various</t>
        </is>
      </c>
      <c r="C49" s="4" t="n">
        <v>46052</v>
      </c>
      <c r="D49" s="5" t="n">
        <v>6902.11</v>
      </c>
      <c r="E49" s="5" t="n">
        <v>0</v>
      </c>
      <c r="F49" s="5">
        <f>D49-E49</f>
        <v/>
      </c>
      <c r="G49">
        <f>Guide!$B$2-C49</f>
        <v/>
      </c>
      <c r="H49">
        <f>IF(G49="","",IF(G49&lt;=30,"0-30",IF(G49&lt;=60,"31-60",IF(G49&lt;=90,"61-90","90+"))))</f>
        <v/>
      </c>
    </row>
    <row r="50">
      <c r="A50" t="inlineStr">
        <is>
          <t>S-00151</t>
        </is>
      </c>
      <c r="B50" t="inlineStr">
        <is>
          <t>Bhagalpur Silk Centre</t>
        </is>
      </c>
      <c r="C50" s="4" t="n">
        <v>46054</v>
      </c>
      <c r="D50" s="5" t="n">
        <v>32628.8</v>
      </c>
      <c r="E50" s="5" t="n">
        <v>20064.38</v>
      </c>
      <c r="F50" s="5">
        <f>D50-E50</f>
        <v/>
      </c>
      <c r="G50">
        <f>Guide!$B$2-C50</f>
        <v/>
      </c>
      <c r="H50">
        <f>IF(G50="","",IF(G50&lt;=30,"0-30",IF(G50&lt;=60,"31-60",IF(G50&lt;=90,"61-90","90+"))))</f>
        <v/>
      </c>
    </row>
    <row r="51">
      <c r="A51" t="inlineStr">
        <is>
          <t>S-00157</t>
        </is>
      </c>
      <c r="B51" t="inlineStr">
        <is>
          <t>Bhagalpur Silk Centre</t>
        </is>
      </c>
      <c r="C51" s="4" t="n">
        <v>46065</v>
      </c>
      <c r="D51" s="5" t="n">
        <v>84257.23</v>
      </c>
      <c r="E51" s="5" t="n">
        <v>0</v>
      </c>
      <c r="F51" s="5">
        <f>D51-E51</f>
        <v/>
      </c>
      <c r="G51">
        <f>Guide!$B$2-C51</f>
        <v/>
      </c>
      <c r="H51">
        <f>IF(G51="","",IF(G51&lt;=30,"0-30",IF(G51&lt;=60,"31-60",IF(G51&lt;=90,"61-90","90+"))))</f>
        <v/>
      </c>
    </row>
    <row r="52">
      <c r="A52" t="inlineStr">
        <is>
          <t>S-00159</t>
        </is>
      </c>
      <c r="B52" t="inlineStr">
        <is>
          <t>New Look Garments</t>
        </is>
      </c>
      <c r="C52" s="4" t="n">
        <v>46056</v>
      </c>
      <c r="D52" s="5" t="n">
        <v>35335.99</v>
      </c>
      <c r="E52" s="5" t="n">
        <v>22195.73</v>
      </c>
      <c r="F52" s="5">
        <f>D52-E52</f>
        <v/>
      </c>
      <c r="G52">
        <f>Guide!$B$2-C52</f>
        <v/>
      </c>
      <c r="H52">
        <f>IF(G52="","",IF(G52&lt;=30,"0-30",IF(G52&lt;=60,"31-60",IF(G52&lt;=90,"61-90","90+"))))</f>
        <v/>
      </c>
    </row>
    <row r="53">
      <c r="A53" t="inlineStr">
        <is>
          <t>S-00162</t>
        </is>
      </c>
      <c r="B53" t="inlineStr">
        <is>
          <t>Muzaffarpur Cloth House</t>
        </is>
      </c>
      <c r="C53" s="4" t="n">
        <v>46058</v>
      </c>
      <c r="D53" s="5" t="n">
        <v>101544.93</v>
      </c>
      <c r="E53" s="5" t="n">
        <v>0</v>
      </c>
      <c r="F53" s="5">
        <f>D53-E53</f>
        <v/>
      </c>
      <c r="G53">
        <f>Guide!$B$2-C53</f>
        <v/>
      </c>
      <c r="H53">
        <f>IF(G53="","",IF(G53&lt;=30,"0-30",IF(G53&lt;=60,"31-60",IF(G53&lt;=90,"61-90","90+"))))</f>
        <v/>
      </c>
    </row>
    <row r="54">
      <c r="A54" t="inlineStr">
        <is>
          <t>S-00165</t>
        </is>
      </c>
      <c r="B54" t="inlineStr">
        <is>
          <t>Kumkum Saree Sadan</t>
        </is>
      </c>
      <c r="C54" s="4" t="n">
        <v>46058</v>
      </c>
      <c r="D54" s="5" t="n">
        <v>51937.95</v>
      </c>
      <c r="E54" s="5" t="n">
        <v>0</v>
      </c>
      <c r="F54" s="5">
        <f>D54-E54</f>
        <v/>
      </c>
      <c r="G54">
        <f>Guide!$B$2-C54</f>
        <v/>
      </c>
      <c r="H54">
        <f>IF(G54="","",IF(G54&lt;=30,"0-30",IF(G54&lt;=60,"31-60",IF(G54&lt;=90,"61-90","90+"))))</f>
        <v/>
      </c>
    </row>
    <row r="55">
      <c r="A55" t="inlineStr">
        <is>
          <t>S-00171</t>
        </is>
      </c>
      <c r="B55" t="inlineStr">
        <is>
          <t>Purnia Fashion Hub</t>
        </is>
      </c>
      <c r="C55" s="4" t="n">
        <v>46060</v>
      </c>
      <c r="D55" s="5" t="n">
        <v>72904.00999999999</v>
      </c>
      <c r="E55" s="5" t="n">
        <v>0</v>
      </c>
      <c r="F55" s="5">
        <f>D55-E55</f>
        <v/>
      </c>
      <c r="G55">
        <f>Guide!$B$2-C55</f>
        <v/>
      </c>
      <c r="H55">
        <f>IF(G55="","",IF(G55&lt;=30,"0-30",IF(G55&lt;=60,"31-60",IF(G55&lt;=90,"61-90","90+"))))</f>
        <v/>
      </c>
    </row>
    <row r="56">
      <c r="A56" t="inlineStr">
        <is>
          <t>S-00173</t>
        </is>
      </c>
      <c r="B56" t="inlineStr">
        <is>
          <t>Darbhanga Dress Point</t>
        </is>
      </c>
      <c r="C56" s="4" t="n">
        <v>46079</v>
      </c>
      <c r="D56" s="5" t="n">
        <v>82358.53999999999</v>
      </c>
      <c r="E56" s="5" t="n">
        <v>59777</v>
      </c>
      <c r="F56" s="5">
        <f>D56-E56</f>
        <v/>
      </c>
      <c r="G56">
        <f>Guide!$B$2-C56</f>
        <v/>
      </c>
      <c r="H56">
        <f>IF(G56="","",IF(G56&lt;=30,"0-30",IF(G56&lt;=60,"31-60",IF(G56&lt;=90,"61-90","90+"))))</f>
        <v/>
      </c>
    </row>
    <row r="57">
      <c r="A57" t="inlineStr">
        <is>
          <t>S-00182</t>
        </is>
      </c>
      <c r="B57" t="inlineStr">
        <is>
          <t>New Look Garments</t>
        </is>
      </c>
      <c r="C57" s="4" t="n">
        <v>46078</v>
      </c>
      <c r="D57" s="5" t="n">
        <v>66282</v>
      </c>
      <c r="E57" s="5" t="n">
        <v>45304.96</v>
      </c>
      <c r="F57" s="5">
        <f>D57-E57</f>
        <v/>
      </c>
      <c r="G57">
        <f>Guide!$B$2-C57</f>
        <v/>
      </c>
      <c r="H57">
        <f>IF(G57="","",IF(G57&lt;=30,"0-30",IF(G57&lt;=60,"31-60",IF(G57&lt;=90,"61-90","90+"))))</f>
        <v/>
      </c>
    </row>
    <row r="58">
      <c r="A58" t="inlineStr">
        <is>
          <t>P-00075</t>
        </is>
      </c>
      <c r="B58" t="inlineStr">
        <is>
          <t>Surat Textile Mills</t>
        </is>
      </c>
      <c r="C58" s="4" t="n">
        <v>46065</v>
      </c>
      <c r="D58" s="5" t="n">
        <v>12700.42</v>
      </c>
      <c r="E58" s="5" t="n">
        <v>0</v>
      </c>
      <c r="F58" s="5">
        <f>D58-E58</f>
        <v/>
      </c>
      <c r="G58">
        <f>Guide!$B$2-C58</f>
        <v/>
      </c>
      <c r="H58">
        <f>IF(G58="","",IF(G58&lt;=30,"0-30",IF(G58&lt;=60,"31-60",IF(G58&lt;=90,"61-90","90+"))))</f>
        <v/>
      </c>
    </row>
    <row r="59">
      <c r="A59" t="inlineStr">
        <is>
          <t>S-00188</t>
        </is>
      </c>
      <c r="B59" t="inlineStr">
        <is>
          <t>Sharma Retail Store</t>
        </is>
      </c>
      <c r="C59" s="4" t="n">
        <v>46107</v>
      </c>
      <c r="D59" s="5" t="n">
        <v>52194.11</v>
      </c>
      <c r="E59" s="5" t="n">
        <v>0</v>
      </c>
      <c r="F59" s="5">
        <f>D59-E59</f>
        <v/>
      </c>
      <c r="G59">
        <f>Guide!$B$2-C59</f>
        <v/>
      </c>
      <c r="H59">
        <f>IF(G59="","",IF(G59&lt;=30,"0-30",IF(G59&lt;=60,"31-60",IF(G59&lt;=90,"61-90","90+"))))</f>
        <v/>
      </c>
    </row>
    <row r="60">
      <c r="A60" t="inlineStr">
        <is>
          <t>S-00193</t>
        </is>
      </c>
      <c r="B60" t="inlineStr">
        <is>
          <t>City Centre Apparel</t>
        </is>
      </c>
      <c r="C60" s="4" t="n">
        <v>46109</v>
      </c>
      <c r="D60" s="5" t="n">
        <v>69746.53999999999</v>
      </c>
      <c r="E60" s="5" t="n">
        <v>0</v>
      </c>
      <c r="F60" s="5">
        <f>D60-E60</f>
        <v/>
      </c>
      <c r="G60">
        <f>Guide!$B$2-C60</f>
        <v/>
      </c>
      <c r="H60">
        <f>IF(G60="","",IF(G60&lt;=30,"0-30",IF(G60&lt;=60,"31-60",IF(G60&lt;=90,"61-90","90+"))))</f>
        <v/>
      </c>
    </row>
    <row r="61">
      <c r="A61" t="inlineStr">
        <is>
          <t>S-00198</t>
        </is>
      </c>
      <c r="B61" t="inlineStr">
        <is>
          <t>Purnia Fashion Hub</t>
        </is>
      </c>
      <c r="C61" s="4" t="n">
        <v>46104</v>
      </c>
      <c r="D61" s="5" t="n">
        <v>94856.64</v>
      </c>
      <c r="E61" s="5" t="n">
        <v>0</v>
      </c>
      <c r="F61" s="5">
        <f>D61-E61</f>
        <v/>
      </c>
      <c r="G61">
        <f>Guide!$B$2-C61</f>
        <v/>
      </c>
      <c r="H61">
        <f>IF(G61="","",IF(G61&lt;=30,"0-30",IF(G61&lt;=60,"31-60",IF(G61&lt;=90,"61-90","90+"))))</f>
        <v/>
      </c>
    </row>
    <row r="62">
      <c r="A62" t="inlineStr">
        <is>
          <t>S-00207</t>
        </is>
      </c>
      <c r="B62" t="inlineStr">
        <is>
          <t>Arrah Garment Plaza</t>
        </is>
      </c>
      <c r="C62" s="4" t="n">
        <v>46085</v>
      </c>
      <c r="D62" s="5" t="n">
        <v>32899.62</v>
      </c>
      <c r="E62" s="5" t="n">
        <v>0</v>
      </c>
      <c r="F62" s="5">
        <f>D62-E62</f>
        <v/>
      </c>
      <c r="G62">
        <f>Guide!$B$2-C62</f>
        <v/>
      </c>
      <c r="H62">
        <f>IF(G62="","",IF(G62&lt;=30,"0-30",IF(G62&lt;=60,"31-60",IF(G62&lt;=90,"61-90","90+"))))</f>
        <v/>
      </c>
    </row>
    <row r="63">
      <c r="A63" t="inlineStr">
        <is>
          <t>S-00209</t>
        </is>
      </c>
      <c r="B63" t="inlineStr">
        <is>
          <t>Bhagalpur Silk Centre</t>
        </is>
      </c>
      <c r="C63" s="4" t="n">
        <v>46087</v>
      </c>
      <c r="D63" s="5" t="n">
        <v>76228.32000000001</v>
      </c>
      <c r="E63" s="5" t="n">
        <v>0</v>
      </c>
      <c r="F63" s="5">
        <f>D63-E63</f>
        <v/>
      </c>
      <c r="G63">
        <f>Guide!$B$2-C63</f>
        <v/>
      </c>
      <c r="H63">
        <f>IF(G63="","",IF(G63&lt;=30,"0-30",IF(G63&lt;=60,"31-60",IF(G63&lt;=90,"61-90","90+"))))</f>
        <v/>
      </c>
    </row>
    <row r="64">
      <c r="A64" t="inlineStr">
        <is>
          <t>S-00213</t>
        </is>
      </c>
      <c r="B64" t="inlineStr">
        <is>
          <t>Bazaar Collection</t>
        </is>
      </c>
      <c r="C64" s="4" t="n">
        <v>46095</v>
      </c>
      <c r="D64" s="5" t="n">
        <v>54220.99</v>
      </c>
      <c r="E64" s="5" t="n">
        <v>0</v>
      </c>
      <c r="F64" s="5">
        <f>D64-E64</f>
        <v/>
      </c>
      <c r="G64">
        <f>Guide!$B$2-C64</f>
        <v/>
      </c>
      <c r="H64">
        <f>IF(G64="","",IF(G64&lt;=30,"0-30",IF(G64&lt;=60,"31-60",IF(G64&lt;=90,"61-90","90+"))))</f>
        <v/>
      </c>
    </row>
    <row r="65">
      <c r="A65" t="inlineStr">
        <is>
          <t>S-00215</t>
        </is>
      </c>
      <c r="B65" t="inlineStr">
        <is>
          <t>Trendy Threads</t>
        </is>
      </c>
      <c r="C65" s="4" t="n">
        <v>46112</v>
      </c>
      <c r="D65" s="5" t="n">
        <v>86808.78999999999</v>
      </c>
      <c r="E65" s="5" t="n">
        <v>62770.1</v>
      </c>
      <c r="F65" s="5">
        <f>D65-E65</f>
        <v/>
      </c>
      <c r="G65">
        <f>Guide!$B$2-C65</f>
        <v/>
      </c>
      <c r="H65">
        <f>IF(G65="","",IF(G65&lt;=30,"0-30",IF(G65&lt;=60,"31-60",IF(G65&lt;=90,"61-90","90+"))))</f>
        <v/>
      </c>
    </row>
    <row r="66">
      <c r="A66" t="inlineStr">
        <is>
          <t>P-00088</t>
        </is>
      </c>
      <c r="B66" t="inlineStr">
        <is>
          <t>Jaipur Print Works</t>
        </is>
      </c>
      <c r="C66" s="4" t="n">
        <v>46098</v>
      </c>
      <c r="D66" s="5" t="n">
        <v>111109.57</v>
      </c>
      <c r="E66" s="5" t="n">
        <v>0</v>
      </c>
      <c r="F66" s="5">
        <f>D66-E66</f>
        <v/>
      </c>
      <c r="G66">
        <f>Guide!$B$2-C66</f>
        <v/>
      </c>
      <c r="H66">
        <f>IF(G66="","",IF(G66&lt;=30,"0-30",IF(G66&lt;=60,"31-60",IF(G66&lt;=90,"61-90","90+"))))</f>
        <v/>
      </c>
    </row>
    <row r="67">
      <c r="A67" t="inlineStr">
        <is>
          <t>P-00105</t>
        </is>
      </c>
      <c r="B67" t="inlineStr">
        <is>
          <t>Tiruppur Garment Works</t>
        </is>
      </c>
      <c r="C67" s="4" t="n">
        <v>46083</v>
      </c>
      <c r="D67" s="5" t="n">
        <v>92937.52</v>
      </c>
      <c r="E67" s="5" t="n">
        <v>54558.6</v>
      </c>
      <c r="F67" s="5">
        <f>D67-E67</f>
        <v/>
      </c>
      <c r="G67">
        <f>Guide!$B$2-C67</f>
        <v/>
      </c>
      <c r="H67">
        <f>IF(G67="","",IF(G67&lt;=30,"0-30",IF(G67&lt;=60,"31-60",IF(G67&lt;=90,"61-90","90+"))))</f>
        <v/>
      </c>
    </row>
    <row r="68">
      <c r="A68" t="inlineStr">
        <is>
          <t>S-00219</t>
        </is>
      </c>
      <c r="B68" t="inlineStr">
        <is>
          <t>Darbhanga Dress Point</t>
        </is>
      </c>
      <c r="C68" s="4" t="n">
        <v>46142</v>
      </c>
      <c r="D68" s="5" t="n">
        <v>54086.93</v>
      </c>
      <c r="E68" s="5" t="n">
        <v>30601.61</v>
      </c>
      <c r="F68" s="5">
        <f>D68-E68</f>
        <v/>
      </c>
      <c r="G68">
        <f>Guide!$B$2-C68</f>
        <v/>
      </c>
      <c r="H68">
        <f>IF(G68="","",IF(G68&lt;=30,"0-30",IF(G68&lt;=60,"31-60",IF(G68&lt;=90,"61-90","90+"))))</f>
        <v/>
      </c>
    </row>
    <row r="69">
      <c r="A69" t="inlineStr">
        <is>
          <t>S-00221</t>
        </is>
      </c>
      <c r="B69" t="inlineStr">
        <is>
          <t>Trendy Threads</t>
        </is>
      </c>
      <c r="C69" s="4" t="n">
        <v>46134</v>
      </c>
      <c r="D69" s="5" t="n">
        <v>26487.1</v>
      </c>
      <c r="E69" s="5" t="n">
        <v>0</v>
      </c>
      <c r="F69" s="5">
        <f>D69-E69</f>
        <v/>
      </c>
      <c r="G69">
        <f>Guide!$B$2-C69</f>
        <v/>
      </c>
      <c r="H69">
        <f>IF(G69="","",IF(G69&lt;=30,"0-30",IF(G69&lt;=60,"31-60",IF(G69&lt;=90,"61-90","90+"))))</f>
        <v/>
      </c>
    </row>
    <row r="70">
      <c r="A70" t="inlineStr">
        <is>
          <t>S-00241</t>
        </is>
      </c>
      <c r="B70" t="inlineStr">
        <is>
          <t>Trendy Threads</t>
        </is>
      </c>
      <c r="C70" s="4" t="n">
        <v>46130</v>
      </c>
      <c r="D70" s="5" t="n">
        <v>12035.52</v>
      </c>
      <c r="E70" s="5" t="n">
        <v>9618.780000000001</v>
      </c>
      <c r="F70" s="5">
        <f>D70-E70</f>
        <v/>
      </c>
      <c r="G70">
        <f>Guide!$B$2-C70</f>
        <v/>
      </c>
      <c r="H70">
        <f>IF(G70="","",IF(G70&lt;=30,"0-30",IF(G70&lt;=60,"31-60",IF(G70&lt;=90,"61-90","90+"))))</f>
        <v/>
      </c>
    </row>
    <row r="71">
      <c r="A71" t="inlineStr">
        <is>
          <t>S-00244</t>
        </is>
      </c>
      <c r="B71" t="inlineStr">
        <is>
          <t>Patna Fashion House</t>
        </is>
      </c>
      <c r="C71" s="4" t="n">
        <v>46127</v>
      </c>
      <c r="D71" s="5" t="n">
        <v>37782.6</v>
      </c>
      <c r="E71" s="5" t="n">
        <v>0</v>
      </c>
      <c r="F71" s="5">
        <f>D71-E71</f>
        <v/>
      </c>
      <c r="G71">
        <f>Guide!$B$2-C71</f>
        <v/>
      </c>
      <c r="H71">
        <f>IF(G71="","",IF(G71&lt;=30,"0-30",IF(G71&lt;=60,"31-60",IF(G71&lt;=90,"61-90","90+"))))</f>
        <v/>
      </c>
    </row>
    <row r="72">
      <c r="A72" t="inlineStr">
        <is>
          <t>P-00116</t>
        </is>
      </c>
      <c r="B72" t="inlineStr">
        <is>
          <t>Jaipur Print Works</t>
        </is>
      </c>
      <c r="C72" s="4" t="n">
        <v>46142</v>
      </c>
      <c r="D72" s="5" t="n">
        <v>20426.15</v>
      </c>
      <c r="E72" s="5" t="n">
        <v>10571.99</v>
      </c>
      <c r="F72" s="5">
        <f>D72-E72</f>
        <v/>
      </c>
      <c r="G72">
        <f>Guide!$B$2-C72</f>
        <v/>
      </c>
      <c r="H72">
        <f>IF(G72="","",IF(G72&lt;=30,"0-30",IF(G72&lt;=60,"31-60",IF(G72&lt;=90,"61-90","90+"))))</f>
        <v/>
      </c>
    </row>
    <row r="73">
      <c r="A73" t="inlineStr">
        <is>
          <t>S-00251</t>
        </is>
      </c>
      <c r="B73" t="inlineStr">
        <is>
          <t>Kumkum Saree Sadan</t>
        </is>
      </c>
      <c r="C73" s="4" t="n">
        <v>46154</v>
      </c>
      <c r="D73" s="5" t="n">
        <v>69546.98</v>
      </c>
      <c r="E73" s="5" t="n">
        <v>48340.39</v>
      </c>
      <c r="F73" s="5">
        <f>D73-E73</f>
        <v/>
      </c>
      <c r="G73">
        <f>Guide!$B$2-C73</f>
        <v/>
      </c>
      <c r="H73">
        <f>IF(G73="","",IF(G73&lt;=30,"0-30",IF(G73&lt;=60,"31-60",IF(G73&lt;=90,"61-90","90+"))))</f>
        <v/>
      </c>
    </row>
    <row r="74">
      <c r="A74" t="inlineStr">
        <is>
          <t>S-00253</t>
        </is>
      </c>
      <c r="B74" t="inlineStr">
        <is>
          <t>Trendy Threads</t>
        </is>
      </c>
      <c r="C74" s="4" t="n">
        <v>46152</v>
      </c>
      <c r="D74" s="5" t="n">
        <v>55397.32</v>
      </c>
      <c r="E74" s="5" t="n">
        <v>0</v>
      </c>
      <c r="F74" s="5">
        <f>D74-E74</f>
        <v/>
      </c>
      <c r="G74">
        <f>Guide!$B$2-C74</f>
        <v/>
      </c>
      <c r="H74">
        <f>IF(G74="","",IF(G74&lt;=30,"0-30",IF(G74&lt;=60,"31-60",IF(G74&lt;=90,"61-90","90+"))))</f>
        <v/>
      </c>
    </row>
    <row r="75">
      <c r="A75" t="inlineStr">
        <is>
          <t>S-00257</t>
        </is>
      </c>
      <c r="B75" t="inlineStr">
        <is>
          <t>Arrah Garment Plaza</t>
        </is>
      </c>
      <c r="C75" s="4" t="n">
        <v>46157</v>
      </c>
      <c r="D75" s="5" t="n">
        <v>21750.69</v>
      </c>
      <c r="E75" s="5" t="n">
        <v>0</v>
      </c>
      <c r="F75" s="5">
        <f>D75-E75</f>
        <v/>
      </c>
      <c r="G75">
        <f>Guide!$B$2-C75</f>
        <v/>
      </c>
      <c r="H75">
        <f>IF(G75="","",IF(G75&lt;=30,"0-30",IF(G75&lt;=60,"31-60",IF(G75&lt;=90,"61-90","90+"))))</f>
        <v/>
      </c>
    </row>
    <row r="76">
      <c r="A76" t="inlineStr">
        <is>
          <t>S-00258</t>
        </is>
      </c>
      <c r="B76" t="inlineStr">
        <is>
          <t>Vishal Mega Mart (franchise)</t>
        </is>
      </c>
      <c r="C76" s="4" t="n">
        <v>46152</v>
      </c>
      <c r="D76" s="5" t="n">
        <v>29444.08</v>
      </c>
      <c r="E76" s="5" t="n">
        <v>0</v>
      </c>
      <c r="F76" s="5">
        <f>D76-E76</f>
        <v/>
      </c>
      <c r="G76">
        <f>Guide!$B$2-C76</f>
        <v/>
      </c>
      <c r="H76">
        <f>IF(G76="","",IF(G76&lt;=30,"0-30",IF(G76&lt;=60,"31-60",IF(G76&lt;=90,"61-90","90+"))))</f>
        <v/>
      </c>
    </row>
    <row r="77">
      <c r="A77" t="inlineStr">
        <is>
          <t>S-00261</t>
        </is>
      </c>
      <c r="B77" t="inlineStr">
        <is>
          <t>Bhagalpur Silk Centre</t>
        </is>
      </c>
      <c r="C77" s="4" t="n">
        <v>46170</v>
      </c>
      <c r="D77" s="5" t="n">
        <v>20589.24</v>
      </c>
      <c r="E77" s="5" t="n">
        <v>15642.22</v>
      </c>
      <c r="F77" s="5">
        <f>D77-E77</f>
        <v/>
      </c>
      <c r="G77">
        <f>Guide!$B$2-C77</f>
        <v/>
      </c>
      <c r="H77">
        <f>IF(G77="","",IF(G77&lt;=30,"0-30",IF(G77&lt;=60,"31-60",IF(G77&lt;=90,"61-90","90+"))))</f>
        <v/>
      </c>
    </row>
    <row r="78">
      <c r="A78" t="inlineStr">
        <is>
          <t>S-00265</t>
        </is>
      </c>
      <c r="B78" t="inlineStr">
        <is>
          <t>Gaya Textile Traders</t>
        </is>
      </c>
      <c r="C78" s="4" t="n">
        <v>46149</v>
      </c>
      <c r="D78" s="5" t="n">
        <v>14505.41</v>
      </c>
      <c r="E78" s="5" t="n">
        <v>0</v>
      </c>
      <c r="F78" s="5">
        <f>D78-E78</f>
        <v/>
      </c>
      <c r="G78">
        <f>Guide!$B$2-C78</f>
        <v/>
      </c>
      <c r="H78">
        <f>IF(G78="","",IF(G78&lt;=30,"0-30",IF(G78&lt;=60,"31-60",IF(G78&lt;=90,"61-90","90+"))))</f>
        <v/>
      </c>
    </row>
    <row r="79">
      <c r="A79" t="inlineStr">
        <is>
          <t>S-00268</t>
        </is>
      </c>
      <c r="B79" t="inlineStr">
        <is>
          <t>Trendy Threads</t>
        </is>
      </c>
      <c r="C79" s="4" t="n">
        <v>46145</v>
      </c>
      <c r="D79" s="5" t="n">
        <v>93206.83</v>
      </c>
      <c r="E79" s="5" t="n">
        <v>70911.41</v>
      </c>
      <c r="F79" s="5">
        <f>D79-E79</f>
        <v/>
      </c>
      <c r="G79">
        <f>Guide!$B$2-C79</f>
        <v/>
      </c>
      <c r="H79">
        <f>IF(G79="","",IF(G79&lt;=30,"0-30",IF(G79&lt;=60,"31-60",IF(G79&lt;=90,"61-90","90+"))))</f>
        <v/>
      </c>
    </row>
    <row r="80">
      <c r="A80" t="inlineStr">
        <is>
          <t>P-00121</t>
        </is>
      </c>
      <c r="B80" t="inlineStr">
        <is>
          <t>Surat Textile Mills</t>
        </is>
      </c>
      <c r="C80" s="4" t="n">
        <v>46165</v>
      </c>
      <c r="D80" s="5" t="n">
        <v>84865.39</v>
      </c>
      <c r="E80" s="5" t="n">
        <v>37914.25</v>
      </c>
      <c r="F80" s="5">
        <f>D80-E80</f>
        <v/>
      </c>
      <c r="G80">
        <f>Guide!$B$2-C80</f>
        <v/>
      </c>
      <c r="H80">
        <f>IF(G80="","",IF(G80&lt;=30,"0-30",IF(G80&lt;=60,"31-60",IF(G80&lt;=90,"61-90","90+"))))</f>
        <v/>
      </c>
    </row>
    <row r="81">
      <c r="A81" t="inlineStr">
        <is>
          <t>P-00122</t>
        </is>
      </c>
      <c r="B81" t="inlineStr">
        <is>
          <t>Ludhiana Knitwear Co</t>
        </is>
      </c>
      <c r="C81" s="4" t="n">
        <v>46146</v>
      </c>
      <c r="D81" s="5" t="n">
        <v>32293.15</v>
      </c>
      <c r="E81" s="5" t="n">
        <v>0</v>
      </c>
      <c r="F81" s="5">
        <f>D81-E81</f>
        <v/>
      </c>
      <c r="G81">
        <f>Guide!$B$2-C81</f>
        <v/>
      </c>
      <c r="H81">
        <f>IF(G81="","",IF(G81&lt;=30,"0-30",IF(G81&lt;=60,"31-60",IF(G81&lt;=90,"61-90","90+"))))</f>
        <v/>
      </c>
    </row>
    <row r="82">
      <c r="A82" t="inlineStr">
        <is>
          <t>P-00129</t>
        </is>
      </c>
      <c r="B82" t="inlineStr">
        <is>
          <t>Tiruppur Garment Works</t>
        </is>
      </c>
      <c r="C82" s="4" t="n">
        <v>46158</v>
      </c>
      <c r="D82" s="5" t="n">
        <v>108037.99</v>
      </c>
      <c r="E82" s="5" t="n">
        <v>67383.31</v>
      </c>
      <c r="F82" s="5">
        <f>D82-E82</f>
        <v/>
      </c>
      <c r="G82">
        <f>Guide!$B$2-C82</f>
        <v/>
      </c>
      <c r="H82">
        <f>IF(G82="","",IF(G82&lt;=30,"0-30",IF(G82&lt;=60,"31-60",IF(G82&lt;=90,"61-90","90+"))))</f>
        <v/>
      </c>
    </row>
    <row r="83">
      <c r="A83" t="inlineStr">
        <is>
          <t>S-00277</t>
        </is>
      </c>
      <c r="B83" t="inlineStr">
        <is>
          <t>Trendy Threads</t>
        </is>
      </c>
      <c r="C83" s="4" t="n">
        <v>46196</v>
      </c>
      <c r="D83" s="5" t="n">
        <v>64318.57</v>
      </c>
      <c r="E83" s="5" t="n">
        <v>48892.69</v>
      </c>
      <c r="F83" s="5">
        <f>D83-E83</f>
        <v/>
      </c>
      <c r="G83">
        <f>Guide!$B$2-C83</f>
        <v/>
      </c>
      <c r="H83">
        <f>IF(G83="","",IF(G83&lt;=30,"0-30",IF(G83&lt;=60,"31-60",IF(G83&lt;=90,"61-90","90+"))))</f>
        <v/>
      </c>
    </row>
    <row r="84">
      <c r="A84" t="inlineStr">
        <is>
          <t>S-00280</t>
        </is>
      </c>
      <c r="B84" t="inlineStr">
        <is>
          <t>Arrah Garment Plaza</t>
        </is>
      </c>
      <c r="C84" s="4" t="n">
        <v>46192</v>
      </c>
      <c r="D84" s="5" t="n">
        <v>92752.02</v>
      </c>
      <c r="E84" s="5" t="n">
        <v>0</v>
      </c>
      <c r="F84" s="5">
        <f>D84-E84</f>
        <v/>
      </c>
      <c r="G84">
        <f>Guide!$B$2-C84</f>
        <v/>
      </c>
      <c r="H84">
        <f>IF(G84="","",IF(G84&lt;=30,"0-30",IF(G84&lt;=60,"31-60",IF(G84&lt;=90,"61-90","90+"))))</f>
        <v/>
      </c>
    </row>
    <row r="85">
      <c r="A85" t="inlineStr">
        <is>
          <t>S-00282</t>
        </is>
      </c>
      <c r="B85" t="inlineStr">
        <is>
          <t>Arrah Garment Plaza</t>
        </is>
      </c>
      <c r="C85" s="4" t="n">
        <v>46202</v>
      </c>
      <c r="D85" s="5" t="n">
        <v>24373.26</v>
      </c>
      <c r="E85" s="5" t="n">
        <v>0</v>
      </c>
      <c r="F85" s="5">
        <f>D85-E85</f>
        <v/>
      </c>
      <c r="G85">
        <f>Guide!$B$2-C85</f>
        <v/>
      </c>
      <c r="H85">
        <f>IF(G85="","",IF(G85&lt;=30,"0-30",IF(G85&lt;=60,"31-60",IF(G85&lt;=90,"61-90","90+"))))</f>
        <v/>
      </c>
    </row>
    <row r="86">
      <c r="A86" t="inlineStr">
        <is>
          <t>S-00288</t>
        </is>
      </c>
      <c r="B86" t="inlineStr">
        <is>
          <t>Bazaar Collection</t>
        </is>
      </c>
      <c r="C86" s="4" t="n">
        <v>46188</v>
      </c>
      <c r="D86" s="5" t="n">
        <v>67881.53999999999</v>
      </c>
      <c r="E86" s="5" t="n">
        <v>47131.55</v>
      </c>
      <c r="F86" s="5">
        <f>D86-E86</f>
        <v/>
      </c>
      <c r="G86">
        <f>Guide!$B$2-C86</f>
        <v/>
      </c>
      <c r="H86">
        <f>IF(G86="","",IF(G86&lt;=30,"0-30",IF(G86&lt;=60,"31-60",IF(G86&lt;=90,"61-90","90+"))))</f>
        <v/>
      </c>
    </row>
    <row r="87">
      <c r="A87" t="inlineStr">
        <is>
          <t>S-00291</t>
        </is>
      </c>
      <c r="B87" t="inlineStr">
        <is>
          <t>Vishal Mega Mart (franchise)</t>
        </is>
      </c>
      <c r="C87" s="4" t="n">
        <v>46197</v>
      </c>
      <c r="D87" s="5" t="n">
        <v>20567.94</v>
      </c>
      <c r="E87" s="5" t="n">
        <v>0</v>
      </c>
      <c r="F87" s="5">
        <f>D87-E87</f>
        <v/>
      </c>
      <c r="G87">
        <f>Guide!$B$2-C87</f>
        <v/>
      </c>
      <c r="H87">
        <f>IF(G87="","",IF(G87&lt;=30,"0-30",IF(G87&lt;=60,"31-60",IF(G87&lt;=90,"61-90","90+"))))</f>
        <v/>
      </c>
    </row>
    <row r="88">
      <c r="A88" t="inlineStr">
        <is>
          <t>S-00293</t>
        </is>
      </c>
      <c r="B88" t="inlineStr">
        <is>
          <t>Lakshmi Cloth Store</t>
        </is>
      </c>
      <c r="C88" s="4" t="n">
        <v>46188</v>
      </c>
      <c r="D88" s="5" t="n">
        <v>33520.51</v>
      </c>
      <c r="E88" s="5" t="n">
        <v>0</v>
      </c>
      <c r="F88" s="5">
        <f>D88-E88</f>
        <v/>
      </c>
      <c r="G88">
        <f>Guide!$B$2-C88</f>
        <v/>
      </c>
      <c r="H88">
        <f>IF(G88="","",IF(G88&lt;=30,"0-30",IF(G88&lt;=60,"31-60",IF(G88&lt;=90,"61-90","90+"))))</f>
        <v/>
      </c>
    </row>
    <row r="89">
      <c r="A89" t="inlineStr">
        <is>
          <t>S-00295</t>
        </is>
      </c>
      <c r="B89" t="inlineStr">
        <is>
          <t>Bazaar Collection</t>
        </is>
      </c>
      <c r="C89" s="4" t="n">
        <v>46198</v>
      </c>
      <c r="D89" s="5" t="n">
        <v>82474.67999999999</v>
      </c>
      <c r="E89" s="5" t="n">
        <v>0</v>
      </c>
      <c r="F89" s="5">
        <f>D89-E89</f>
        <v/>
      </c>
      <c r="G89">
        <f>Guide!$B$2-C89</f>
        <v/>
      </c>
      <c r="H89">
        <f>IF(G89="","",IF(G89&lt;=30,"0-30",IF(G89&lt;=60,"31-60",IF(G89&lt;=90,"61-90","90+"))))</f>
        <v/>
      </c>
    </row>
    <row r="90">
      <c r="A90" t="inlineStr">
        <is>
          <t>S-00297</t>
        </is>
      </c>
      <c r="B90" t="inlineStr">
        <is>
          <t>Kumkum Saree Sadan</t>
        </is>
      </c>
      <c r="C90" s="4" t="n">
        <v>46184</v>
      </c>
      <c r="D90" s="5" t="n">
        <v>57033.94</v>
      </c>
      <c r="E90" s="5" t="n">
        <v>0</v>
      </c>
      <c r="F90" s="5">
        <f>D90-E90</f>
        <v/>
      </c>
      <c r="G90">
        <f>Guide!$B$2-C90</f>
        <v/>
      </c>
      <c r="H90">
        <f>IF(G90="","",IF(G90&lt;=30,"0-30",IF(G90&lt;=60,"31-60",IF(G90&lt;=90,"61-90","90+"))))</f>
        <v/>
      </c>
    </row>
    <row r="91">
      <c r="A91" t="inlineStr">
        <is>
          <t>S-00299</t>
        </is>
      </c>
      <c r="B91" t="inlineStr">
        <is>
          <t>Lakshmi Cloth Store</t>
        </is>
      </c>
      <c r="C91" s="4" t="n">
        <v>46201</v>
      </c>
      <c r="D91" s="5" t="n">
        <v>54657.99</v>
      </c>
      <c r="E91" s="5" t="n">
        <v>0</v>
      </c>
      <c r="F91" s="5">
        <f>D91-E91</f>
        <v/>
      </c>
      <c r="G91">
        <f>Guide!$B$2-C91</f>
        <v/>
      </c>
      <c r="H91">
        <f>IF(G91="","",IF(G91&lt;=30,"0-30",IF(G91&lt;=60,"31-60",IF(G91&lt;=90,"61-90","90+"))))</f>
        <v/>
      </c>
    </row>
    <row r="92">
      <c r="A92" t="inlineStr">
        <is>
          <t>P-00149</t>
        </is>
      </c>
      <c r="B92" t="inlineStr">
        <is>
          <t>Ludhiana Knitwear Co</t>
        </is>
      </c>
      <c r="C92" s="4" t="n">
        <v>46196</v>
      </c>
      <c r="D92" s="5" t="n">
        <v>108252.68</v>
      </c>
      <c r="E92" s="5" t="n">
        <v>68781.61</v>
      </c>
      <c r="F92" s="5">
        <f>D92-E92</f>
        <v/>
      </c>
      <c r="G92">
        <f>Guide!$B$2-C92</f>
        <v/>
      </c>
      <c r="H92">
        <f>IF(G92="","",IF(G92&lt;=30,"0-30",IF(G92&lt;=60,"31-60",IF(G92&lt;=90,"61-90","90+"))))</f>
        <v/>
      </c>
    </row>
    <row r="93">
      <c r="A93" t="inlineStr">
        <is>
          <t>E-00129</t>
        </is>
      </c>
      <c r="B93" t="inlineStr">
        <is>
          <t>Various</t>
        </is>
      </c>
      <c r="C93" s="4" t="n">
        <v>46197</v>
      </c>
      <c r="D93" s="5" t="n">
        <v>4381.68</v>
      </c>
      <c r="E93" s="5" t="n">
        <v>0</v>
      </c>
      <c r="F93" s="5">
        <f>D93-E93</f>
        <v/>
      </c>
      <c r="G93">
        <f>Guide!$B$2-C93</f>
        <v/>
      </c>
      <c r="H93">
        <f>IF(G93="","",IF(G93&lt;=30,"0-30",IF(G93&lt;=60,"31-60",IF(G93&lt;=90,"61-90","90+"))))</f>
        <v/>
      </c>
    </row>
    <row r="94">
      <c r="A94" t="inlineStr">
        <is>
          <t>E-00135</t>
        </is>
      </c>
      <c r="B94" t="inlineStr">
        <is>
          <t>Various</t>
        </is>
      </c>
      <c r="C94" s="4" t="n">
        <v>46185</v>
      </c>
      <c r="D94" s="5" t="n">
        <v>1748.67</v>
      </c>
      <c r="E94" s="5" t="n">
        <v>0</v>
      </c>
      <c r="F94" s="5">
        <f>D94-E94</f>
        <v/>
      </c>
      <c r="G94">
        <f>Guide!$B$2-C94</f>
        <v/>
      </c>
      <c r="H94">
        <f>IF(G94="","",IF(G94&lt;=30,"0-30",IF(G94&lt;=60,"31-60",IF(G94&lt;=90,"61-90","90+"))))</f>
        <v/>
      </c>
    </row>
    <row r="95">
      <c r="A95" t="inlineStr">
        <is>
          <t>S-00300</t>
        </is>
      </c>
      <c r="B95" t="inlineStr">
        <is>
          <t>Vishal Mega Mart (franchise)</t>
        </is>
      </c>
      <c r="C95" s="4" t="n">
        <v>46233</v>
      </c>
      <c r="D95" s="5" t="n">
        <v>86011.23</v>
      </c>
      <c r="E95" s="5" t="n">
        <v>0</v>
      </c>
      <c r="F95" s="5">
        <f>D95-E95</f>
        <v/>
      </c>
      <c r="G95">
        <f>Guide!$B$2-C95</f>
        <v/>
      </c>
      <c r="H95">
        <f>IF(G95="","",IF(G95&lt;=30,"0-30",IF(G95&lt;=60,"31-60",IF(G95&lt;=90,"61-90","90+"))))</f>
        <v/>
      </c>
    </row>
    <row r="96">
      <c r="A96" t="inlineStr">
        <is>
          <t>S-00303</t>
        </is>
      </c>
      <c r="B96" t="inlineStr">
        <is>
          <t>Darbhanga Dress Point</t>
        </is>
      </c>
      <c r="C96" s="4" t="n">
        <v>46204</v>
      </c>
      <c r="D96" s="5" t="n">
        <v>22819.66</v>
      </c>
      <c r="E96" s="5" t="n">
        <v>0</v>
      </c>
      <c r="F96" s="5">
        <f>D96-E96</f>
        <v/>
      </c>
      <c r="G96">
        <f>Guide!$B$2-C96</f>
        <v/>
      </c>
      <c r="H96">
        <f>IF(G96="","",IF(G96&lt;=30,"0-30",IF(G96&lt;=60,"31-60",IF(G96&lt;=90,"61-90","90+"))))</f>
        <v/>
      </c>
    </row>
    <row r="97">
      <c r="A97" t="inlineStr">
        <is>
          <t>S-00307</t>
        </is>
      </c>
      <c r="B97" t="inlineStr">
        <is>
          <t>Trendy Threads</t>
        </is>
      </c>
      <c r="C97" s="4" t="n">
        <v>46233</v>
      </c>
      <c r="D97" s="5" t="n">
        <v>75502.77</v>
      </c>
      <c r="E97" s="5" t="n">
        <v>0</v>
      </c>
      <c r="F97" s="5">
        <f>D97-E97</f>
        <v/>
      </c>
      <c r="G97">
        <f>Guide!$B$2-C97</f>
        <v/>
      </c>
      <c r="H97">
        <f>IF(G97="","",IF(G97&lt;=30,"0-30",IF(G97&lt;=60,"31-60",IF(G97&lt;=90,"61-90","90+"))))</f>
        <v/>
      </c>
    </row>
    <row r="98">
      <c r="A98" t="inlineStr">
        <is>
          <t>S-00310</t>
        </is>
      </c>
      <c r="B98" t="inlineStr">
        <is>
          <t>Lakshmi Cloth Store</t>
        </is>
      </c>
      <c r="C98" s="4" t="n">
        <v>46204</v>
      </c>
      <c r="D98" s="5" t="n">
        <v>44531.23</v>
      </c>
      <c r="E98" s="5" t="n">
        <v>0</v>
      </c>
      <c r="F98" s="5">
        <f>D98-E98</f>
        <v/>
      </c>
      <c r="G98">
        <f>Guide!$B$2-C98</f>
        <v/>
      </c>
      <c r="H98">
        <f>IF(G98="","",IF(G98&lt;=30,"0-30",IF(G98&lt;=60,"31-60",IF(G98&lt;=90,"61-90","90+"))))</f>
        <v/>
      </c>
    </row>
    <row r="99">
      <c r="A99" t="inlineStr">
        <is>
          <t>S-00313</t>
        </is>
      </c>
      <c r="B99" t="inlineStr">
        <is>
          <t>Arrah Garment Plaza</t>
        </is>
      </c>
      <c r="C99" s="4" t="n">
        <v>46212</v>
      </c>
      <c r="D99" s="5" t="n">
        <v>16268.95</v>
      </c>
      <c r="E99" s="5" t="n">
        <v>8467.57</v>
      </c>
      <c r="F99" s="5">
        <f>D99-E99</f>
        <v/>
      </c>
      <c r="G99">
        <f>Guide!$B$2-C99</f>
        <v/>
      </c>
      <c r="H99">
        <f>IF(G99="","",IF(G99&lt;=30,"0-30",IF(G99&lt;=60,"31-60",IF(G99&lt;=90,"61-90","90+"))))</f>
        <v/>
      </c>
    </row>
    <row r="100">
      <c r="A100" t="inlineStr">
        <is>
          <t>S-00317</t>
        </is>
      </c>
      <c r="B100" t="inlineStr">
        <is>
          <t>Patna Fashion House</t>
        </is>
      </c>
      <c r="C100" s="4" t="n">
        <v>46216</v>
      </c>
      <c r="D100" s="5" t="n">
        <v>30980.33</v>
      </c>
      <c r="E100" s="5" t="n">
        <v>15753.98</v>
      </c>
      <c r="F100" s="5">
        <f>D100-E100</f>
        <v/>
      </c>
      <c r="G100">
        <f>Guide!$B$2-C100</f>
        <v/>
      </c>
      <c r="H100">
        <f>IF(G100="","",IF(G100&lt;=30,"0-30",IF(G100&lt;=60,"31-60",IF(G100&lt;=90,"61-90","90+"))))</f>
        <v/>
      </c>
    </row>
    <row r="101">
      <c r="A101" t="inlineStr">
        <is>
          <t>S-00326</t>
        </is>
      </c>
      <c r="B101" t="inlineStr">
        <is>
          <t>Bazaar Collection</t>
        </is>
      </c>
      <c r="C101" s="4" t="n">
        <v>46230</v>
      </c>
      <c r="D101" s="5" t="n">
        <v>51096.28</v>
      </c>
      <c r="E101" s="5" t="n">
        <v>0</v>
      </c>
      <c r="F101" s="5">
        <f>D101-E101</f>
        <v/>
      </c>
      <c r="G101">
        <f>Guide!$B$2-C101</f>
        <v/>
      </c>
      <c r="H101">
        <f>IF(G101="","",IF(G101&lt;=30,"0-30",IF(G101&lt;=60,"31-60",IF(G101&lt;=90,"61-90","90+"))))</f>
        <v/>
      </c>
    </row>
    <row r="102">
      <c r="A102" t="inlineStr">
        <is>
          <t>S-00327</t>
        </is>
      </c>
      <c r="B102" t="inlineStr">
        <is>
          <t>New Look Garments</t>
        </is>
      </c>
      <c r="C102" s="4" t="n">
        <v>46260</v>
      </c>
      <c r="D102" s="5" t="n">
        <v>36935.95</v>
      </c>
      <c r="E102" s="5" t="n">
        <v>0</v>
      </c>
      <c r="F102" s="5">
        <f>D102-E102</f>
        <v/>
      </c>
      <c r="G102">
        <f>Guide!$B$2-C102</f>
        <v/>
      </c>
      <c r="H102">
        <f>IF(G102="","",IF(G102&lt;=30,"0-30",IF(G102&lt;=60,"31-60",IF(G102&lt;=90,"61-90","90+"))))</f>
        <v/>
      </c>
    </row>
    <row r="103">
      <c r="A103" t="inlineStr">
        <is>
          <t>S-00328</t>
        </is>
      </c>
      <c r="B103" t="inlineStr">
        <is>
          <t>Bhagalpur Silk Centre</t>
        </is>
      </c>
      <c r="C103" s="4" t="n">
        <v>46247</v>
      </c>
      <c r="D103" s="5" t="n">
        <v>11143.2</v>
      </c>
      <c r="E103" s="5" t="n">
        <v>0</v>
      </c>
      <c r="F103" s="5">
        <f>D103-E103</f>
        <v/>
      </c>
      <c r="G103">
        <f>Guide!$B$2-C103</f>
        <v/>
      </c>
      <c r="H103">
        <f>IF(G103="","",IF(G103&lt;=30,"0-30",IF(G103&lt;=60,"31-60",IF(G103&lt;=90,"61-90","90+"))))</f>
        <v/>
      </c>
    </row>
    <row r="104">
      <c r="A104" t="inlineStr">
        <is>
          <t>S-00330</t>
        </is>
      </c>
      <c r="B104" t="inlineStr">
        <is>
          <t>Bhagalpur Silk Centre</t>
        </is>
      </c>
      <c r="C104" s="4" t="n">
        <v>46238</v>
      </c>
      <c r="D104" s="5" t="n">
        <v>64786.72</v>
      </c>
      <c r="E104" s="5" t="n">
        <v>0</v>
      </c>
      <c r="F104" s="5">
        <f>D104-E104</f>
        <v/>
      </c>
      <c r="G104">
        <f>Guide!$B$2-C104</f>
        <v/>
      </c>
      <c r="H104">
        <f>IF(G104="","",IF(G104&lt;=30,"0-30",IF(G104&lt;=60,"31-60",IF(G104&lt;=90,"61-90","90+"))))</f>
        <v/>
      </c>
    </row>
    <row r="105">
      <c r="A105" t="inlineStr">
        <is>
          <t>S-00334</t>
        </is>
      </c>
      <c r="B105" t="inlineStr">
        <is>
          <t>Kumkum Saree Sadan</t>
        </is>
      </c>
      <c r="C105" s="4" t="n">
        <v>46237</v>
      </c>
      <c r="D105" s="5" t="n">
        <v>92945.98</v>
      </c>
      <c r="E105" s="5" t="n">
        <v>47003.72</v>
      </c>
      <c r="F105" s="5">
        <f>D105-E105</f>
        <v/>
      </c>
      <c r="G105">
        <f>Guide!$B$2-C105</f>
        <v/>
      </c>
      <c r="H105">
        <f>IF(G105="","",IF(G105&lt;=30,"0-30",IF(G105&lt;=60,"31-60",IF(G105&lt;=90,"61-90","90+"))))</f>
        <v/>
      </c>
    </row>
    <row r="106">
      <c r="A106" t="inlineStr">
        <is>
          <t>S-00335</t>
        </is>
      </c>
      <c r="B106" t="inlineStr">
        <is>
          <t>Muzaffarpur Cloth House</t>
        </is>
      </c>
      <c r="C106" s="4" t="n">
        <v>46263</v>
      </c>
      <c r="D106" s="5" t="n">
        <v>80022.25999999999</v>
      </c>
      <c r="E106" s="5" t="n">
        <v>0</v>
      </c>
      <c r="F106" s="5">
        <f>D106-E106</f>
        <v/>
      </c>
      <c r="G106">
        <f>Guide!$B$2-C106</f>
        <v/>
      </c>
      <c r="H106">
        <f>IF(G106="","",IF(G106&lt;=30,"0-30",IF(G106&lt;=60,"31-60",IF(G106&lt;=90,"61-90","90+"))))</f>
        <v/>
      </c>
    </row>
    <row r="107">
      <c r="A107" t="inlineStr">
        <is>
          <t>S-00336</t>
        </is>
      </c>
      <c r="B107" t="inlineStr">
        <is>
          <t>Patna Fashion House</t>
        </is>
      </c>
      <c r="C107" s="4" t="n">
        <v>46243</v>
      </c>
      <c r="D107" s="5" t="n">
        <v>15710.81</v>
      </c>
      <c r="E107" s="5" t="n">
        <v>0</v>
      </c>
      <c r="F107" s="5">
        <f>D107-E107</f>
        <v/>
      </c>
      <c r="G107">
        <f>Guide!$B$2-C107</f>
        <v/>
      </c>
      <c r="H107">
        <f>IF(G107="","",IF(G107&lt;=30,"0-30",IF(G107&lt;=60,"31-60",IF(G107&lt;=90,"61-90","90+"))))</f>
        <v/>
      </c>
    </row>
    <row r="108">
      <c r="A108" t="inlineStr">
        <is>
          <t>S-00338</t>
        </is>
      </c>
      <c r="B108" t="inlineStr">
        <is>
          <t>Arrah Garment Plaza</t>
        </is>
      </c>
      <c r="C108" s="4" t="n">
        <v>46251</v>
      </c>
      <c r="D108" s="5" t="n">
        <v>58860.51</v>
      </c>
      <c r="E108" s="5" t="n">
        <v>0</v>
      </c>
      <c r="F108" s="5">
        <f>D108-E108</f>
        <v/>
      </c>
      <c r="G108">
        <f>Guide!$B$2-C108</f>
        <v/>
      </c>
      <c r="H108">
        <f>IF(G108="","",IF(G108&lt;=30,"0-30",IF(G108&lt;=60,"31-60",IF(G108&lt;=90,"61-90","90+"))))</f>
        <v/>
      </c>
    </row>
    <row r="109">
      <c r="A109" t="inlineStr">
        <is>
          <t>S-00339</t>
        </is>
      </c>
      <c r="B109" t="inlineStr">
        <is>
          <t>City Centre Apparel</t>
        </is>
      </c>
      <c r="C109" s="4" t="n">
        <v>46262</v>
      </c>
      <c r="D109" s="5" t="n">
        <v>23863.51</v>
      </c>
      <c r="E109" s="5" t="n">
        <v>0</v>
      </c>
      <c r="F109" s="5">
        <f>D109-E109</f>
        <v/>
      </c>
      <c r="G109">
        <f>Guide!$B$2-C109</f>
        <v/>
      </c>
      <c r="H109">
        <f>IF(G109="","",IF(G109&lt;=30,"0-30",IF(G109&lt;=60,"31-60",IF(G109&lt;=90,"61-90","90+"))))</f>
        <v/>
      </c>
    </row>
    <row r="110">
      <c r="A110" t="inlineStr">
        <is>
          <t>S-00343</t>
        </is>
      </c>
      <c r="B110" t="inlineStr">
        <is>
          <t>Kumkum Saree Sadan</t>
        </is>
      </c>
      <c r="C110" s="4" t="n">
        <v>46245</v>
      </c>
      <c r="D110" s="5" t="n">
        <v>57712.46</v>
      </c>
      <c r="E110" s="5" t="n">
        <v>0</v>
      </c>
      <c r="F110" s="5">
        <f>D110-E110</f>
        <v/>
      </c>
      <c r="G110">
        <f>Guide!$B$2-C110</f>
        <v/>
      </c>
      <c r="H110">
        <f>IF(G110="","",IF(G110&lt;=30,"0-30",IF(G110&lt;=60,"31-60",IF(G110&lt;=90,"61-90","90+"))))</f>
        <v/>
      </c>
    </row>
    <row r="111">
      <c r="A111" t="inlineStr">
        <is>
          <t>S-00345</t>
        </is>
      </c>
      <c r="B111" t="inlineStr">
        <is>
          <t>Arrah Garment Plaza</t>
        </is>
      </c>
      <c r="C111" s="4" t="n">
        <v>46255</v>
      </c>
      <c r="D111" s="5" t="n">
        <v>29617.1</v>
      </c>
      <c r="E111" s="5" t="n">
        <v>0</v>
      </c>
      <c r="F111" s="5">
        <f>D111-E111</f>
        <v/>
      </c>
      <c r="G111">
        <f>Guide!$B$2-C111</f>
        <v/>
      </c>
      <c r="H111">
        <f>IF(G111="","",IF(G111&lt;=30,"0-30",IF(G111&lt;=60,"31-60",IF(G111&lt;=90,"61-90","90+"))))</f>
        <v/>
      </c>
    </row>
    <row r="112">
      <c r="A112" t="inlineStr">
        <is>
          <t>S-00346</t>
        </is>
      </c>
      <c r="B112" t="inlineStr">
        <is>
          <t>Gaya Textile Traders</t>
        </is>
      </c>
      <c r="C112" s="4" t="n">
        <v>46238</v>
      </c>
      <c r="D112" s="5" t="n">
        <v>97092.85000000001</v>
      </c>
      <c r="E112" s="5" t="n">
        <v>49909.21</v>
      </c>
      <c r="F112" s="5">
        <f>D112-E112</f>
        <v/>
      </c>
      <c r="G112">
        <f>Guide!$B$2-C112</f>
        <v/>
      </c>
      <c r="H112">
        <f>IF(G112="","",IF(G112&lt;=30,"0-30",IF(G112&lt;=60,"31-60",IF(G112&lt;=90,"61-90","90+"))))</f>
        <v/>
      </c>
    </row>
    <row r="113">
      <c r="A113" t="inlineStr">
        <is>
          <t>S-00347</t>
        </is>
      </c>
      <c r="B113" t="inlineStr">
        <is>
          <t>Lakshmi Cloth Store</t>
        </is>
      </c>
      <c r="C113" s="4" t="n">
        <v>46253</v>
      </c>
      <c r="D113" s="5" t="n">
        <v>30087.6</v>
      </c>
      <c r="E113" s="5" t="n">
        <v>0</v>
      </c>
      <c r="F113" s="5">
        <f>D113-E113</f>
        <v/>
      </c>
      <c r="G113">
        <f>Guide!$B$2-C113</f>
        <v/>
      </c>
      <c r="H113">
        <f>IF(G113="","",IF(G113&lt;=30,"0-30",IF(G113&lt;=60,"31-60",IF(G113&lt;=90,"61-90","90+"))))</f>
        <v/>
      </c>
    </row>
    <row r="114">
      <c r="A114" t="inlineStr">
        <is>
          <t>S-00348</t>
        </is>
      </c>
      <c r="B114" t="inlineStr">
        <is>
          <t>New Look Garments</t>
        </is>
      </c>
      <c r="C114" s="4" t="n">
        <v>46261</v>
      </c>
      <c r="D114" s="5" t="n">
        <v>95868.2</v>
      </c>
      <c r="E114" s="5" t="n">
        <v>0</v>
      </c>
      <c r="F114" s="5">
        <f>D114-E114</f>
        <v/>
      </c>
      <c r="G114">
        <f>Guide!$B$2-C114</f>
        <v/>
      </c>
      <c r="H114">
        <f>IF(G114="","",IF(G114&lt;=30,"0-30",IF(G114&lt;=60,"31-60",IF(G114&lt;=90,"61-90","90+"))))</f>
        <v/>
      </c>
    </row>
    <row r="115">
      <c r="A115" t="inlineStr">
        <is>
          <t>S-00349</t>
        </is>
      </c>
      <c r="B115" t="inlineStr">
        <is>
          <t>Kumkum Saree Sadan</t>
        </is>
      </c>
      <c r="C115" s="4" t="n">
        <v>46245</v>
      </c>
      <c r="D115" s="5" t="n">
        <v>43870.74</v>
      </c>
      <c r="E115" s="5" t="n">
        <v>0</v>
      </c>
      <c r="F115" s="5">
        <f>D115-E115</f>
        <v/>
      </c>
      <c r="G115">
        <f>Guide!$B$2-C115</f>
        <v/>
      </c>
      <c r="H115">
        <f>IF(G115="","",IF(G115&lt;=30,"0-30",IF(G115&lt;=60,"31-60",IF(G115&lt;=90,"61-90","90+"))))</f>
        <v/>
      </c>
    </row>
    <row r="116">
      <c r="A116" t="inlineStr">
        <is>
          <t>S-00350</t>
        </is>
      </c>
      <c r="B116" t="inlineStr">
        <is>
          <t>Bhagalpur Silk Centre</t>
        </is>
      </c>
      <c r="C116" s="4" t="n">
        <v>46263</v>
      </c>
      <c r="D116" s="5" t="n">
        <v>95295.82000000001</v>
      </c>
      <c r="E116" s="5" t="n">
        <v>0</v>
      </c>
      <c r="F116" s="5">
        <f>D116-E116</f>
        <v/>
      </c>
      <c r="G116">
        <f>Guide!$B$2-C116</f>
        <v/>
      </c>
      <c r="H116">
        <f>IF(G116="","",IF(G116&lt;=30,"0-30",IF(G116&lt;=60,"31-60",IF(G116&lt;=90,"61-90","90+"))))</f>
        <v/>
      </c>
    </row>
    <row r="117">
      <c r="A117" t="inlineStr">
        <is>
          <t>S-00352</t>
        </is>
      </c>
      <c r="B117" t="inlineStr">
        <is>
          <t>City Centre Apparel</t>
        </is>
      </c>
      <c r="C117" s="4" t="n">
        <v>46264</v>
      </c>
      <c r="D117" s="5" t="n">
        <v>96260.38</v>
      </c>
      <c r="E117" s="5" t="n">
        <v>0</v>
      </c>
      <c r="F117" s="5">
        <f>D117-E117</f>
        <v/>
      </c>
      <c r="G117">
        <f>Guide!$B$2-C117</f>
        <v/>
      </c>
      <c r="H117">
        <f>IF(G117="","",IF(G117&lt;=30,"0-30",IF(G117&lt;=60,"31-60",IF(G117&lt;=90,"61-90","90+"))))</f>
        <v/>
      </c>
    </row>
    <row r="118">
      <c r="A118" t="inlineStr">
        <is>
          <t>S-00353</t>
        </is>
      </c>
      <c r="B118" t="inlineStr">
        <is>
          <t>Sharma Retail Store</t>
        </is>
      </c>
      <c r="C118" s="4" t="n">
        <v>46245</v>
      </c>
      <c r="D118" s="5" t="n">
        <v>45190.17</v>
      </c>
      <c r="E118" s="5" t="n">
        <v>0</v>
      </c>
      <c r="F118" s="5">
        <f>D118-E118</f>
        <v/>
      </c>
      <c r="G118">
        <f>Guide!$B$2-C118</f>
        <v/>
      </c>
      <c r="H118">
        <f>IF(G118="","",IF(G118&lt;=30,"0-30",IF(G118&lt;=60,"31-60",IF(G118&lt;=90,"61-90","90+"))))</f>
        <v/>
      </c>
    </row>
    <row r="119">
      <c r="A119" t="inlineStr">
        <is>
          <t>S-00356</t>
        </is>
      </c>
      <c r="B119" t="inlineStr">
        <is>
          <t>Bhagalpur Silk Centre</t>
        </is>
      </c>
      <c r="C119" s="4" t="n">
        <v>46252</v>
      </c>
      <c r="D119" s="5" t="n">
        <v>43747.28</v>
      </c>
      <c r="E119" s="5" t="n">
        <v>0</v>
      </c>
      <c r="F119" s="5">
        <f>D119-E119</f>
        <v/>
      </c>
      <c r="G119">
        <f>Guide!$B$2-C119</f>
        <v/>
      </c>
      <c r="H119">
        <f>IF(G119="","",IF(G119&lt;=30,"0-30",IF(G119&lt;=60,"31-60",IF(G119&lt;=90,"61-90","90+"))))</f>
        <v/>
      </c>
    </row>
    <row r="120">
      <c r="A120" t="inlineStr">
        <is>
          <t>P-00175</t>
        </is>
      </c>
      <c r="B120" t="inlineStr">
        <is>
          <t>Delhi Fabric Suppliers</t>
        </is>
      </c>
      <c r="C120" s="4" t="n">
        <v>46247</v>
      </c>
      <c r="D120" s="5" t="n">
        <v>63354.65</v>
      </c>
      <c r="E120" s="5" t="n">
        <v>0</v>
      </c>
      <c r="F120" s="5">
        <f>D120-E120</f>
        <v/>
      </c>
      <c r="G120">
        <f>Guide!$B$2-C120</f>
        <v/>
      </c>
      <c r="H120">
        <f>IF(G120="","",IF(G120&lt;=30,"0-30",IF(G120&lt;=60,"31-60",IF(G120&lt;=90,"61-90","90+"))))</f>
        <v/>
      </c>
    </row>
    <row r="121">
      <c r="A121" t="inlineStr">
        <is>
          <t>P-00181</t>
        </is>
      </c>
      <c r="B121" t="inlineStr">
        <is>
          <t>Tiruppur Garment Works</t>
        </is>
      </c>
      <c r="C121" s="4" t="n">
        <v>46237</v>
      </c>
      <c r="D121" s="5" t="n">
        <v>11680.67</v>
      </c>
      <c r="E121" s="5" t="n">
        <v>5797.21</v>
      </c>
      <c r="F121" s="5">
        <f>D121-E121</f>
        <v/>
      </c>
      <c r="G121">
        <f>Guide!$B$2-C121</f>
        <v/>
      </c>
      <c r="H121">
        <f>IF(G121="","",IF(G121&lt;=30,"0-30",IF(G121&lt;=60,"31-60",IF(G121&lt;=90,"61-90","90+"))))</f>
        <v/>
      </c>
    </row>
    <row r="122">
      <c r="A122" t="inlineStr">
        <is>
          <t>P-00184</t>
        </is>
      </c>
      <c r="B122" t="inlineStr">
        <is>
          <t>Delhi Fabric Suppliers</t>
        </is>
      </c>
      <c r="C122" s="4" t="n">
        <v>46246</v>
      </c>
      <c r="D122" s="5" t="n">
        <v>68919.99000000001</v>
      </c>
      <c r="E122" s="5" t="n">
        <v>50511.61</v>
      </c>
      <c r="F122" s="5">
        <f>D122-E122</f>
        <v/>
      </c>
      <c r="G122">
        <f>Guide!$B$2-C122</f>
        <v/>
      </c>
      <c r="H122">
        <f>IF(G122="","",IF(G122&lt;=30,"0-30",IF(G122&lt;=60,"31-60",IF(G122&lt;=90,"61-90","90+"))))</f>
        <v/>
      </c>
    </row>
    <row r="123">
      <c r="A123" t="inlineStr">
        <is>
          <t>P-00190</t>
        </is>
      </c>
      <c r="B123" t="inlineStr">
        <is>
          <t>Surat Textile Mills</t>
        </is>
      </c>
      <c r="C123" s="4" t="n">
        <v>46242</v>
      </c>
      <c r="D123" s="5" t="n">
        <v>63977.28</v>
      </c>
      <c r="E123" s="5" t="n">
        <v>43157.58</v>
      </c>
      <c r="F123" s="5">
        <f>D123-E123</f>
        <v/>
      </c>
      <c r="G123">
        <f>Guide!$B$2-C123</f>
        <v/>
      </c>
      <c r="H123">
        <f>IF(G123="","",IF(G123&lt;=30,"0-30",IF(G123&lt;=60,"31-60",IF(G123&lt;=90,"61-90","90+"))))</f>
        <v/>
      </c>
    </row>
    <row r="124">
      <c r="A124" t="inlineStr">
        <is>
          <t>E-00159</t>
        </is>
      </c>
      <c r="B124" t="inlineStr">
        <is>
          <t>Various</t>
        </is>
      </c>
      <c r="C124" s="4" t="n">
        <v>46249</v>
      </c>
      <c r="D124" s="5" t="n">
        <v>3652.77</v>
      </c>
      <c r="E124" s="5" t="n">
        <v>0</v>
      </c>
      <c r="F124" s="5">
        <f>D124-E124</f>
        <v/>
      </c>
      <c r="G124">
        <f>Guide!$B$2-C124</f>
        <v/>
      </c>
      <c r="H124">
        <f>IF(G124="","",IF(G124&lt;=30,"0-30",IF(G124&lt;=60,"31-60",IF(G124&lt;=90,"61-90","90+"))))</f>
        <v/>
      </c>
    </row>
    <row r="125">
      <c r="A125" t="inlineStr">
        <is>
          <t>S-00359</t>
        </is>
      </c>
      <c r="B125" t="inlineStr">
        <is>
          <t>Bazaar Collection</t>
        </is>
      </c>
      <c r="C125" s="4" t="n">
        <v>46294</v>
      </c>
      <c r="D125" s="5" t="n">
        <v>9362.75</v>
      </c>
      <c r="E125" s="5" t="n">
        <v>0</v>
      </c>
      <c r="F125" s="5">
        <f>D125-E125</f>
        <v/>
      </c>
      <c r="G125">
        <f>Guide!$B$2-C125</f>
        <v/>
      </c>
      <c r="H125">
        <f>IF(G125="","",IF(G125&lt;=30,"0-30",IF(G125&lt;=60,"31-60",IF(G125&lt;=90,"61-90","90+"))))</f>
        <v/>
      </c>
    </row>
    <row r="126">
      <c r="A126" t="inlineStr">
        <is>
          <t>S-00360</t>
        </is>
      </c>
      <c r="B126" t="inlineStr">
        <is>
          <t>Vishal Mega Mart (franchise)</t>
        </is>
      </c>
      <c r="C126" s="4" t="n">
        <v>46266</v>
      </c>
      <c r="D126" s="5" t="n">
        <v>14928.46</v>
      </c>
      <c r="E126" s="5" t="n">
        <v>0</v>
      </c>
      <c r="F126" s="5">
        <f>D126-E126</f>
        <v/>
      </c>
      <c r="G126">
        <f>Guide!$B$2-C126</f>
        <v/>
      </c>
      <c r="H126">
        <f>IF(G126="","",IF(G126&lt;=30,"0-30",IF(G126&lt;=60,"31-60",IF(G126&lt;=90,"61-90","90+"))))</f>
        <v/>
      </c>
    </row>
    <row r="127">
      <c r="A127" t="inlineStr">
        <is>
          <t>S-00361</t>
        </is>
      </c>
      <c r="B127" t="inlineStr">
        <is>
          <t>City Centre Apparel</t>
        </is>
      </c>
      <c r="C127" s="4" t="n">
        <v>46276</v>
      </c>
      <c r="D127" s="5" t="n">
        <v>77219.89</v>
      </c>
      <c r="E127" s="5" t="n">
        <v>0</v>
      </c>
      <c r="F127" s="5">
        <f>D127-E127</f>
        <v/>
      </c>
      <c r="G127">
        <f>Guide!$B$2-C127</f>
        <v/>
      </c>
      <c r="H127">
        <f>IF(G127="","",IF(G127&lt;=30,"0-30",IF(G127&lt;=60,"31-60",IF(G127&lt;=90,"61-90","90+"))))</f>
        <v/>
      </c>
    </row>
    <row r="128">
      <c r="A128" t="inlineStr">
        <is>
          <t>S-00363</t>
        </is>
      </c>
      <c r="B128" t="inlineStr">
        <is>
          <t>Darbhanga Dress Point</t>
        </is>
      </c>
      <c r="C128" s="4" t="n">
        <v>46282</v>
      </c>
      <c r="D128" s="5" t="n">
        <v>71653.53</v>
      </c>
      <c r="E128" s="5" t="n">
        <v>0</v>
      </c>
      <c r="F128" s="5">
        <f>D128-E128</f>
        <v/>
      </c>
      <c r="G128">
        <f>Guide!$B$2-C128</f>
        <v/>
      </c>
      <c r="H128">
        <f>IF(G128="","",IF(G128&lt;=30,"0-30",IF(G128&lt;=60,"31-60",IF(G128&lt;=90,"61-90","90+"))))</f>
        <v/>
      </c>
    </row>
    <row r="129">
      <c r="A129" t="inlineStr">
        <is>
          <t>S-00364</t>
        </is>
      </c>
      <c r="B129" t="inlineStr">
        <is>
          <t>Patna Fashion House</t>
        </is>
      </c>
      <c r="C129" s="4" t="n">
        <v>46283</v>
      </c>
      <c r="D129" s="5" t="n">
        <v>92007.42999999999</v>
      </c>
      <c r="E129" s="5" t="n">
        <v>0</v>
      </c>
      <c r="F129" s="5">
        <f>D129-E129</f>
        <v/>
      </c>
      <c r="G129">
        <f>Guide!$B$2-C129</f>
        <v/>
      </c>
      <c r="H129">
        <f>IF(G129="","",IF(G129&lt;=30,"0-30",IF(G129&lt;=60,"31-60",IF(G129&lt;=90,"61-90","90+"))))</f>
        <v/>
      </c>
    </row>
    <row r="130">
      <c r="A130" t="inlineStr">
        <is>
          <t>S-00366</t>
        </is>
      </c>
      <c r="B130" t="inlineStr">
        <is>
          <t>Arrah Garment Plaza</t>
        </is>
      </c>
      <c r="C130" s="4" t="n">
        <v>46266</v>
      </c>
      <c r="D130" s="5" t="n">
        <v>45732.86</v>
      </c>
      <c r="E130" s="5" t="n">
        <v>0</v>
      </c>
      <c r="F130" s="5">
        <f>D130-E130</f>
        <v/>
      </c>
      <c r="G130">
        <f>Guide!$B$2-C130</f>
        <v/>
      </c>
      <c r="H130">
        <f>IF(G130="","",IF(G130&lt;=30,"0-30",IF(G130&lt;=60,"31-60",IF(G130&lt;=90,"61-90","90+"))))</f>
        <v/>
      </c>
    </row>
    <row r="131">
      <c r="A131" t="inlineStr">
        <is>
          <t>S-00367</t>
        </is>
      </c>
      <c r="B131" t="inlineStr">
        <is>
          <t>City Centre Apparel</t>
        </is>
      </c>
      <c r="C131" s="4" t="n">
        <v>46283</v>
      </c>
      <c r="D131" s="5" t="n">
        <v>16667.58</v>
      </c>
      <c r="E131" s="5" t="n">
        <v>0</v>
      </c>
      <c r="F131" s="5">
        <f>D131-E131</f>
        <v/>
      </c>
      <c r="G131">
        <f>Guide!$B$2-C131</f>
        <v/>
      </c>
      <c r="H131">
        <f>IF(G131="","",IF(G131&lt;=30,"0-30",IF(G131&lt;=60,"31-60",IF(G131&lt;=90,"61-90","90+"))))</f>
        <v/>
      </c>
    </row>
    <row r="132">
      <c r="A132" t="inlineStr">
        <is>
          <t>S-00368</t>
        </is>
      </c>
      <c r="B132" t="inlineStr">
        <is>
          <t>Muzaffarpur Cloth House</t>
        </is>
      </c>
      <c r="C132" s="4" t="n">
        <v>46273</v>
      </c>
      <c r="D132" s="5" t="n">
        <v>17638.87</v>
      </c>
      <c r="E132" s="5" t="n">
        <v>0</v>
      </c>
      <c r="F132" s="5">
        <f>D132-E132</f>
        <v/>
      </c>
      <c r="G132">
        <f>Guide!$B$2-C132</f>
        <v/>
      </c>
      <c r="H132">
        <f>IF(G132="","",IF(G132&lt;=30,"0-30",IF(G132&lt;=60,"31-60",IF(G132&lt;=90,"61-90","90+"))))</f>
        <v/>
      </c>
    </row>
    <row r="133">
      <c r="A133" t="inlineStr">
        <is>
          <t>S-00369</t>
        </is>
      </c>
      <c r="B133" t="inlineStr">
        <is>
          <t>Kumkum Saree Sadan</t>
        </is>
      </c>
      <c r="C133" s="4" t="n">
        <v>46266</v>
      </c>
      <c r="D133" s="5" t="n">
        <v>29258.62</v>
      </c>
      <c r="E133" s="5" t="n">
        <v>0</v>
      </c>
      <c r="F133" s="5">
        <f>D133-E133</f>
        <v/>
      </c>
      <c r="G133">
        <f>Guide!$B$2-C133</f>
        <v/>
      </c>
      <c r="H133">
        <f>IF(G133="","",IF(G133&lt;=30,"0-30",IF(G133&lt;=60,"31-60",IF(G133&lt;=90,"61-90","90+"))))</f>
        <v/>
      </c>
    </row>
    <row r="134">
      <c r="A134" t="inlineStr">
        <is>
          <t>S-00370</t>
        </is>
      </c>
      <c r="B134" t="inlineStr">
        <is>
          <t>Arrah Garment Plaza</t>
        </is>
      </c>
      <c r="C134" s="4" t="n">
        <v>46268</v>
      </c>
      <c r="D134" s="5" t="n">
        <v>20677.19</v>
      </c>
      <c r="E134" s="5" t="n">
        <v>0</v>
      </c>
      <c r="F134" s="5">
        <f>D134-E134</f>
        <v/>
      </c>
      <c r="G134">
        <f>Guide!$B$2-C134</f>
        <v/>
      </c>
      <c r="H134">
        <f>IF(G134="","",IF(G134&lt;=30,"0-30",IF(G134&lt;=60,"31-60",IF(G134&lt;=90,"61-90","90+"))))</f>
        <v/>
      </c>
    </row>
    <row r="135">
      <c r="A135" t="inlineStr">
        <is>
          <t>S-00371</t>
        </is>
      </c>
      <c r="B135" t="inlineStr">
        <is>
          <t>Kumkum Saree Sadan</t>
        </is>
      </c>
      <c r="C135" s="4" t="n">
        <v>46288</v>
      </c>
      <c r="D135" s="5" t="n">
        <v>13860.27</v>
      </c>
      <c r="E135" s="5" t="n">
        <v>0</v>
      </c>
      <c r="F135" s="5">
        <f>D135-E135</f>
        <v/>
      </c>
      <c r="G135">
        <f>Guide!$B$2-C135</f>
        <v/>
      </c>
      <c r="H135">
        <f>IF(G135="","",IF(G135&lt;=30,"0-30",IF(G135&lt;=60,"31-60",IF(G135&lt;=90,"61-90","90+"))))</f>
        <v/>
      </c>
    </row>
    <row r="136">
      <c r="A136" t="inlineStr">
        <is>
          <t>S-00372</t>
        </is>
      </c>
      <c r="B136" t="inlineStr">
        <is>
          <t>Bhagalpur Silk Centre</t>
        </is>
      </c>
      <c r="C136" s="4" t="n">
        <v>46281</v>
      </c>
      <c r="D136" s="5" t="n">
        <v>53061.97</v>
      </c>
      <c r="E136" s="5" t="n">
        <v>0</v>
      </c>
      <c r="F136" s="5">
        <f>D136-E136</f>
        <v/>
      </c>
      <c r="G136">
        <f>Guide!$B$2-C136</f>
        <v/>
      </c>
      <c r="H136">
        <f>IF(G136="","",IF(G136&lt;=30,"0-30",IF(G136&lt;=60,"31-60",IF(G136&lt;=90,"61-90","90+"))))</f>
        <v/>
      </c>
    </row>
    <row r="137">
      <c r="A137" t="inlineStr">
        <is>
          <t>S-00373</t>
        </is>
      </c>
      <c r="B137" t="inlineStr">
        <is>
          <t>Muzaffarpur Cloth House</t>
        </is>
      </c>
      <c r="C137" s="4" t="n">
        <v>46282</v>
      </c>
      <c r="D137" s="5" t="n">
        <v>76499.92999999999</v>
      </c>
      <c r="E137" s="5" t="n">
        <v>0</v>
      </c>
      <c r="F137" s="5">
        <f>D137-E137</f>
        <v/>
      </c>
      <c r="G137">
        <f>Guide!$B$2-C137</f>
        <v/>
      </c>
      <c r="H137">
        <f>IF(G137="","",IF(G137&lt;=30,"0-30",IF(G137&lt;=60,"31-60",IF(G137&lt;=90,"61-90","90+"))))</f>
        <v/>
      </c>
    </row>
    <row r="138">
      <c r="A138" t="inlineStr">
        <is>
          <t>S-00374</t>
        </is>
      </c>
      <c r="B138" t="inlineStr">
        <is>
          <t>City Centre Apparel</t>
        </is>
      </c>
      <c r="C138" s="4" t="n">
        <v>46292</v>
      </c>
      <c r="D138" s="5" t="n">
        <v>12544.27</v>
      </c>
      <c r="E138" s="5" t="n">
        <v>0</v>
      </c>
      <c r="F138" s="5">
        <f>D138-E138</f>
        <v/>
      </c>
      <c r="G138">
        <f>Guide!$B$2-C138</f>
        <v/>
      </c>
      <c r="H138">
        <f>IF(G138="","",IF(G138&lt;=30,"0-30",IF(G138&lt;=60,"31-60",IF(G138&lt;=90,"61-90","90+"))))</f>
        <v/>
      </c>
    </row>
    <row r="139">
      <c r="A139" t="inlineStr">
        <is>
          <t>S-00376</t>
        </is>
      </c>
      <c r="B139" t="inlineStr">
        <is>
          <t>Vishal Mega Mart (franchise)</t>
        </is>
      </c>
      <c r="C139" s="4" t="n">
        <v>46288</v>
      </c>
      <c r="D139" s="5" t="n">
        <v>84659.45</v>
      </c>
      <c r="E139" s="5" t="n">
        <v>0</v>
      </c>
      <c r="F139" s="5">
        <f>D139-E139</f>
        <v/>
      </c>
      <c r="G139">
        <f>Guide!$B$2-C139</f>
        <v/>
      </c>
      <c r="H139">
        <f>IF(G139="","",IF(G139&lt;=30,"0-30",IF(G139&lt;=60,"31-60",IF(G139&lt;=90,"61-90","90+"))))</f>
        <v/>
      </c>
    </row>
    <row r="140">
      <c r="A140" t="inlineStr">
        <is>
          <t>S-00377</t>
        </is>
      </c>
      <c r="B140" t="inlineStr">
        <is>
          <t>Purnia Fashion Hub</t>
        </is>
      </c>
      <c r="C140" s="4" t="n">
        <v>46268</v>
      </c>
      <c r="D140" s="5" t="n">
        <v>69324.34</v>
      </c>
      <c r="E140" s="5" t="n">
        <v>0</v>
      </c>
      <c r="F140" s="5">
        <f>D140-E140</f>
        <v/>
      </c>
      <c r="G140">
        <f>Guide!$B$2-C140</f>
        <v/>
      </c>
      <c r="H140">
        <f>IF(G140="","",IF(G140&lt;=30,"0-30",IF(G140&lt;=60,"31-60",IF(G140&lt;=90,"61-90","90+"))))</f>
        <v/>
      </c>
    </row>
    <row r="141">
      <c r="A141" t="inlineStr">
        <is>
          <t>S-00378</t>
        </is>
      </c>
      <c r="B141" t="inlineStr">
        <is>
          <t>Sharma Retail Store</t>
        </is>
      </c>
      <c r="C141" s="4" t="n">
        <v>46278</v>
      </c>
      <c r="D141" s="5" t="n">
        <v>52562.42</v>
      </c>
      <c r="E141" s="5" t="n">
        <v>0</v>
      </c>
      <c r="F141" s="5">
        <f>D141-E141</f>
        <v/>
      </c>
      <c r="G141">
        <f>Guide!$B$2-C141</f>
        <v/>
      </c>
      <c r="H141">
        <f>IF(G141="","",IF(G141&lt;=30,"0-30",IF(G141&lt;=60,"31-60",IF(G141&lt;=90,"61-90","90+"))))</f>
        <v/>
      </c>
    </row>
    <row r="142">
      <c r="A142" t="inlineStr">
        <is>
          <t>S-00379</t>
        </is>
      </c>
      <c r="B142" t="inlineStr">
        <is>
          <t>Kumkum Saree Sadan</t>
        </is>
      </c>
      <c r="C142" s="4" t="n">
        <v>46268</v>
      </c>
      <c r="D142" s="5" t="n">
        <v>92770.14999999999</v>
      </c>
      <c r="E142" s="5" t="n">
        <v>0</v>
      </c>
      <c r="F142" s="5">
        <f>D142-E142</f>
        <v/>
      </c>
      <c r="G142">
        <f>Guide!$B$2-C142</f>
        <v/>
      </c>
      <c r="H142">
        <f>IF(G142="","",IF(G142&lt;=30,"0-30",IF(G142&lt;=60,"31-60",IF(G142&lt;=90,"61-90","90+"))))</f>
        <v/>
      </c>
    </row>
    <row r="143">
      <c r="A143" t="inlineStr">
        <is>
          <t>S-00380</t>
        </is>
      </c>
      <c r="B143" t="inlineStr">
        <is>
          <t>Muzaffarpur Cloth House</t>
        </is>
      </c>
      <c r="C143" s="4" t="n">
        <v>46271</v>
      </c>
      <c r="D143" s="5" t="n">
        <v>23939.38</v>
      </c>
      <c r="E143" s="5" t="n">
        <v>0</v>
      </c>
      <c r="F143" s="5">
        <f>D143-E143</f>
        <v/>
      </c>
      <c r="G143">
        <f>Guide!$B$2-C143</f>
        <v/>
      </c>
      <c r="H143">
        <f>IF(G143="","",IF(G143&lt;=30,"0-30",IF(G143&lt;=60,"31-60",IF(G143&lt;=90,"61-90","90+"))))</f>
        <v/>
      </c>
    </row>
    <row r="144">
      <c r="A144" t="inlineStr">
        <is>
          <t>S-00381</t>
        </is>
      </c>
      <c r="B144" t="inlineStr">
        <is>
          <t>City Centre Apparel</t>
        </is>
      </c>
      <c r="C144" s="4" t="n">
        <v>46286</v>
      </c>
      <c r="D144" s="5" t="n">
        <v>36564.66</v>
      </c>
      <c r="E144" s="5" t="n">
        <v>0</v>
      </c>
      <c r="F144" s="5">
        <f>D144-E144</f>
        <v/>
      </c>
      <c r="G144">
        <f>Guide!$B$2-C144</f>
        <v/>
      </c>
      <c r="H144">
        <f>IF(G144="","",IF(G144&lt;=30,"0-30",IF(G144&lt;=60,"31-60",IF(G144&lt;=90,"61-90","90+"))))</f>
        <v/>
      </c>
    </row>
    <row r="145">
      <c r="A145" t="inlineStr">
        <is>
          <t>S-00382</t>
        </is>
      </c>
      <c r="B145" t="inlineStr">
        <is>
          <t>City Centre Apparel</t>
        </is>
      </c>
      <c r="C145" s="4" t="n">
        <v>46288</v>
      </c>
      <c r="D145" s="5" t="n">
        <v>13738.94</v>
      </c>
      <c r="E145" s="5" t="n">
        <v>0</v>
      </c>
      <c r="F145" s="5">
        <f>D145-E145</f>
        <v/>
      </c>
      <c r="G145">
        <f>Guide!$B$2-C145</f>
        <v/>
      </c>
      <c r="H145">
        <f>IF(G145="","",IF(G145&lt;=30,"0-30",IF(G145&lt;=60,"31-60",IF(G145&lt;=90,"61-90","90+"))))</f>
        <v/>
      </c>
    </row>
    <row r="146">
      <c r="A146" t="inlineStr">
        <is>
          <t>S-00383</t>
        </is>
      </c>
      <c r="B146" t="inlineStr">
        <is>
          <t>Purnia Fashion Hub</t>
        </is>
      </c>
      <c r="C146" s="4" t="n">
        <v>46295</v>
      </c>
      <c r="D146" s="5" t="n">
        <v>74372.17</v>
      </c>
      <c r="E146" s="5" t="n">
        <v>0</v>
      </c>
      <c r="F146" s="5">
        <f>D146-E146</f>
        <v/>
      </c>
      <c r="G146">
        <f>Guide!$B$2-C146</f>
        <v/>
      </c>
      <c r="H146">
        <f>IF(G146="","",IF(G146&lt;=30,"0-30",IF(G146&lt;=60,"31-60",IF(G146&lt;=90,"61-90","90+"))))</f>
        <v/>
      </c>
    </row>
    <row r="147">
      <c r="A147" t="inlineStr">
        <is>
          <t>S-00385</t>
        </is>
      </c>
      <c r="B147" t="inlineStr">
        <is>
          <t>Kumkum Saree Sadan</t>
        </is>
      </c>
      <c r="C147" s="4" t="n">
        <v>46282</v>
      </c>
      <c r="D147" s="5" t="n">
        <v>67549.47</v>
      </c>
      <c r="E147" s="5" t="n">
        <v>0</v>
      </c>
      <c r="F147" s="5">
        <f>D147-E147</f>
        <v/>
      </c>
      <c r="G147">
        <f>Guide!$B$2-C147</f>
        <v/>
      </c>
      <c r="H147">
        <f>IF(G147="","",IF(G147&lt;=30,"0-30",IF(G147&lt;=60,"31-60",IF(G147&lt;=90,"61-90","90+"))))</f>
        <v/>
      </c>
    </row>
    <row r="148">
      <c r="A148" t="inlineStr">
        <is>
          <t>S-00386</t>
        </is>
      </c>
      <c r="B148" t="inlineStr">
        <is>
          <t>Bhagalpur Silk Centre</t>
        </is>
      </c>
      <c r="C148" s="4" t="n">
        <v>46289</v>
      </c>
      <c r="D148" s="5" t="n">
        <v>40800.35</v>
      </c>
      <c r="E148" s="5" t="n">
        <v>0</v>
      </c>
      <c r="F148" s="5">
        <f>D148-E148</f>
        <v/>
      </c>
      <c r="G148">
        <f>Guide!$B$2-C148</f>
        <v/>
      </c>
      <c r="H148">
        <f>IF(G148="","",IF(G148&lt;=30,"0-30",IF(G148&lt;=60,"31-60",IF(G148&lt;=90,"61-90","90+"))))</f>
        <v/>
      </c>
    </row>
    <row r="149">
      <c r="A149" t="inlineStr">
        <is>
          <t>S-00387</t>
        </is>
      </c>
      <c r="B149" t="inlineStr">
        <is>
          <t>Gaya Textile Traders</t>
        </is>
      </c>
      <c r="C149" s="4" t="n">
        <v>46291</v>
      </c>
      <c r="D149" s="5" t="n">
        <v>40413.03</v>
      </c>
      <c r="E149" s="5" t="n">
        <v>0</v>
      </c>
      <c r="F149" s="5">
        <f>D149-E149</f>
        <v/>
      </c>
      <c r="G149">
        <f>Guide!$B$2-C149</f>
        <v/>
      </c>
      <c r="H149">
        <f>IF(G149="","",IF(G149&lt;=30,"0-30",IF(G149&lt;=60,"31-60",IF(G149&lt;=90,"61-90","90+"))))</f>
        <v/>
      </c>
    </row>
    <row r="150">
      <c r="A150" t="inlineStr">
        <is>
          <t>S-00388</t>
        </is>
      </c>
      <c r="B150" t="inlineStr">
        <is>
          <t>Arrah Garment Plaza</t>
        </is>
      </c>
      <c r="C150" s="4" t="n">
        <v>46271</v>
      </c>
      <c r="D150" s="5" t="n">
        <v>64742.88</v>
      </c>
      <c r="E150" s="5" t="n">
        <v>43085.69</v>
      </c>
      <c r="F150" s="5">
        <f>D150-E150</f>
        <v/>
      </c>
      <c r="G150">
        <f>Guide!$B$2-C150</f>
        <v/>
      </c>
      <c r="H150">
        <f>IF(G150="","",IF(G150&lt;=30,"0-30",IF(G150&lt;=60,"31-60",IF(G150&lt;=90,"61-90","90+"))))</f>
        <v/>
      </c>
    </row>
    <row r="151">
      <c r="A151" t="inlineStr">
        <is>
          <t>S-00389</t>
        </is>
      </c>
      <c r="B151" t="inlineStr">
        <is>
          <t>Bhagalpur Silk Centre</t>
        </is>
      </c>
      <c r="C151" s="4" t="n">
        <v>46282</v>
      </c>
      <c r="D151" s="5" t="n">
        <v>41369.2</v>
      </c>
      <c r="E151" s="5" t="n">
        <v>0</v>
      </c>
      <c r="F151" s="5">
        <f>D151-E151</f>
        <v/>
      </c>
      <c r="G151">
        <f>Guide!$B$2-C151</f>
        <v/>
      </c>
      <c r="H151">
        <f>IF(G151="","",IF(G151&lt;=30,"0-30",IF(G151&lt;=60,"31-60",IF(G151&lt;=90,"61-90","90+"))))</f>
        <v/>
      </c>
    </row>
    <row r="152">
      <c r="A152" t="inlineStr">
        <is>
          <t>S-00390</t>
        </is>
      </c>
      <c r="B152" t="inlineStr">
        <is>
          <t>Kumkum Saree Sadan</t>
        </is>
      </c>
      <c r="C152" s="4" t="n">
        <v>46271</v>
      </c>
      <c r="D152" s="5" t="n">
        <v>45101.68</v>
      </c>
      <c r="E152" s="5" t="n">
        <v>0</v>
      </c>
      <c r="F152" s="5">
        <f>D152-E152</f>
        <v/>
      </c>
      <c r="G152">
        <f>Guide!$B$2-C152</f>
        <v/>
      </c>
      <c r="H152">
        <f>IF(G152="","",IF(G152&lt;=30,"0-30",IF(G152&lt;=60,"31-60",IF(G152&lt;=90,"61-90","90+"))))</f>
        <v/>
      </c>
    </row>
    <row r="153">
      <c r="A153" t="inlineStr">
        <is>
          <t>S-00391</t>
        </is>
      </c>
      <c r="B153" t="inlineStr">
        <is>
          <t>Lakshmi Cloth Store</t>
        </is>
      </c>
      <c r="C153" s="4" t="n">
        <v>46271</v>
      </c>
      <c r="D153" s="5" t="n">
        <v>45874.07</v>
      </c>
      <c r="E153" s="5" t="n">
        <v>0</v>
      </c>
      <c r="F153" s="5">
        <f>D153-E153</f>
        <v/>
      </c>
      <c r="G153">
        <f>Guide!$B$2-C153</f>
        <v/>
      </c>
      <c r="H153">
        <f>IF(G153="","",IF(G153&lt;=30,"0-30",IF(G153&lt;=60,"31-60",IF(G153&lt;=90,"61-90","90+"))))</f>
        <v/>
      </c>
    </row>
    <row r="154">
      <c r="A154" t="inlineStr">
        <is>
          <t>S-00392</t>
        </is>
      </c>
      <c r="B154" t="inlineStr">
        <is>
          <t>Patna Fashion House</t>
        </is>
      </c>
      <c r="C154" s="4" t="n">
        <v>46295</v>
      </c>
      <c r="D154" s="5" t="n">
        <v>44147.24</v>
      </c>
      <c r="E154" s="5" t="n">
        <v>0</v>
      </c>
      <c r="F154" s="5">
        <f>D154-E154</f>
        <v/>
      </c>
      <c r="G154">
        <f>Guide!$B$2-C154</f>
        <v/>
      </c>
      <c r="H154">
        <f>IF(G154="","",IF(G154&lt;=30,"0-30",IF(G154&lt;=60,"31-60",IF(G154&lt;=90,"61-90","90+"))))</f>
        <v/>
      </c>
    </row>
    <row r="155">
      <c r="A155" t="inlineStr">
        <is>
          <t>S-00393</t>
        </is>
      </c>
      <c r="B155" t="inlineStr">
        <is>
          <t>Kumkum Saree Sadan</t>
        </is>
      </c>
      <c r="C155" s="4" t="n">
        <v>46294</v>
      </c>
      <c r="D155" s="5" t="n">
        <v>22137.57</v>
      </c>
      <c r="E155" s="5" t="n">
        <v>0</v>
      </c>
      <c r="F155" s="5">
        <f>D155-E155</f>
        <v/>
      </c>
      <c r="G155">
        <f>Guide!$B$2-C155</f>
        <v/>
      </c>
      <c r="H155">
        <f>IF(G155="","",IF(G155&lt;=30,"0-30",IF(G155&lt;=60,"31-60",IF(G155&lt;=90,"61-90","90+"))))</f>
        <v/>
      </c>
    </row>
    <row r="156">
      <c r="A156" t="inlineStr">
        <is>
          <t>S-00394</t>
        </is>
      </c>
      <c r="B156" t="inlineStr">
        <is>
          <t>Lakshmi Cloth Store</t>
        </is>
      </c>
      <c r="C156" s="4" t="n">
        <v>46291</v>
      </c>
      <c r="D156" s="5" t="n">
        <v>87940.64999999999</v>
      </c>
      <c r="E156" s="5" t="n">
        <v>0</v>
      </c>
      <c r="F156" s="5">
        <f>D156-E156</f>
        <v/>
      </c>
      <c r="G156">
        <f>Guide!$B$2-C156</f>
        <v/>
      </c>
      <c r="H156">
        <f>IF(G156="","",IF(G156&lt;=30,"0-30",IF(G156&lt;=60,"31-60",IF(G156&lt;=90,"61-90","90+"))))</f>
        <v/>
      </c>
    </row>
    <row r="157">
      <c r="A157" t="inlineStr">
        <is>
          <t>S-00396</t>
        </is>
      </c>
      <c r="B157" t="inlineStr">
        <is>
          <t>Arrah Garment Plaza</t>
        </is>
      </c>
      <c r="C157" s="4" t="n">
        <v>46291</v>
      </c>
      <c r="D157" s="5" t="n">
        <v>76154.06</v>
      </c>
      <c r="E157" s="5" t="n">
        <v>0</v>
      </c>
      <c r="F157" s="5">
        <f>D157-E157</f>
        <v/>
      </c>
      <c r="G157">
        <f>Guide!$B$2-C157</f>
        <v/>
      </c>
      <c r="H157">
        <f>IF(G157="","",IF(G157&lt;=30,"0-30",IF(G157&lt;=60,"31-60",IF(G157&lt;=90,"61-90","90+"))))</f>
        <v/>
      </c>
    </row>
    <row r="158">
      <c r="A158" t="inlineStr">
        <is>
          <t>P-00192</t>
        </is>
      </c>
      <c r="B158" t="inlineStr">
        <is>
          <t>Delhi Fabric Suppliers</t>
        </is>
      </c>
      <c r="C158" s="4" t="n">
        <v>46287</v>
      </c>
      <c r="D158" s="5" t="n">
        <v>67172.10000000001</v>
      </c>
      <c r="E158" s="5" t="n">
        <v>0</v>
      </c>
      <c r="F158" s="5">
        <f>D158-E158</f>
        <v/>
      </c>
      <c r="G158">
        <f>Guide!$B$2-C158</f>
        <v/>
      </c>
      <c r="H158">
        <f>IF(G158="","",IF(G158&lt;=30,"0-30",IF(G158&lt;=60,"31-60",IF(G158&lt;=90,"61-90","90+"))))</f>
        <v/>
      </c>
    </row>
    <row r="159">
      <c r="A159" t="inlineStr">
        <is>
          <t>P-00194</t>
        </is>
      </c>
      <c r="B159" t="inlineStr">
        <is>
          <t>Ludhiana Knitwear Co</t>
        </is>
      </c>
      <c r="C159" s="4" t="n">
        <v>46292</v>
      </c>
      <c r="D159" s="5" t="n">
        <v>49464.11</v>
      </c>
      <c r="E159" s="5" t="n">
        <v>0</v>
      </c>
      <c r="F159" s="5">
        <f>D159-E159</f>
        <v/>
      </c>
      <c r="G159">
        <f>Guide!$B$2-C159</f>
        <v/>
      </c>
      <c r="H159">
        <f>IF(G159="","",IF(G159&lt;=30,"0-30",IF(G159&lt;=60,"31-60",IF(G159&lt;=90,"61-90","90+"))))</f>
        <v/>
      </c>
    </row>
    <row r="160">
      <c r="A160" t="inlineStr">
        <is>
          <t>P-00195</t>
        </is>
      </c>
      <c r="B160" t="inlineStr">
        <is>
          <t>Tiruppur Garment Works</t>
        </is>
      </c>
      <c r="C160" s="4" t="n">
        <v>46288</v>
      </c>
      <c r="D160" s="5" t="n">
        <v>106812</v>
      </c>
      <c r="E160" s="5" t="n">
        <v>0</v>
      </c>
      <c r="F160" s="5">
        <f>D160-E160</f>
        <v/>
      </c>
      <c r="G160">
        <f>Guide!$B$2-C160</f>
        <v/>
      </c>
      <c r="H160">
        <f>IF(G160="","",IF(G160&lt;=30,"0-30",IF(G160&lt;=60,"31-60",IF(G160&lt;=90,"61-90","90+"))))</f>
        <v/>
      </c>
    </row>
    <row r="161">
      <c r="A161" t="inlineStr">
        <is>
          <t>P-00196</t>
        </is>
      </c>
      <c r="B161" t="inlineStr">
        <is>
          <t>Jaipur Print Works</t>
        </is>
      </c>
      <c r="C161" s="4" t="n">
        <v>46279</v>
      </c>
      <c r="D161" s="5" t="n">
        <v>94010.88</v>
      </c>
      <c r="E161" s="5" t="n">
        <v>0</v>
      </c>
      <c r="F161" s="5">
        <f>D161-E161</f>
        <v/>
      </c>
      <c r="G161">
        <f>Guide!$B$2-C161</f>
        <v/>
      </c>
      <c r="H161">
        <f>IF(G161="","",IF(G161&lt;=30,"0-30",IF(G161&lt;=60,"31-60",IF(G161&lt;=90,"61-90","90+"))))</f>
        <v/>
      </c>
    </row>
    <row r="162">
      <c r="A162" t="inlineStr">
        <is>
          <t>P-00197</t>
        </is>
      </c>
      <c r="B162" t="inlineStr">
        <is>
          <t>Tiruppur Garment Works</t>
        </is>
      </c>
      <c r="C162" s="4" t="n">
        <v>46290</v>
      </c>
      <c r="D162" s="5" t="n">
        <v>77363.69</v>
      </c>
      <c r="E162" s="5" t="n">
        <v>0</v>
      </c>
      <c r="F162" s="5">
        <f>D162-E162</f>
        <v/>
      </c>
      <c r="G162">
        <f>Guide!$B$2-C162</f>
        <v/>
      </c>
      <c r="H162">
        <f>IF(G162="","",IF(G162&lt;=30,"0-30",IF(G162&lt;=60,"31-60",IF(G162&lt;=90,"61-90","90+"))))</f>
        <v/>
      </c>
    </row>
    <row r="163">
      <c r="A163" t="inlineStr">
        <is>
          <t>P-00199</t>
        </is>
      </c>
      <c r="B163" t="inlineStr">
        <is>
          <t>Jaipur Print Works</t>
        </is>
      </c>
      <c r="C163" s="4" t="n">
        <v>46286</v>
      </c>
      <c r="D163" s="5" t="n">
        <v>39580.87</v>
      </c>
      <c r="E163" s="5" t="n">
        <v>0</v>
      </c>
      <c r="F163" s="5">
        <f>D163-E163</f>
        <v/>
      </c>
      <c r="G163">
        <f>Guide!$B$2-C163</f>
        <v/>
      </c>
      <c r="H163">
        <f>IF(G163="","",IF(G163&lt;=30,"0-30",IF(G163&lt;=60,"31-60",IF(G163&lt;=90,"61-90","90+"))))</f>
        <v/>
      </c>
    </row>
    <row r="164">
      <c r="A164" t="inlineStr">
        <is>
          <t>P-00200</t>
        </is>
      </c>
      <c r="B164" t="inlineStr">
        <is>
          <t>Tiruppur Garment Works</t>
        </is>
      </c>
      <c r="C164" s="4" t="n">
        <v>46293</v>
      </c>
      <c r="D164" s="5" t="n">
        <v>101273.16</v>
      </c>
      <c r="E164" s="5" t="n">
        <v>0</v>
      </c>
      <c r="F164" s="5">
        <f>D164-E164</f>
        <v/>
      </c>
      <c r="G164">
        <f>Guide!$B$2-C164</f>
        <v/>
      </c>
      <c r="H164">
        <f>IF(G164="","",IF(G164&lt;=30,"0-30",IF(G164&lt;=60,"31-60",IF(G164&lt;=90,"61-90","90+"))))</f>
        <v/>
      </c>
    </row>
    <row r="165">
      <c r="A165" t="inlineStr">
        <is>
          <t>P-00202</t>
        </is>
      </c>
      <c r="B165" t="inlineStr">
        <is>
          <t>Jaipur Print Works</t>
        </is>
      </c>
      <c r="C165" s="4" t="n">
        <v>46288</v>
      </c>
      <c r="D165" s="5" t="n">
        <v>112760.59</v>
      </c>
      <c r="E165" s="5" t="n">
        <v>0</v>
      </c>
      <c r="F165" s="5">
        <f>D165-E165</f>
        <v/>
      </c>
      <c r="G165">
        <f>Guide!$B$2-C165</f>
        <v/>
      </c>
      <c r="H165">
        <f>IF(G165="","",IF(G165&lt;=30,"0-30",IF(G165&lt;=60,"31-60",IF(G165&lt;=90,"61-90","90+"))))</f>
        <v/>
      </c>
    </row>
    <row r="166">
      <c r="A166" t="inlineStr">
        <is>
          <t>P-00203</t>
        </is>
      </c>
      <c r="B166" t="inlineStr">
        <is>
          <t>Tiruppur Garment Works</t>
        </is>
      </c>
      <c r="C166" s="4" t="n">
        <v>46284</v>
      </c>
      <c r="D166" s="5" t="n">
        <v>47582.83</v>
      </c>
      <c r="E166" s="5" t="n">
        <v>0</v>
      </c>
      <c r="F166" s="5">
        <f>D166-E166</f>
        <v/>
      </c>
      <c r="G166">
        <f>Guide!$B$2-C166</f>
        <v/>
      </c>
      <c r="H166">
        <f>IF(G166="","",IF(G166&lt;=30,"0-30",IF(G166&lt;=60,"31-60",IF(G166&lt;=90,"61-90","90+"))))</f>
        <v/>
      </c>
    </row>
    <row r="167">
      <c r="A167" t="inlineStr">
        <is>
          <t>P-00204</t>
        </is>
      </c>
      <c r="B167" t="inlineStr">
        <is>
          <t>Delhi Fabric Suppliers</t>
        </is>
      </c>
      <c r="C167" s="4" t="n">
        <v>46284</v>
      </c>
      <c r="D167" s="5" t="n">
        <v>92133.89999999999</v>
      </c>
      <c r="E167" s="5" t="n">
        <v>0</v>
      </c>
      <c r="F167" s="5">
        <f>D167-E167</f>
        <v/>
      </c>
      <c r="G167">
        <f>Guide!$B$2-C167</f>
        <v/>
      </c>
      <c r="H167">
        <f>IF(G167="","",IF(G167&lt;=30,"0-30",IF(G167&lt;=60,"31-60",IF(G167&lt;=90,"61-90","90+"))))</f>
        <v/>
      </c>
    </row>
    <row r="168">
      <c r="A168" t="inlineStr">
        <is>
          <t>P-00205</t>
        </is>
      </c>
      <c r="B168" t="inlineStr">
        <is>
          <t>Surat Textile Mills</t>
        </is>
      </c>
      <c r="C168" s="4" t="n">
        <v>46288</v>
      </c>
      <c r="D168" s="5" t="n">
        <v>85701.13</v>
      </c>
      <c r="E168" s="5" t="n">
        <v>0</v>
      </c>
      <c r="F168" s="5">
        <f>D168-E168</f>
        <v/>
      </c>
      <c r="G168">
        <f>Guide!$B$2-C168</f>
        <v/>
      </c>
      <c r="H168">
        <f>IF(G168="","",IF(G168&lt;=30,"0-30",IF(G168&lt;=60,"31-60",IF(G168&lt;=90,"61-90","90+"))))</f>
        <v/>
      </c>
    </row>
    <row r="169">
      <c r="A169" t="inlineStr">
        <is>
          <t>P-00206</t>
        </is>
      </c>
      <c r="B169" t="inlineStr">
        <is>
          <t>Ludhiana Knitwear Co</t>
        </is>
      </c>
      <c r="C169" s="4" t="n">
        <v>46295</v>
      </c>
      <c r="D169" s="5" t="n">
        <v>81581.64</v>
      </c>
      <c r="E169" s="5" t="n">
        <v>0</v>
      </c>
      <c r="F169" s="5">
        <f>D169-E169</f>
        <v/>
      </c>
      <c r="G169">
        <f>Guide!$B$2-C169</f>
        <v/>
      </c>
      <c r="H169">
        <f>IF(G169="","",IF(G169&lt;=30,"0-30",IF(G169&lt;=60,"31-60",IF(G169&lt;=90,"61-90","90+"))))</f>
        <v/>
      </c>
    </row>
    <row r="170">
      <c r="A170" t="inlineStr">
        <is>
          <t>P-00207</t>
        </is>
      </c>
      <c r="B170" t="inlineStr">
        <is>
          <t>Delhi Fabric Suppliers</t>
        </is>
      </c>
      <c r="C170" s="4" t="n">
        <v>46292</v>
      </c>
      <c r="D170" s="5" t="n">
        <v>25456.38</v>
      </c>
      <c r="E170" s="5" t="n">
        <v>0</v>
      </c>
      <c r="F170" s="5">
        <f>D170-E170</f>
        <v/>
      </c>
      <c r="G170">
        <f>Guide!$B$2-C170</f>
        <v/>
      </c>
      <c r="H170">
        <f>IF(G170="","",IF(G170&lt;=30,"0-30",IF(G170&lt;=60,"31-60",IF(G170&lt;=90,"61-90","90+"))))</f>
        <v/>
      </c>
    </row>
    <row r="171">
      <c r="A171" t="inlineStr">
        <is>
          <t>P-00210</t>
        </is>
      </c>
      <c r="B171" t="inlineStr">
        <is>
          <t>Kolkata Hosiery House</t>
        </is>
      </c>
      <c r="C171" s="4" t="n">
        <v>46285</v>
      </c>
      <c r="D171" s="5" t="n">
        <v>105878.51</v>
      </c>
      <c r="E171" s="5" t="n">
        <v>0</v>
      </c>
      <c r="F171" s="5">
        <f>D171-E171</f>
        <v/>
      </c>
      <c r="G171">
        <f>Guide!$B$2-C171</f>
        <v/>
      </c>
      <c r="H171">
        <f>IF(G171="","",IF(G171&lt;=30,"0-30",IF(G171&lt;=60,"31-60",IF(G171&lt;=90,"61-90","90+"))))</f>
        <v/>
      </c>
    </row>
    <row r="172">
      <c r="A172" t="inlineStr">
        <is>
          <t>P-00211</t>
        </is>
      </c>
      <c r="B172" t="inlineStr">
        <is>
          <t>Ludhiana Knitwear Co</t>
        </is>
      </c>
      <c r="C172" s="4" t="n">
        <v>46281</v>
      </c>
      <c r="D172" s="5" t="n">
        <v>108046.35</v>
      </c>
      <c r="E172" s="5" t="n">
        <v>0</v>
      </c>
      <c r="F172" s="5">
        <f>D172-E172</f>
        <v/>
      </c>
      <c r="G172">
        <f>Guide!$B$2-C172</f>
        <v/>
      </c>
      <c r="H172">
        <f>IF(G172="","",IF(G172&lt;=30,"0-30",IF(G172&lt;=60,"31-60",IF(G172&lt;=90,"61-90","90+"))))</f>
        <v/>
      </c>
    </row>
    <row r="173">
      <c r="A173" t="inlineStr">
        <is>
          <t>E-00172</t>
        </is>
      </c>
      <c r="B173" t="inlineStr">
        <is>
          <t>Various</t>
        </is>
      </c>
      <c r="C173" s="4" t="n">
        <v>46292</v>
      </c>
      <c r="D173" s="5" t="n">
        <v>3567.05</v>
      </c>
      <c r="E173" s="5" t="n">
        <v>0</v>
      </c>
      <c r="F173" s="5">
        <f>D173-E173</f>
        <v/>
      </c>
      <c r="G173">
        <f>Guide!$B$2-C173</f>
        <v/>
      </c>
      <c r="H173">
        <f>IF(G173="","",IF(G173&lt;=30,"0-30",IF(G173&lt;=60,"31-60",IF(G173&lt;=90,"61-90","90+"))))</f>
        <v/>
      </c>
    </row>
  </sheetData>
  <autoFilter ref="A3:H17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</cols>
  <sheetData>
    <row r="1">
      <c r="A1" s="1" t="inlineStr">
        <is>
          <t>Dashboard — KPIs (all formula-linked)</t>
        </is>
      </c>
    </row>
    <row r="3">
      <c r="A3" s="7" t="inlineStr">
        <is>
          <t>FY revenue</t>
        </is>
      </c>
      <c r="B3" s="10">
        <f>'P&amp;L'!N6</f>
        <v/>
      </c>
    </row>
    <row r="4">
      <c r="A4" s="7" t="inlineStr">
        <is>
          <t>FY net profit</t>
        </is>
      </c>
      <c r="B4" s="10">
        <f>'P&amp;L'!N17</f>
        <v/>
      </c>
    </row>
    <row r="5">
      <c r="A5" s="7" t="inlineStr">
        <is>
          <t>Net margin</t>
        </is>
      </c>
      <c r="B5" s="11">
        <f>'P&amp;L'!N19</f>
        <v/>
      </c>
    </row>
    <row r="6">
      <c r="A6" s="7" t="inlineStr">
        <is>
          <t>Receivables outstanding</t>
        </is>
      </c>
      <c r="B6" s="10">
        <f>Receivables!K7</f>
        <v/>
      </c>
    </row>
    <row r="7">
      <c r="A7" s="7" t="inlineStr">
        <is>
          <t>Avg collection days</t>
        </is>
      </c>
      <c r="B7" s="12">
        <f>Receivables!K9</f>
        <v/>
      </c>
    </row>
    <row r="8">
      <c r="A8" s="7" t="inlineStr">
        <is>
          <t>Closing cash balance</t>
        </is>
      </c>
      <c r="B8" s="10">
        <f>'CashFlow'!N7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95" customWidth="1" min="1" max="1"/>
    <col width="16" customWidth="1" min="2" max="2"/>
  </cols>
  <sheetData>
    <row r="1">
      <c r="A1" s="1" t="inlineStr">
        <is>
          <t>AI_Report — rule-based narrative (recalculates with the data)</t>
        </is>
      </c>
    </row>
    <row r="3">
      <c r="A3" s="7" t="inlineStr">
        <is>
          <t>Key findings</t>
        </is>
      </c>
    </row>
    <row r="4">
      <c r="B4" s="5">
        <f>B5+B6</f>
        <v/>
      </c>
    </row>
    <row r="5" ht="22" customHeight="1">
      <c r="A5" s="13">
        <f>"FY revenue was "&amp;TEXT(B4,"#,##0")&amp;", H2 vs H1: "&amp;TEXT(B7,"0.0%")&amp;". Best month: "&amp;TEXT(B8,"mmm-yy")&amp;". Net margin "&amp;TEXT(B12,"0.0%")&amp;"."</f>
        <v/>
      </c>
      <c r="B5" s="5">
        <f>SUM('P&amp;L'!B6:G6)</f>
        <v/>
      </c>
    </row>
    <row r="6" ht="22" customHeight="1">
      <c r="A6" s="7" t="inlineStr">
        <is>
          <t>Flags</t>
        </is>
      </c>
      <c r="B6" s="5">
        <f>SUM('P&amp;L'!H6:M6)</f>
        <v/>
      </c>
    </row>
    <row r="7" ht="22" customHeight="1">
      <c r="A7" s="13">
        <f>IF(B9&gt;0.15,"⚠ Receivables are "&amp;TEXT(B9,"0%")&amp;" of revenue — tighten collections","✓ Receivables at "&amp;TEXT(B9,"0%")&amp;" of revenue")</f>
        <v/>
      </c>
      <c r="B7" s="8">
        <f>IF(B5=0,0,(B6-B5)/B5)</f>
        <v/>
      </c>
    </row>
    <row r="8" ht="22" customHeight="1">
      <c r="A8" s="13">
        <f>IF(B12&lt;0.08,"⚠ Net margin "&amp;TEXT(B12,"0.0%")&amp;" is thin — review pricing or costs","✓ Net margin healthy at "&amp;TEXT(B12,"0.0%"))</f>
        <v/>
      </c>
      <c r="B8" s="5">
        <f>INDEX('P&amp;L'!B2:M2,MATCH(MAX('P&amp;L'!B6:M6),'P&amp;L'!B6:M6,0))</f>
        <v/>
      </c>
    </row>
    <row r="9" ht="22" customHeight="1">
      <c r="A9" s="13">
        <f>IF(B10&gt;0.25,"⚠ "&amp;TEXT(B10,"0%")&amp;" of receivables are 61+ days overdue — prioritise recovery","✓ Overdue 61+ days under control")</f>
        <v/>
      </c>
      <c r="B9" s="8">
        <f>Receivables!K7/'P&amp;L'!N6</f>
        <v/>
      </c>
    </row>
    <row r="10" ht="22" customHeight="1">
      <c r="A10" s="13">
        <f>IF(B11&lt;0,"⚠ Cash went negative intra-year (lowest "&amp;TEXT(B11,"#,##0")&amp;") — arrange a buffer","✓ Cash stayed positive all year")</f>
        <v/>
      </c>
      <c r="B10" s="8">
        <f>Receivables!K10/Receivables!K7</f>
        <v/>
      </c>
    </row>
    <row r="11" ht="22" customHeight="1">
      <c r="A11" s="13">
        <f>IF(B13&gt;45,"⚠ Avg collection "&amp;TEXT(B13,"0")&amp;" days — slower than 45-day terms","✓ Avg collection "&amp;TEXT(B13,"0")&amp;" days")</f>
        <v/>
      </c>
      <c r="B11" s="5">
        <f>MIN('CashFlow'!B7:M7)</f>
        <v/>
      </c>
    </row>
    <row r="12" ht="22" customHeight="1">
      <c r="A12" s="13">
        <f>IF(B14&gt;0.5,"⚠ One category is "&amp;TEXT(B14,"0%")&amp;" of revenue — concentration risk","✓ Revenue spread across categories")</f>
        <v/>
      </c>
      <c r="B12" s="8">
        <f>'P&amp;L'!N19</f>
        <v/>
      </c>
    </row>
    <row r="13" ht="22" customHeight="1">
      <c r="A13" s="13">
        <f>IF('P&amp;L'!N22&gt;0,"ℹ Net GST payable for the year: "&amp;TEXT('P&amp;L'!N22,"#,##0"),"ℹ Net GST credit for the year")</f>
        <v/>
      </c>
      <c r="B13" s="14">
        <f>Receivables!K9</f>
        <v/>
      </c>
    </row>
    <row r="14" ht="22" customHeight="1">
      <c r="A14" s="13">
        <f>IF(B7&gt;0,"✓ H2 revenue momentum positive","⚠ H2 revenue declined vs H1 — investigate demand")</f>
        <v/>
      </c>
      <c r="B14" s="8">
        <f>MAX('P&amp;L'!N3:N5)/'P&amp;L'!N6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</cols>
  <sheetData>
    <row r="1">
      <c r="A1" s="1" t="inlineStr">
        <is>
          <t>Checks — all must be TRUE after recalculation</t>
        </is>
      </c>
    </row>
    <row r="2">
      <c r="A2" s="3" t="inlineStr">
        <is>
          <t>Check</t>
        </is>
      </c>
      <c r="B2" s="3" t="inlineStr">
        <is>
          <t>Result</t>
        </is>
      </c>
    </row>
    <row r="3">
      <c r="A3" t="inlineStr">
        <is>
          <t>P&amp;L FY revenue = SUM of raw SALES amounts</t>
        </is>
      </c>
      <c r="B3" s="7">
        <f>ABS('P&amp;L'!N6-SUMIFS(Raw_Invoices!$F:$F,Raw_Invoices!$D:$D,"SALES"))&lt;0.01</f>
        <v/>
      </c>
    </row>
    <row r="4">
      <c r="A4" t="inlineStr">
        <is>
          <t>Gross profit = revenue − COGS</t>
        </is>
      </c>
      <c r="B4" s="7">
        <f>ABS('P&amp;L'!N8-('P&amp;L'!N6-'P&amp;L'!N7))&lt;0.01</f>
        <v/>
      </c>
    </row>
    <row r="5">
      <c r="A5" t="inlineStr">
        <is>
          <t>Net profit = gross profit − total expenses</t>
        </is>
      </c>
      <c r="B5" s="7">
        <f>ABS('P&amp;L'!N17-('P&amp;L'!N8-'P&amp;L'!N16))&lt;0.01</f>
        <v/>
      </c>
    </row>
    <row r="6">
      <c r="A6" t="inlineStr">
        <is>
          <t>CashFlow receipts FY = SUM of raw SALES payments</t>
        </is>
      </c>
      <c r="B6" s="7">
        <f>ABS('CashFlow'!N3-SUMIFS(Raw_Payments!$F:$F,Raw_Payments!$C:$C,"SALES"))&lt;0.01</f>
        <v/>
      </c>
    </row>
    <row r="7">
      <c r="A7" t="inlineStr">
        <is>
          <t>Closing cash = last month cumulative</t>
        </is>
      </c>
      <c r="B7" s="7">
        <f>ABS('CashFlow'!N7-'CashFlow'!M7)&lt;0.01</f>
        <v/>
      </c>
    </row>
    <row r="8">
      <c r="A8" t="inlineStr">
        <is>
          <t>Aging buckets sum = total outstanding</t>
        </is>
      </c>
      <c r="B8" s="7">
        <f>ABS(Receivables!K7-SUM(Receivables!K3:K6))&lt;0.01</f>
        <v/>
      </c>
    </row>
    <row r="9">
      <c r="A9" t="inlineStr">
        <is>
          <t>No negative balances in Raw_Invoices</t>
        </is>
      </c>
      <c r="B9" s="7">
        <f>COUNTIFS(Raw_Invoices!$L:$L,"&lt;0")=0</f>
        <v/>
      </c>
    </row>
    <row r="10">
      <c r="A10" t="inlineStr">
        <is>
          <t>No paid_amount exceeding invoice total</t>
        </is>
      </c>
      <c r="B10" s="7">
        <f>SUMPRODUCT((Raw_Invoices!$J$2:$J$788&gt;Raw_Invoices!$I$2:$I$788)+0)=0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2026-10-18T02:53:19+00:00Z</dcterms:created>
  <dcterms:modified xmlns:dcterms="http://purl.org/dc/terms/" xmlns:xsi="http://www.w3.org/2001/XMLSchema-instance" xsi:type="dcterms:W3CDTF">2026-10-18T02:53:19+00:00Z</dcterms:modified>
</cp:coreProperties>
</file>