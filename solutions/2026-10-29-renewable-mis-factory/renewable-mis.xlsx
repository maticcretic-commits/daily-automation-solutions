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ites" sheetId="3" state="visible" r:id="rId3"/>
    <sheet xmlns:r="http://schemas.openxmlformats.org/officeDocument/2006/relationships" name="Raw_Plan" sheetId="4" state="visible" r:id="rId4"/>
    <sheet xmlns:r="http://schemas.openxmlformats.org/officeDocument/2006/relationships" name="Raw_Actual" sheetId="5" state="visible" r:id="rId5"/>
    <sheet xmlns:r="http://schemas.openxmlformats.org/officeDocument/2006/relationships" name="Monthly" sheetId="6" state="visible" r:id="rId6"/>
    <sheet xmlns:r="http://schemas.openxmlformats.org/officeDocument/2006/relationships" name="State" sheetId="7" state="visible" r:id="rId7"/>
    <sheet xmlns:r="http://schemas.openxmlformats.org/officeDocument/2006/relationships" name="Technology" sheetId="8" state="visible" r:id="rId8"/>
    <sheet xmlns:r="http://schemas.openxmlformats.org/officeDocument/2006/relationships" name="Checks" sheetId="9" state="visible" r:id="rId9"/>
  </sheets>
  <definedNames>
    <definedName name="_xlnm._FilterDatabase" localSheetId="2" hidden="1">'Sites'!$A$1:$F$18</definedName>
    <definedName name="_xlnm._FilterDatabase" localSheetId="3" hidden="1">'Raw_Plan'!$A$1:$G$120</definedName>
    <definedName name="_xlnm._FilterDatabase" localSheetId="4" hidden="1">'Raw_Actual'!$A$1:$L$120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F3864"/>
      <sz val="12"/>
    </font>
    <font>
      <color rgb="00000000"/>
      <sz val="11"/>
    </font>
    <font>
      <b val="1"/>
      <color rgb="00000000"/>
      <sz val="11"/>
    </font>
    <font>
      <b val="1"/>
      <color rgb="00FFFFFF"/>
    </font>
    <font>
      <b val="1"/>
    </font>
    <font>
      <b val="1"/>
      <color rgb="001F3864"/>
      <sz val="14"/>
    </font>
    <font>
      <i val="1"/>
      <color rgb="00595959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3" fontId="8" fillId="0" borderId="0" pivotButton="0" quotePrefix="0" xfId="0"/>
    <xf numFmtId="164" fontId="8" fillId="0" borderId="0" pivotButton="0" quotePrefix="0" xfId="0"/>
    <xf numFmtId="4" fontId="8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5" fillId="3" borderId="0" pivotButton="0" quotePrefix="0" xfId="0"/>
    <xf numFmtId="3" fontId="5" fillId="3" borderId="0" pivotButton="0" quotePrefix="0" xfId="0"/>
    <xf numFmtId="164" fontId="5" fillId="3" borderId="0" pivotButton="0" quotePrefix="0" xfId="0"/>
    <xf numFmtId="4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vs Actual Generation by Technology (MWh)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'Technology'!C1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'Technology'!$A$2:$A$5</f>
            </numRef>
          </cat>
          <val>
            <numRef>
              <f>'Technology'!$C$2:$C$5</f>
            </numRef>
          </val>
        </ser>
        <ser>
          <idx val="1"/>
          <order val="1"/>
          <tx>
            <strRef>
              <f>'Technology'!D1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'Technology'!$A$2:$A$5</f>
            </numRef>
          </cat>
          <val>
            <numRef>
              <f>'Technology'!$D$2:$D$5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Generation Mix by Technology</a:t>
            </a:r>
          </a:p>
        </rich>
      </tx>
    </title>
    <plotArea>
      <pieChart>
        <varyColors val="1"/>
        <ser>
          <idx val="0"/>
          <order val="0"/>
          <tx>
            <strRef>
              <f>'Technology'!D1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'Technology'!$A$2:$A$5</f>
            </numRef>
          </cat>
          <val>
            <numRef>
              <f>'Technology'!$D$2:$D$5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Generation Achievement %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'Monthly'!$A$2:$A$8</f>
            </numRef>
          </cat>
          <val>
            <numRef>
              <f>'Monthly'!$F$2:$F$8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Achievement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RenewableMIS — Monthly MIS: Actual vs Annual Operating Plan (AOP)</t>
        </is>
      </c>
    </row>
    <row r="2">
      <c r="A2" s="2" t="inlineStr">
        <is>
          <t>Demo workbook built around a renewable-energy MIS automation brief: a monthly</t>
        </is>
      </c>
    </row>
    <row r="3">
      <c r="A3" s="2" t="inlineStr">
        <is>
          <t>management report comparing generation and revenue actually achieved against</t>
        </is>
      </c>
    </row>
    <row r="4">
      <c r="A4" s="2" t="inlineStr">
        <is>
          <t>the Annual Operating Plan baseline, by site, state, technology and month.</t>
        </is>
      </c>
    </row>
    <row r="5">
      <c r="A5" s="2" t="inlineStr"/>
    </row>
    <row r="6">
      <c r="A6" s="3" t="inlineStr">
        <is>
          <t>HOW TO REFRESH (the automation this demo proves)</t>
        </is>
      </c>
    </row>
    <row r="7">
      <c r="A7" s="2" t="inlineStr">
        <is>
          <t>1. Drop next month's site generation/revenue export into Raw_Plan / Raw_Actual</t>
        </is>
      </c>
    </row>
    <row r="8">
      <c r="A8" s="2" t="inlineStr">
        <is>
          <t xml:space="preserve">   (same columns, one row per site-month). Extend the SUMIFS ranges below.</t>
        </is>
      </c>
    </row>
    <row r="9">
      <c r="A9" s="2" t="inlineStr">
        <is>
          <t>2. Monthly, State, Technology, Dashboard and Checks all recalculate — no</t>
        </is>
      </c>
    </row>
    <row r="10">
      <c r="A10" s="2" t="inlineStr">
        <is>
          <t xml:space="preserve">   hard-coded totals anywhere in the summary sheets.</t>
        </is>
      </c>
    </row>
    <row r="11">
      <c r="A11" s="2" t="inlineStr">
        <is>
          <t>3. In Power BI, point the model at the same two raw tables; see</t>
        </is>
      </c>
    </row>
    <row r="12">
      <c r="A12" s="2" t="inlineStr">
        <is>
          <t xml:space="preserve">   powerbi/MEASURES.md for the DAX equivalents of every KPI.</t>
        </is>
      </c>
    </row>
    <row r="13">
      <c r="A13" s="2" t="inlineStr"/>
    </row>
    <row r="14">
      <c r="A14" s="3" t="inlineStr">
        <is>
          <t>SHEET MAP</t>
        </is>
      </c>
    </row>
    <row r="15">
      <c r="A15" s="2" t="inlineStr">
        <is>
          <t>Dashboard — 10 headline KPIs + 3 charts (technology mix, monthly trend).</t>
        </is>
      </c>
    </row>
    <row r="16">
      <c r="A16" s="2" t="inlineStr">
        <is>
          <t>Monthly — planned vs actual by month, with availability from outage hours.</t>
        </is>
      </c>
    </row>
    <row r="17">
      <c r="A17" s="2" t="inlineStr">
        <is>
          <t>State — planned vs actual by state (9 Indian states + UAE + Singapore).</t>
        </is>
      </c>
    </row>
    <row r="18">
      <c r="A18" s="2" t="inlineStr">
        <is>
          <t>Technology — planned vs actual by Solar / Wind / Hybrid / Rooftop.</t>
        </is>
      </c>
    </row>
    <row r="19">
      <c r="A19" s="2" t="inlineStr">
        <is>
          <t>Sites — the 17-site portfolio: capacity (MW) and tariff (Rs/kWh).</t>
        </is>
      </c>
    </row>
    <row r="20">
      <c r="A20" s="2" t="inlineStr">
        <is>
          <t>Raw_Plan / Raw_Actual — one row per site-month; derived columns are formulas.</t>
        </is>
      </c>
    </row>
    <row r="21">
      <c r="A21" s="2" t="inlineStr">
        <is>
          <t>Checks — 8 integrity checks; every Status must read PASS.</t>
        </is>
      </c>
    </row>
    <row r="22">
      <c r="A22" s="2" t="inlineStr"/>
    </row>
    <row r="23">
      <c r="A23" s="3" t="inlineStr">
        <is>
          <t>DATA NOTE</t>
        </is>
      </c>
    </row>
    <row r="24">
      <c r="A24" s="2" t="inlineStr">
        <is>
          <t>All figures are fictional, generated deterministically (seed 20261029) for</t>
        </is>
      </c>
    </row>
    <row r="25">
      <c r="A25" s="2" t="inlineStr">
        <is>
          <t>this demo. Two documented events are baked in: heavy curtailment at Kutch</t>
        </is>
      </c>
    </row>
    <row r="26">
      <c r="A26" s="2" t="inlineStr">
        <is>
          <t>Wind Farm in Jul 2026 (18% of planned) and a 120-hour outage at Kamuthi</t>
        </is>
      </c>
    </row>
    <row r="27">
      <c r="A27" s="2" t="inlineStr">
        <is>
          <t>Solar Park in Sep 2026. Revenue is in Rs lakh (MWh x tariff / 100).</t>
        </is>
      </c>
    </row>
    <row r="28">
      <c r="A28" s="2" t="inlineStr">
        <is>
          <t>Availability % = 1 - outage hours / (sites x days x 24).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RenewableMIS — Portfolio Dashboard (Apr-Oct 2026)</t>
        </is>
      </c>
    </row>
    <row r="2">
      <c r="A2" s="5" t="inlineStr">
        <is>
          <t>All values are live formulas over Raw_Plan / Raw_Actual.</t>
        </is>
      </c>
    </row>
    <row r="3">
      <c r="A3" s="6" t="inlineStr">
        <is>
          <t>Sites in portfolio</t>
        </is>
      </c>
      <c r="B3" s="7">
        <f>COUNTA(Sites!$A$2:$A$18)</f>
        <v/>
      </c>
    </row>
    <row r="4">
      <c r="A4" s="6" t="inlineStr">
        <is>
          <t>Total Planned Generation (MWh)</t>
        </is>
      </c>
      <c r="B4" s="7">
        <f>SUM(Raw_Plan!$F$2:$F$120)</f>
        <v/>
      </c>
    </row>
    <row r="5">
      <c r="A5" s="6" t="inlineStr">
        <is>
          <t>Total Actual Generation (MWh)</t>
        </is>
      </c>
      <c r="B5" s="7">
        <f>SUM(Raw_Actual!$F$2:$F$120)</f>
        <v/>
      </c>
    </row>
    <row r="6">
      <c r="A6" s="6" t="inlineStr">
        <is>
          <t>Generation Achievement %</t>
        </is>
      </c>
      <c r="B6" s="8">
        <f>IF($B$4=0,"",$B$5/$B$4)</f>
        <v/>
      </c>
    </row>
    <row r="7">
      <c r="A7" s="6" t="inlineStr">
        <is>
          <t>Planned Revenue (Rs lakh)</t>
        </is>
      </c>
      <c r="B7" s="9">
        <f>SUM(Raw_Plan!$G$2:$G$120)</f>
        <v/>
      </c>
    </row>
    <row r="8">
      <c r="A8" s="6" t="inlineStr">
        <is>
          <t>Actual Revenue (Rs lakh)</t>
        </is>
      </c>
      <c r="B8" s="9">
        <f>SUM(Raw_Actual!$G$2:$G$120)</f>
        <v/>
      </c>
    </row>
    <row r="9">
      <c r="A9" s="6" t="inlineStr">
        <is>
          <t>Revenue Achievement %</t>
        </is>
      </c>
      <c r="B9" s="8">
        <f>IF($B$7=0,"",$B$8/$B$7)</f>
        <v/>
      </c>
    </row>
    <row r="10">
      <c r="A10" s="6" t="inlineStr">
        <is>
          <t>Curtailment (MWh)</t>
        </is>
      </c>
      <c r="B10" s="7">
        <f>SUM(Raw_Actual!$H$2:$H$120)</f>
        <v/>
      </c>
    </row>
    <row r="11">
      <c r="A11" s="6" t="inlineStr">
        <is>
          <t>Curtailment % of Planned</t>
        </is>
      </c>
      <c r="B11" s="8">
        <f>IF($B$4=0,"",$B$10/$B$4)</f>
        <v/>
      </c>
    </row>
    <row r="12">
      <c r="A12" s="6" t="inlineStr">
        <is>
          <t>Total Outage Hours</t>
        </is>
      </c>
      <c r="B12" s="7">
        <f>SUM(Raw_Actual!$I$2:$I$120)</f>
        <v/>
      </c>
    </row>
    <row r="13">
      <c r="A13" s="6" t="inlineStr">
        <is>
          <t>Weighted Availability %</t>
        </is>
      </c>
      <c r="B13" s="8">
        <f>1-$B$12/(COUNTA(Sites!$A$2:$A$18)*SUM(Monthly!$B$2:$B$8)*24)</f>
        <v/>
      </c>
    </row>
    <row r="14">
      <c r="A14" s="5" t="inlineStr">
        <is>
          <t>Charts below are wired to Technology / Monthly — they move with the raw data.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2" customWidth="1" min="4" max="4"/>
    <col width="13" customWidth="1" min="5" max="5"/>
    <col width="16" customWidth="1" min="6" max="6"/>
  </cols>
  <sheetData>
    <row r="1">
      <c r="A1" s="10" t="inlineStr">
        <is>
          <t>SiteID</t>
        </is>
      </c>
      <c r="B1" s="10" t="inlineStr">
        <is>
          <t>Site</t>
        </is>
      </c>
      <c r="C1" s="10" t="inlineStr">
        <is>
          <t>State</t>
        </is>
      </c>
      <c r="D1" s="10" t="inlineStr">
        <is>
          <t>Technology</t>
        </is>
      </c>
      <c r="E1" s="10" t="inlineStr">
        <is>
          <t>CapacityMW</t>
        </is>
      </c>
      <c r="F1" s="10" t="inlineStr">
        <is>
          <t>TariffRsPerKWh</t>
        </is>
      </c>
    </row>
    <row r="2">
      <c r="A2" t="inlineStr">
        <is>
          <t>S01</t>
        </is>
      </c>
      <c r="B2" t="inlineStr">
        <is>
          <t>Jodhpur Solar Park</t>
        </is>
      </c>
      <c r="C2" t="inlineStr">
        <is>
          <t>Rajasthan</t>
        </is>
      </c>
      <c r="D2" t="inlineStr">
        <is>
          <t>Solar</t>
        </is>
      </c>
      <c r="E2" t="n">
        <v>50</v>
      </c>
      <c r="F2" t="n">
        <v>2.95</v>
      </c>
    </row>
    <row r="3">
      <c r="A3" t="inlineStr">
        <is>
          <t>S02</t>
        </is>
      </c>
      <c r="B3" t="inlineStr">
        <is>
          <t>Kutch Solar Park</t>
        </is>
      </c>
      <c r="C3" t="inlineStr">
        <is>
          <t>Gujarat</t>
        </is>
      </c>
      <c r="D3" t="inlineStr">
        <is>
          <t>Solar</t>
        </is>
      </c>
      <c r="E3" t="n">
        <v>40</v>
      </c>
      <c r="F3" t="n">
        <v>2.85</v>
      </c>
    </row>
    <row r="4">
      <c r="A4" t="inlineStr">
        <is>
          <t>S03</t>
        </is>
      </c>
      <c r="B4" t="inlineStr">
        <is>
          <t>Solapur Solar Park</t>
        </is>
      </c>
      <c r="C4" t="inlineStr">
        <is>
          <t>Maharashtra</t>
        </is>
      </c>
      <c r="D4" t="inlineStr">
        <is>
          <t>Solar</t>
        </is>
      </c>
      <c r="E4" t="n">
        <v>25</v>
      </c>
      <c r="F4" t="n">
        <v>3.1</v>
      </c>
    </row>
    <row r="5">
      <c r="A5" t="inlineStr">
        <is>
          <t>S04</t>
        </is>
      </c>
      <c r="B5" t="inlineStr">
        <is>
          <t>Pavagada Solar Park</t>
        </is>
      </c>
      <c r="C5" t="inlineStr">
        <is>
          <t>Karnataka</t>
        </is>
      </c>
      <c r="D5" t="inlineStr">
        <is>
          <t>Solar</t>
        </is>
      </c>
      <c r="E5" t="n">
        <v>30</v>
      </c>
      <c r="F5" t="n">
        <v>3.05</v>
      </c>
    </row>
    <row r="6">
      <c r="A6" t="inlineStr">
        <is>
          <t>S05</t>
        </is>
      </c>
      <c r="B6" t="inlineStr">
        <is>
          <t>Kamuthi Solar Park</t>
        </is>
      </c>
      <c r="C6" t="inlineStr">
        <is>
          <t>Tamil Nadu</t>
        </is>
      </c>
      <c r="D6" t="inlineStr">
        <is>
          <t>Solar</t>
        </is>
      </c>
      <c r="E6" t="n">
        <v>20</v>
      </c>
      <c r="F6" t="n">
        <v>3.2</v>
      </c>
    </row>
    <row r="7">
      <c r="A7" t="inlineStr">
        <is>
          <t>S06</t>
        </is>
      </c>
      <c r="B7" t="inlineStr">
        <is>
          <t>Mahbubnagar Solar Park</t>
        </is>
      </c>
      <c r="C7" t="inlineStr">
        <is>
          <t>Telangana</t>
        </is>
      </c>
      <c r="D7" t="inlineStr">
        <is>
          <t>Solar</t>
        </is>
      </c>
      <c r="E7" t="n">
        <v>15</v>
      </c>
      <c r="F7" t="n">
        <v>3</v>
      </c>
    </row>
    <row r="8">
      <c r="A8" t="inlineStr">
        <is>
          <t>S07</t>
        </is>
      </c>
      <c r="B8" t="inlineStr">
        <is>
          <t>Anantapur Solar Park</t>
        </is>
      </c>
      <c r="C8" t="inlineStr">
        <is>
          <t>Andhra Pradesh</t>
        </is>
      </c>
      <c r="D8" t="inlineStr">
        <is>
          <t>Solar</t>
        </is>
      </c>
      <c r="E8" t="n">
        <v>35</v>
      </c>
      <c r="F8" t="n">
        <v>2.9</v>
      </c>
    </row>
    <row r="9">
      <c r="A9" t="inlineStr">
        <is>
          <t>S08</t>
        </is>
      </c>
      <c r="B9" t="inlineStr">
        <is>
          <t>Rewa Solar Park</t>
        </is>
      </c>
      <c r="C9" t="inlineStr">
        <is>
          <t>Madhya Pradesh</t>
        </is>
      </c>
      <c r="D9" t="inlineStr">
        <is>
          <t>Solar</t>
        </is>
      </c>
      <c r="E9" t="n">
        <v>45</v>
      </c>
      <c r="F9" t="n">
        <v>2.8</v>
      </c>
    </row>
    <row r="10">
      <c r="A10" t="inlineStr">
        <is>
          <t>S09</t>
        </is>
      </c>
      <c r="B10" t="inlineStr">
        <is>
          <t>Jhansi Solar Park</t>
        </is>
      </c>
      <c r="C10" t="inlineStr">
        <is>
          <t>Uttar Pradesh</t>
        </is>
      </c>
      <c r="D10" t="inlineStr">
        <is>
          <t>Solar</t>
        </is>
      </c>
      <c r="E10" t="n">
        <v>10</v>
      </c>
      <c r="F10" t="n">
        <v>3.3</v>
      </c>
    </row>
    <row r="11">
      <c r="A11" t="inlineStr">
        <is>
          <t>W01</t>
        </is>
      </c>
      <c r="B11" t="inlineStr">
        <is>
          <t>Kutch Wind Farm</t>
        </is>
      </c>
      <c r="C11" t="inlineStr">
        <is>
          <t>Gujarat</t>
        </is>
      </c>
      <c r="D11" t="inlineStr">
        <is>
          <t>Wind</t>
        </is>
      </c>
      <c r="E11" t="n">
        <v>30</v>
      </c>
      <c r="F11" t="n">
        <v>3.6</v>
      </c>
    </row>
    <row r="12">
      <c r="A12" t="inlineStr">
        <is>
          <t>W02</t>
        </is>
      </c>
      <c r="B12" t="inlineStr">
        <is>
          <t>Tirunelveli Wind Farm</t>
        </is>
      </c>
      <c r="C12" t="inlineStr">
        <is>
          <t>Tamil Nadu</t>
        </is>
      </c>
      <c r="D12" t="inlineStr">
        <is>
          <t>Wind</t>
        </is>
      </c>
      <c r="E12" t="n">
        <v>25</v>
      </c>
      <c r="F12" t="n">
        <v>3.75</v>
      </c>
    </row>
    <row r="13">
      <c r="A13" t="inlineStr">
        <is>
          <t>W03</t>
        </is>
      </c>
      <c r="B13" t="inlineStr">
        <is>
          <t>Satara Wind Farm</t>
        </is>
      </c>
      <c r="C13" t="inlineStr">
        <is>
          <t>Maharashtra</t>
        </is>
      </c>
      <c r="D13" t="inlineStr">
        <is>
          <t>Wind</t>
        </is>
      </c>
      <c r="E13" t="n">
        <v>20</v>
      </c>
      <c r="F13" t="n">
        <v>3.85</v>
      </c>
    </row>
    <row r="14">
      <c r="A14" t="inlineStr">
        <is>
          <t>W04</t>
        </is>
      </c>
      <c r="B14" t="inlineStr">
        <is>
          <t>Chitradurga Wind Farm</t>
        </is>
      </c>
      <c r="C14" t="inlineStr">
        <is>
          <t>Karnataka</t>
        </is>
      </c>
      <c r="D14" t="inlineStr">
        <is>
          <t>Wind</t>
        </is>
      </c>
      <c r="E14" t="n">
        <v>15</v>
      </c>
      <c r="F14" t="n">
        <v>3.7</v>
      </c>
    </row>
    <row r="15">
      <c r="A15" t="inlineStr">
        <is>
          <t>H01</t>
        </is>
      </c>
      <c r="B15" t="inlineStr">
        <is>
          <t>Bikaner Hybrid Park</t>
        </is>
      </c>
      <c r="C15" t="inlineStr">
        <is>
          <t>Rajasthan</t>
        </is>
      </c>
      <c r="D15" t="inlineStr">
        <is>
          <t>Hybrid</t>
        </is>
      </c>
      <c r="E15" t="n">
        <v>60</v>
      </c>
      <c r="F15" t="n">
        <v>3.15</v>
      </c>
    </row>
    <row r="16">
      <c r="A16" t="inlineStr">
        <is>
          <t>H02</t>
        </is>
      </c>
      <c r="B16" t="inlineStr">
        <is>
          <t>Kutch Hybrid Park</t>
        </is>
      </c>
      <c r="C16" t="inlineStr">
        <is>
          <t>Gujarat</t>
        </is>
      </c>
      <c r="D16" t="inlineStr">
        <is>
          <t>Hybrid</t>
        </is>
      </c>
      <c r="E16" t="n">
        <v>40</v>
      </c>
      <c r="F16" t="n">
        <v>3.1</v>
      </c>
    </row>
    <row r="17">
      <c r="A17" t="inlineStr">
        <is>
          <t>R01</t>
        </is>
      </c>
      <c r="B17" t="inlineStr">
        <is>
          <t>Dubai Rooftop Solar</t>
        </is>
      </c>
      <c r="C17" t="inlineStr">
        <is>
          <t>UAE</t>
        </is>
      </c>
      <c r="D17" t="inlineStr">
        <is>
          <t>Rooftop</t>
        </is>
      </c>
      <c r="E17" t="n">
        <v>2</v>
      </c>
      <c r="F17" t="n">
        <v>3.4</v>
      </c>
    </row>
    <row r="18">
      <c r="A18" t="inlineStr">
        <is>
          <t>R02</t>
        </is>
      </c>
      <c r="B18" t="inlineStr">
        <is>
          <t>Singapore Rooftop Solar</t>
        </is>
      </c>
      <c r="C18" t="inlineStr">
        <is>
          <t>Singapore</t>
        </is>
      </c>
      <c r="D18" t="inlineStr">
        <is>
          <t>Rooftop</t>
        </is>
      </c>
      <c r="E18" t="n">
        <v>1.5</v>
      </c>
      <c r="F18" t="n">
        <v>3.5</v>
      </c>
    </row>
  </sheetData>
  <autoFilter ref="A1:F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2" customWidth="1" min="4" max="4"/>
    <col width="10" customWidth="1" min="5" max="5"/>
    <col width="14" customWidth="1" min="6" max="6"/>
    <col width="19" customWidth="1" min="7" max="7"/>
  </cols>
  <sheetData>
    <row r="1">
      <c r="A1" s="10" t="inlineStr">
        <is>
          <t>SiteID</t>
        </is>
      </c>
      <c r="B1" s="10" t="inlineStr">
        <is>
          <t>Site</t>
        </is>
      </c>
      <c r="C1" s="10" t="inlineStr">
        <is>
          <t>State</t>
        </is>
      </c>
      <c r="D1" s="10" t="inlineStr">
        <is>
          <t>Technology</t>
        </is>
      </c>
      <c r="E1" s="10" t="inlineStr">
        <is>
          <t>Month</t>
        </is>
      </c>
      <c r="F1" s="10" t="inlineStr">
        <is>
          <t>PlannedMWh</t>
        </is>
      </c>
      <c r="G1" s="10" t="inlineStr">
        <is>
          <t>PlannedRevenueLakh</t>
        </is>
      </c>
    </row>
    <row r="2">
      <c r="A2" t="inlineStr">
        <is>
          <t>S01</t>
        </is>
      </c>
      <c r="B2" t="inlineStr">
        <is>
          <t>Jodhpur Solar Park</t>
        </is>
      </c>
      <c r="C2" t="inlineStr">
        <is>
          <t>Rajasthan</t>
        </is>
      </c>
      <c r="D2" t="inlineStr">
        <is>
          <t>Solar</t>
        </is>
      </c>
      <c r="E2" t="inlineStr">
        <is>
          <t>2026-04</t>
        </is>
      </c>
      <c r="F2" s="11" t="n">
        <v>7560</v>
      </c>
      <c r="G2" s="12" t="n">
        <v>223.02</v>
      </c>
    </row>
    <row r="3">
      <c r="A3" t="inlineStr">
        <is>
          <t>S01</t>
        </is>
      </c>
      <c r="B3" t="inlineStr">
        <is>
          <t>Jodhpur Solar Park</t>
        </is>
      </c>
      <c r="C3" t="inlineStr">
        <is>
          <t>Rajasthan</t>
        </is>
      </c>
      <c r="D3" t="inlineStr">
        <is>
          <t>Solar</t>
        </is>
      </c>
      <c r="E3" t="inlineStr">
        <is>
          <t>2026-05</t>
        </is>
      </c>
      <c r="F3" s="11" t="n">
        <v>8184</v>
      </c>
      <c r="G3" s="12" t="n">
        <v>241.43</v>
      </c>
    </row>
    <row r="4">
      <c r="A4" t="inlineStr">
        <is>
          <t>S01</t>
        </is>
      </c>
      <c r="B4" t="inlineStr">
        <is>
          <t>Jodhpur Solar Park</t>
        </is>
      </c>
      <c r="C4" t="inlineStr">
        <is>
          <t>Rajasthan</t>
        </is>
      </c>
      <c r="D4" t="inlineStr">
        <is>
          <t>Solar</t>
        </is>
      </c>
      <c r="E4" t="inlineStr">
        <is>
          <t>2026-06</t>
        </is>
      </c>
      <c r="F4" s="11" t="n">
        <v>6840</v>
      </c>
      <c r="G4" s="12" t="n">
        <v>201.78</v>
      </c>
    </row>
    <row r="5">
      <c r="A5" t="inlineStr">
        <is>
          <t>S01</t>
        </is>
      </c>
      <c r="B5" t="inlineStr">
        <is>
          <t>Jodhpur Solar Park</t>
        </is>
      </c>
      <c r="C5" t="inlineStr">
        <is>
          <t>Rajasthan</t>
        </is>
      </c>
      <c r="D5" t="inlineStr">
        <is>
          <t>Solar</t>
        </is>
      </c>
      <c r="E5" t="inlineStr">
        <is>
          <t>2026-07</t>
        </is>
      </c>
      <c r="F5" s="11" t="n">
        <v>6696</v>
      </c>
      <c r="G5" s="12" t="n">
        <v>197.53</v>
      </c>
    </row>
    <row r="6">
      <c r="A6" t="inlineStr">
        <is>
          <t>S01</t>
        </is>
      </c>
      <c r="B6" t="inlineStr">
        <is>
          <t>Jodhpur Solar Park</t>
        </is>
      </c>
      <c r="C6" t="inlineStr">
        <is>
          <t>Rajasthan</t>
        </is>
      </c>
      <c r="D6" t="inlineStr">
        <is>
          <t>Solar</t>
        </is>
      </c>
      <c r="E6" t="inlineStr">
        <is>
          <t>2026-08</t>
        </is>
      </c>
      <c r="F6" s="11" t="n">
        <v>7068</v>
      </c>
      <c r="G6" s="12" t="n">
        <v>208.51</v>
      </c>
    </row>
    <row r="7">
      <c r="A7" t="inlineStr">
        <is>
          <t>S01</t>
        </is>
      </c>
      <c r="B7" t="inlineStr">
        <is>
          <t>Jodhpur Solar Park</t>
        </is>
      </c>
      <c r="C7" t="inlineStr">
        <is>
          <t>Rajasthan</t>
        </is>
      </c>
      <c r="D7" t="inlineStr">
        <is>
          <t>Solar</t>
        </is>
      </c>
      <c r="E7" t="inlineStr">
        <is>
          <t>2026-09</t>
        </is>
      </c>
      <c r="F7" s="11" t="n">
        <v>7560</v>
      </c>
      <c r="G7" s="12" t="n">
        <v>223.02</v>
      </c>
    </row>
    <row r="8">
      <c r="A8" t="inlineStr">
        <is>
          <t>S01</t>
        </is>
      </c>
      <c r="B8" t="inlineStr">
        <is>
          <t>Jodhpur Solar Park</t>
        </is>
      </c>
      <c r="C8" t="inlineStr">
        <is>
          <t>Rajasthan</t>
        </is>
      </c>
      <c r="D8" t="inlineStr">
        <is>
          <t>Solar</t>
        </is>
      </c>
      <c r="E8" t="inlineStr">
        <is>
          <t>2026-10</t>
        </is>
      </c>
      <c r="F8" s="11" t="n">
        <v>8184</v>
      </c>
      <c r="G8" s="12" t="n">
        <v>241.43</v>
      </c>
    </row>
    <row r="9">
      <c r="A9" t="inlineStr">
        <is>
          <t>S02</t>
        </is>
      </c>
      <c r="B9" t="inlineStr">
        <is>
          <t>Kutch Solar Park</t>
        </is>
      </c>
      <c r="C9" t="inlineStr">
        <is>
          <t>Gujarat</t>
        </is>
      </c>
      <c r="D9" t="inlineStr">
        <is>
          <t>Solar</t>
        </is>
      </c>
      <c r="E9" t="inlineStr">
        <is>
          <t>2026-04</t>
        </is>
      </c>
      <c r="F9" s="11" t="n">
        <v>6048</v>
      </c>
      <c r="G9" s="12" t="n">
        <v>172.37</v>
      </c>
    </row>
    <row r="10">
      <c r="A10" t="inlineStr">
        <is>
          <t>S02</t>
        </is>
      </c>
      <c r="B10" t="inlineStr">
        <is>
          <t>Kutch Solar Park</t>
        </is>
      </c>
      <c r="C10" t="inlineStr">
        <is>
          <t>Gujarat</t>
        </is>
      </c>
      <c r="D10" t="inlineStr">
        <is>
          <t>Solar</t>
        </is>
      </c>
      <c r="E10" t="inlineStr">
        <is>
          <t>2026-05</t>
        </is>
      </c>
      <c r="F10" s="11" t="n">
        <v>6547</v>
      </c>
      <c r="G10" s="12" t="n">
        <v>186.59</v>
      </c>
    </row>
    <row r="11">
      <c r="A11" t="inlineStr">
        <is>
          <t>S02</t>
        </is>
      </c>
      <c r="B11" t="inlineStr">
        <is>
          <t>Kutch Solar Park</t>
        </is>
      </c>
      <c r="C11" t="inlineStr">
        <is>
          <t>Gujarat</t>
        </is>
      </c>
      <c r="D11" t="inlineStr">
        <is>
          <t>Solar</t>
        </is>
      </c>
      <c r="E11" t="inlineStr">
        <is>
          <t>2026-06</t>
        </is>
      </c>
      <c r="F11" s="11" t="n">
        <v>5472</v>
      </c>
      <c r="G11" s="12" t="n">
        <v>155.95</v>
      </c>
    </row>
    <row r="12">
      <c r="A12" t="inlineStr">
        <is>
          <t>S02</t>
        </is>
      </c>
      <c r="B12" t="inlineStr">
        <is>
          <t>Kutch Solar Park</t>
        </is>
      </c>
      <c r="C12" t="inlineStr">
        <is>
          <t>Gujarat</t>
        </is>
      </c>
      <c r="D12" t="inlineStr">
        <is>
          <t>Solar</t>
        </is>
      </c>
      <c r="E12" t="inlineStr">
        <is>
          <t>2026-07</t>
        </is>
      </c>
      <c r="F12" s="11" t="n">
        <v>5357</v>
      </c>
      <c r="G12" s="12" t="n">
        <v>152.67</v>
      </c>
    </row>
    <row r="13">
      <c r="A13" t="inlineStr">
        <is>
          <t>S02</t>
        </is>
      </c>
      <c r="B13" t="inlineStr">
        <is>
          <t>Kutch Solar Park</t>
        </is>
      </c>
      <c r="C13" t="inlineStr">
        <is>
          <t>Gujarat</t>
        </is>
      </c>
      <c r="D13" t="inlineStr">
        <is>
          <t>Solar</t>
        </is>
      </c>
      <c r="E13" t="inlineStr">
        <is>
          <t>2026-08</t>
        </is>
      </c>
      <c r="F13" s="11" t="n">
        <v>5654</v>
      </c>
      <c r="G13" s="12" t="n">
        <v>161.14</v>
      </c>
    </row>
    <row r="14">
      <c r="A14" t="inlineStr">
        <is>
          <t>S02</t>
        </is>
      </c>
      <c r="B14" t="inlineStr">
        <is>
          <t>Kutch Solar Park</t>
        </is>
      </c>
      <c r="C14" t="inlineStr">
        <is>
          <t>Gujarat</t>
        </is>
      </c>
      <c r="D14" t="inlineStr">
        <is>
          <t>Solar</t>
        </is>
      </c>
      <c r="E14" t="inlineStr">
        <is>
          <t>2026-09</t>
        </is>
      </c>
      <c r="F14" s="11" t="n">
        <v>6048</v>
      </c>
      <c r="G14" s="12" t="n">
        <v>172.37</v>
      </c>
    </row>
    <row r="15">
      <c r="A15" t="inlineStr">
        <is>
          <t>S02</t>
        </is>
      </c>
      <c r="B15" t="inlineStr">
        <is>
          <t>Kutch Solar Park</t>
        </is>
      </c>
      <c r="C15" t="inlineStr">
        <is>
          <t>Gujarat</t>
        </is>
      </c>
      <c r="D15" t="inlineStr">
        <is>
          <t>Solar</t>
        </is>
      </c>
      <c r="E15" t="inlineStr">
        <is>
          <t>2026-10</t>
        </is>
      </c>
      <c r="F15" s="11" t="n">
        <v>6547</v>
      </c>
      <c r="G15" s="12" t="n">
        <v>186.59</v>
      </c>
    </row>
    <row r="16">
      <c r="A16" t="inlineStr">
        <is>
          <t>S03</t>
        </is>
      </c>
      <c r="B16" t="inlineStr">
        <is>
          <t>Solapur Solar Park</t>
        </is>
      </c>
      <c r="C16" t="inlineStr">
        <is>
          <t>Maharashtra</t>
        </is>
      </c>
      <c r="D16" t="inlineStr">
        <is>
          <t>Solar</t>
        </is>
      </c>
      <c r="E16" t="inlineStr">
        <is>
          <t>2026-04</t>
        </is>
      </c>
      <c r="F16" s="11" t="n">
        <v>3780</v>
      </c>
      <c r="G16" s="12" t="n">
        <v>117.18</v>
      </c>
    </row>
    <row r="17">
      <c r="A17" t="inlineStr">
        <is>
          <t>S03</t>
        </is>
      </c>
      <c r="B17" t="inlineStr">
        <is>
          <t>Solapur Solar Park</t>
        </is>
      </c>
      <c r="C17" t="inlineStr">
        <is>
          <t>Maharashtra</t>
        </is>
      </c>
      <c r="D17" t="inlineStr">
        <is>
          <t>Solar</t>
        </is>
      </c>
      <c r="E17" t="inlineStr">
        <is>
          <t>2026-05</t>
        </is>
      </c>
      <c r="F17" s="11" t="n">
        <v>4092</v>
      </c>
      <c r="G17" s="12" t="n">
        <v>126.85</v>
      </c>
    </row>
    <row r="18">
      <c r="A18" t="inlineStr">
        <is>
          <t>S03</t>
        </is>
      </c>
      <c r="B18" t="inlineStr">
        <is>
          <t>Solapur Solar Park</t>
        </is>
      </c>
      <c r="C18" t="inlineStr">
        <is>
          <t>Maharashtra</t>
        </is>
      </c>
      <c r="D18" t="inlineStr">
        <is>
          <t>Solar</t>
        </is>
      </c>
      <c r="E18" t="inlineStr">
        <is>
          <t>2026-06</t>
        </is>
      </c>
      <c r="F18" s="11" t="n">
        <v>3420</v>
      </c>
      <c r="G18" s="12" t="n">
        <v>106.02</v>
      </c>
    </row>
    <row r="19">
      <c r="A19" t="inlineStr">
        <is>
          <t>S03</t>
        </is>
      </c>
      <c r="B19" t="inlineStr">
        <is>
          <t>Solapur Solar Park</t>
        </is>
      </c>
      <c r="C19" t="inlineStr">
        <is>
          <t>Maharashtra</t>
        </is>
      </c>
      <c r="D19" t="inlineStr">
        <is>
          <t>Solar</t>
        </is>
      </c>
      <c r="E19" t="inlineStr">
        <is>
          <t>2026-07</t>
        </is>
      </c>
      <c r="F19" s="11" t="n">
        <v>3348</v>
      </c>
      <c r="G19" s="12" t="n">
        <v>103.79</v>
      </c>
    </row>
    <row r="20">
      <c r="A20" t="inlineStr">
        <is>
          <t>S03</t>
        </is>
      </c>
      <c r="B20" t="inlineStr">
        <is>
          <t>Solapur Solar Park</t>
        </is>
      </c>
      <c r="C20" t="inlineStr">
        <is>
          <t>Maharashtra</t>
        </is>
      </c>
      <c r="D20" t="inlineStr">
        <is>
          <t>Solar</t>
        </is>
      </c>
      <c r="E20" t="inlineStr">
        <is>
          <t>2026-08</t>
        </is>
      </c>
      <c r="F20" s="11" t="n">
        <v>3534</v>
      </c>
      <c r="G20" s="12" t="n">
        <v>109.55</v>
      </c>
    </row>
    <row r="21">
      <c r="A21" t="inlineStr">
        <is>
          <t>S03</t>
        </is>
      </c>
      <c r="B21" t="inlineStr">
        <is>
          <t>Solapur Solar Park</t>
        </is>
      </c>
      <c r="C21" t="inlineStr">
        <is>
          <t>Maharashtra</t>
        </is>
      </c>
      <c r="D21" t="inlineStr">
        <is>
          <t>Solar</t>
        </is>
      </c>
      <c r="E21" t="inlineStr">
        <is>
          <t>2026-09</t>
        </is>
      </c>
      <c r="F21" s="11" t="n">
        <v>3780</v>
      </c>
      <c r="G21" s="12" t="n">
        <v>117.18</v>
      </c>
    </row>
    <row r="22">
      <c r="A22" t="inlineStr">
        <is>
          <t>S03</t>
        </is>
      </c>
      <c r="B22" t="inlineStr">
        <is>
          <t>Solapur Solar Park</t>
        </is>
      </c>
      <c r="C22" t="inlineStr">
        <is>
          <t>Maharashtra</t>
        </is>
      </c>
      <c r="D22" t="inlineStr">
        <is>
          <t>Solar</t>
        </is>
      </c>
      <c r="E22" t="inlineStr">
        <is>
          <t>2026-10</t>
        </is>
      </c>
      <c r="F22" s="11" t="n">
        <v>4092</v>
      </c>
      <c r="G22" s="12" t="n">
        <v>126.85</v>
      </c>
    </row>
    <row r="23">
      <c r="A23" t="inlineStr">
        <is>
          <t>S04</t>
        </is>
      </c>
      <c r="B23" t="inlineStr">
        <is>
          <t>Pavagada Solar Park</t>
        </is>
      </c>
      <c r="C23" t="inlineStr">
        <is>
          <t>Karnataka</t>
        </is>
      </c>
      <c r="D23" t="inlineStr">
        <is>
          <t>Solar</t>
        </is>
      </c>
      <c r="E23" t="inlineStr">
        <is>
          <t>2026-04</t>
        </is>
      </c>
      <c r="F23" s="11" t="n">
        <v>4536</v>
      </c>
      <c r="G23" s="12" t="n">
        <v>138.35</v>
      </c>
    </row>
    <row r="24">
      <c r="A24" t="inlineStr">
        <is>
          <t>S04</t>
        </is>
      </c>
      <c r="B24" t="inlineStr">
        <is>
          <t>Pavagada Solar Park</t>
        </is>
      </c>
      <c r="C24" t="inlineStr">
        <is>
          <t>Karnataka</t>
        </is>
      </c>
      <c r="D24" t="inlineStr">
        <is>
          <t>Solar</t>
        </is>
      </c>
      <c r="E24" t="inlineStr">
        <is>
          <t>2026-05</t>
        </is>
      </c>
      <c r="F24" s="11" t="n">
        <v>4910</v>
      </c>
      <c r="G24" s="12" t="n">
        <v>149.75</v>
      </c>
    </row>
    <row r="25">
      <c r="A25" t="inlineStr">
        <is>
          <t>S04</t>
        </is>
      </c>
      <c r="B25" t="inlineStr">
        <is>
          <t>Pavagada Solar Park</t>
        </is>
      </c>
      <c r="C25" t="inlineStr">
        <is>
          <t>Karnataka</t>
        </is>
      </c>
      <c r="D25" t="inlineStr">
        <is>
          <t>Solar</t>
        </is>
      </c>
      <c r="E25" t="inlineStr">
        <is>
          <t>2026-06</t>
        </is>
      </c>
      <c r="F25" s="11" t="n">
        <v>4104</v>
      </c>
      <c r="G25" s="12" t="n">
        <v>125.17</v>
      </c>
    </row>
    <row r="26">
      <c r="A26" t="inlineStr">
        <is>
          <t>S04</t>
        </is>
      </c>
      <c r="B26" t="inlineStr">
        <is>
          <t>Pavagada Solar Park</t>
        </is>
      </c>
      <c r="C26" t="inlineStr">
        <is>
          <t>Karnataka</t>
        </is>
      </c>
      <c r="D26" t="inlineStr">
        <is>
          <t>Solar</t>
        </is>
      </c>
      <c r="E26" t="inlineStr">
        <is>
          <t>2026-07</t>
        </is>
      </c>
      <c r="F26" s="11" t="n">
        <v>4018</v>
      </c>
      <c r="G26" s="12" t="n">
        <v>122.55</v>
      </c>
    </row>
    <row r="27">
      <c r="A27" t="inlineStr">
        <is>
          <t>S04</t>
        </is>
      </c>
      <c r="B27" t="inlineStr">
        <is>
          <t>Pavagada Solar Park</t>
        </is>
      </c>
      <c r="C27" t="inlineStr">
        <is>
          <t>Karnataka</t>
        </is>
      </c>
      <c r="D27" t="inlineStr">
        <is>
          <t>Solar</t>
        </is>
      </c>
      <c r="E27" t="inlineStr">
        <is>
          <t>2026-08</t>
        </is>
      </c>
      <c r="F27" s="11" t="n">
        <v>4241</v>
      </c>
      <c r="G27" s="12" t="n">
        <v>129.35</v>
      </c>
    </row>
    <row r="28">
      <c r="A28" t="inlineStr">
        <is>
          <t>S04</t>
        </is>
      </c>
      <c r="B28" t="inlineStr">
        <is>
          <t>Pavagada Solar Park</t>
        </is>
      </c>
      <c r="C28" t="inlineStr">
        <is>
          <t>Karnataka</t>
        </is>
      </c>
      <c r="D28" t="inlineStr">
        <is>
          <t>Solar</t>
        </is>
      </c>
      <c r="E28" t="inlineStr">
        <is>
          <t>2026-09</t>
        </is>
      </c>
      <c r="F28" s="11" t="n">
        <v>4536</v>
      </c>
      <c r="G28" s="12" t="n">
        <v>138.35</v>
      </c>
    </row>
    <row r="29">
      <c r="A29" t="inlineStr">
        <is>
          <t>S04</t>
        </is>
      </c>
      <c r="B29" t="inlineStr">
        <is>
          <t>Pavagada Solar Park</t>
        </is>
      </c>
      <c r="C29" t="inlineStr">
        <is>
          <t>Karnataka</t>
        </is>
      </c>
      <c r="D29" t="inlineStr">
        <is>
          <t>Solar</t>
        </is>
      </c>
      <c r="E29" t="inlineStr">
        <is>
          <t>2026-10</t>
        </is>
      </c>
      <c r="F29" s="11" t="n">
        <v>4910</v>
      </c>
      <c r="G29" s="12" t="n">
        <v>149.75</v>
      </c>
    </row>
    <row r="30">
      <c r="A30" t="inlineStr">
        <is>
          <t>S05</t>
        </is>
      </c>
      <c r="B30" t="inlineStr">
        <is>
          <t>Kamuthi Solar Park</t>
        </is>
      </c>
      <c r="C30" t="inlineStr">
        <is>
          <t>Tamil Nadu</t>
        </is>
      </c>
      <c r="D30" t="inlineStr">
        <is>
          <t>Solar</t>
        </is>
      </c>
      <c r="E30" t="inlineStr">
        <is>
          <t>2026-04</t>
        </is>
      </c>
      <c r="F30" s="11" t="n">
        <v>3024</v>
      </c>
      <c r="G30" s="12" t="n">
        <v>96.77</v>
      </c>
    </row>
    <row r="31">
      <c r="A31" t="inlineStr">
        <is>
          <t>S05</t>
        </is>
      </c>
      <c r="B31" t="inlineStr">
        <is>
          <t>Kamuthi Solar Park</t>
        </is>
      </c>
      <c r="C31" t="inlineStr">
        <is>
          <t>Tamil Nadu</t>
        </is>
      </c>
      <c r="D31" t="inlineStr">
        <is>
          <t>Solar</t>
        </is>
      </c>
      <c r="E31" t="inlineStr">
        <is>
          <t>2026-05</t>
        </is>
      </c>
      <c r="F31" s="11" t="n">
        <v>3274</v>
      </c>
      <c r="G31" s="12" t="n">
        <v>104.77</v>
      </c>
    </row>
    <row r="32">
      <c r="A32" t="inlineStr">
        <is>
          <t>S05</t>
        </is>
      </c>
      <c r="B32" t="inlineStr">
        <is>
          <t>Kamuthi Solar Park</t>
        </is>
      </c>
      <c r="C32" t="inlineStr">
        <is>
          <t>Tamil Nadu</t>
        </is>
      </c>
      <c r="D32" t="inlineStr">
        <is>
          <t>Solar</t>
        </is>
      </c>
      <c r="E32" t="inlineStr">
        <is>
          <t>2026-06</t>
        </is>
      </c>
      <c r="F32" s="11" t="n">
        <v>2736</v>
      </c>
      <c r="G32" s="12" t="n">
        <v>87.55</v>
      </c>
    </row>
    <row r="33">
      <c r="A33" t="inlineStr">
        <is>
          <t>S05</t>
        </is>
      </c>
      <c r="B33" t="inlineStr">
        <is>
          <t>Kamuthi Solar Park</t>
        </is>
      </c>
      <c r="C33" t="inlineStr">
        <is>
          <t>Tamil Nadu</t>
        </is>
      </c>
      <c r="D33" t="inlineStr">
        <is>
          <t>Solar</t>
        </is>
      </c>
      <c r="E33" t="inlineStr">
        <is>
          <t>2026-07</t>
        </is>
      </c>
      <c r="F33" s="11" t="n">
        <v>2678</v>
      </c>
      <c r="G33" s="12" t="n">
        <v>85.7</v>
      </c>
    </row>
    <row r="34">
      <c r="A34" t="inlineStr">
        <is>
          <t>S05</t>
        </is>
      </c>
      <c r="B34" t="inlineStr">
        <is>
          <t>Kamuthi Solar Park</t>
        </is>
      </c>
      <c r="C34" t="inlineStr">
        <is>
          <t>Tamil Nadu</t>
        </is>
      </c>
      <c r="D34" t="inlineStr">
        <is>
          <t>Solar</t>
        </is>
      </c>
      <c r="E34" t="inlineStr">
        <is>
          <t>2026-08</t>
        </is>
      </c>
      <c r="F34" s="11" t="n">
        <v>2827</v>
      </c>
      <c r="G34" s="12" t="n">
        <v>90.45999999999999</v>
      </c>
    </row>
    <row r="35">
      <c r="A35" t="inlineStr">
        <is>
          <t>S05</t>
        </is>
      </c>
      <c r="B35" t="inlineStr">
        <is>
          <t>Kamuthi Solar Park</t>
        </is>
      </c>
      <c r="C35" t="inlineStr">
        <is>
          <t>Tamil Nadu</t>
        </is>
      </c>
      <c r="D35" t="inlineStr">
        <is>
          <t>Solar</t>
        </is>
      </c>
      <c r="E35" t="inlineStr">
        <is>
          <t>2026-09</t>
        </is>
      </c>
      <c r="F35" s="11" t="n">
        <v>3024</v>
      </c>
      <c r="G35" s="12" t="n">
        <v>96.77</v>
      </c>
    </row>
    <row r="36">
      <c r="A36" t="inlineStr">
        <is>
          <t>S05</t>
        </is>
      </c>
      <c r="B36" t="inlineStr">
        <is>
          <t>Kamuthi Solar Park</t>
        </is>
      </c>
      <c r="C36" t="inlineStr">
        <is>
          <t>Tamil Nadu</t>
        </is>
      </c>
      <c r="D36" t="inlineStr">
        <is>
          <t>Solar</t>
        </is>
      </c>
      <c r="E36" t="inlineStr">
        <is>
          <t>2026-10</t>
        </is>
      </c>
      <c r="F36" s="11" t="n">
        <v>3274</v>
      </c>
      <c r="G36" s="12" t="n">
        <v>104.77</v>
      </c>
    </row>
    <row r="37">
      <c r="A37" t="inlineStr">
        <is>
          <t>S06</t>
        </is>
      </c>
      <c r="B37" t="inlineStr">
        <is>
          <t>Mahbubnagar Solar Park</t>
        </is>
      </c>
      <c r="C37" t="inlineStr">
        <is>
          <t>Telangana</t>
        </is>
      </c>
      <c r="D37" t="inlineStr">
        <is>
          <t>Solar</t>
        </is>
      </c>
      <c r="E37" t="inlineStr">
        <is>
          <t>2026-04</t>
        </is>
      </c>
      <c r="F37" s="11" t="n">
        <v>2268</v>
      </c>
      <c r="G37" s="12" t="n">
        <v>68.04000000000001</v>
      </c>
    </row>
    <row r="38">
      <c r="A38" t="inlineStr">
        <is>
          <t>S06</t>
        </is>
      </c>
      <c r="B38" t="inlineStr">
        <is>
          <t>Mahbubnagar Solar Park</t>
        </is>
      </c>
      <c r="C38" t="inlineStr">
        <is>
          <t>Telangana</t>
        </is>
      </c>
      <c r="D38" t="inlineStr">
        <is>
          <t>Solar</t>
        </is>
      </c>
      <c r="E38" t="inlineStr">
        <is>
          <t>2026-05</t>
        </is>
      </c>
      <c r="F38" s="11" t="n">
        <v>2455</v>
      </c>
      <c r="G38" s="12" t="n">
        <v>73.65000000000001</v>
      </c>
    </row>
    <row r="39">
      <c r="A39" t="inlineStr">
        <is>
          <t>S06</t>
        </is>
      </c>
      <c r="B39" t="inlineStr">
        <is>
          <t>Mahbubnagar Solar Park</t>
        </is>
      </c>
      <c r="C39" t="inlineStr">
        <is>
          <t>Telangana</t>
        </is>
      </c>
      <c r="D39" t="inlineStr">
        <is>
          <t>Solar</t>
        </is>
      </c>
      <c r="E39" t="inlineStr">
        <is>
          <t>2026-06</t>
        </is>
      </c>
      <c r="F39" s="11" t="n">
        <v>2052</v>
      </c>
      <c r="G39" s="12" t="n">
        <v>61.56</v>
      </c>
    </row>
    <row r="40">
      <c r="A40" t="inlineStr">
        <is>
          <t>S06</t>
        </is>
      </c>
      <c r="B40" t="inlineStr">
        <is>
          <t>Mahbubnagar Solar Park</t>
        </is>
      </c>
      <c r="C40" t="inlineStr">
        <is>
          <t>Telangana</t>
        </is>
      </c>
      <c r="D40" t="inlineStr">
        <is>
          <t>Solar</t>
        </is>
      </c>
      <c r="E40" t="inlineStr">
        <is>
          <t>2026-07</t>
        </is>
      </c>
      <c r="F40" s="11" t="n">
        <v>2009</v>
      </c>
      <c r="G40" s="12" t="n">
        <v>60.27</v>
      </c>
    </row>
    <row r="41">
      <c r="A41" t="inlineStr">
        <is>
          <t>S06</t>
        </is>
      </c>
      <c r="B41" t="inlineStr">
        <is>
          <t>Mahbubnagar Solar Park</t>
        </is>
      </c>
      <c r="C41" t="inlineStr">
        <is>
          <t>Telangana</t>
        </is>
      </c>
      <c r="D41" t="inlineStr">
        <is>
          <t>Solar</t>
        </is>
      </c>
      <c r="E41" t="inlineStr">
        <is>
          <t>2026-08</t>
        </is>
      </c>
      <c r="F41" s="11" t="n">
        <v>2120</v>
      </c>
      <c r="G41" s="12" t="n">
        <v>63.6</v>
      </c>
    </row>
    <row r="42">
      <c r="A42" t="inlineStr">
        <is>
          <t>S06</t>
        </is>
      </c>
      <c r="B42" t="inlineStr">
        <is>
          <t>Mahbubnagar Solar Park</t>
        </is>
      </c>
      <c r="C42" t="inlineStr">
        <is>
          <t>Telangana</t>
        </is>
      </c>
      <c r="D42" t="inlineStr">
        <is>
          <t>Solar</t>
        </is>
      </c>
      <c r="E42" t="inlineStr">
        <is>
          <t>2026-09</t>
        </is>
      </c>
      <c r="F42" s="11" t="n">
        <v>2268</v>
      </c>
      <c r="G42" s="12" t="n">
        <v>68.04000000000001</v>
      </c>
    </row>
    <row r="43">
      <c r="A43" t="inlineStr">
        <is>
          <t>S06</t>
        </is>
      </c>
      <c r="B43" t="inlineStr">
        <is>
          <t>Mahbubnagar Solar Park</t>
        </is>
      </c>
      <c r="C43" t="inlineStr">
        <is>
          <t>Telangana</t>
        </is>
      </c>
      <c r="D43" t="inlineStr">
        <is>
          <t>Solar</t>
        </is>
      </c>
      <c r="E43" t="inlineStr">
        <is>
          <t>2026-10</t>
        </is>
      </c>
      <c r="F43" s="11" t="n">
        <v>2455</v>
      </c>
      <c r="G43" s="12" t="n">
        <v>73.65000000000001</v>
      </c>
    </row>
    <row r="44">
      <c r="A44" t="inlineStr">
        <is>
          <t>S07</t>
        </is>
      </c>
      <c r="B44" t="inlineStr">
        <is>
          <t>Anantapur Solar Park</t>
        </is>
      </c>
      <c r="C44" t="inlineStr">
        <is>
          <t>Andhra Pradesh</t>
        </is>
      </c>
      <c r="D44" t="inlineStr">
        <is>
          <t>Solar</t>
        </is>
      </c>
      <c r="E44" t="inlineStr">
        <is>
          <t>2026-04</t>
        </is>
      </c>
      <c r="F44" s="11" t="n">
        <v>5292</v>
      </c>
      <c r="G44" s="12" t="n">
        <v>153.47</v>
      </c>
    </row>
    <row r="45">
      <c r="A45" t="inlineStr">
        <is>
          <t>S07</t>
        </is>
      </c>
      <c r="B45" t="inlineStr">
        <is>
          <t>Anantapur Solar Park</t>
        </is>
      </c>
      <c r="C45" t="inlineStr">
        <is>
          <t>Andhra Pradesh</t>
        </is>
      </c>
      <c r="D45" t="inlineStr">
        <is>
          <t>Solar</t>
        </is>
      </c>
      <c r="E45" t="inlineStr">
        <is>
          <t>2026-05</t>
        </is>
      </c>
      <c r="F45" s="11" t="n">
        <v>5729</v>
      </c>
      <c r="G45" s="12" t="n">
        <v>166.14</v>
      </c>
    </row>
    <row r="46">
      <c r="A46" t="inlineStr">
        <is>
          <t>S07</t>
        </is>
      </c>
      <c r="B46" t="inlineStr">
        <is>
          <t>Anantapur Solar Park</t>
        </is>
      </c>
      <c r="C46" t="inlineStr">
        <is>
          <t>Andhra Pradesh</t>
        </is>
      </c>
      <c r="D46" t="inlineStr">
        <is>
          <t>Solar</t>
        </is>
      </c>
      <c r="E46" t="inlineStr">
        <is>
          <t>2026-06</t>
        </is>
      </c>
      <c r="F46" s="11" t="n">
        <v>4788</v>
      </c>
      <c r="G46" s="12" t="n">
        <v>138.85</v>
      </c>
    </row>
    <row r="47">
      <c r="A47" t="inlineStr">
        <is>
          <t>S07</t>
        </is>
      </c>
      <c r="B47" t="inlineStr">
        <is>
          <t>Anantapur Solar Park</t>
        </is>
      </c>
      <c r="C47" t="inlineStr">
        <is>
          <t>Andhra Pradesh</t>
        </is>
      </c>
      <c r="D47" t="inlineStr">
        <is>
          <t>Solar</t>
        </is>
      </c>
      <c r="E47" t="inlineStr">
        <is>
          <t>2026-07</t>
        </is>
      </c>
      <c r="F47" s="11" t="n">
        <v>4687</v>
      </c>
      <c r="G47" s="12" t="n">
        <v>135.92</v>
      </c>
    </row>
    <row r="48">
      <c r="A48" t="inlineStr">
        <is>
          <t>S07</t>
        </is>
      </c>
      <c r="B48" t="inlineStr">
        <is>
          <t>Anantapur Solar Park</t>
        </is>
      </c>
      <c r="C48" t="inlineStr">
        <is>
          <t>Andhra Pradesh</t>
        </is>
      </c>
      <c r="D48" t="inlineStr">
        <is>
          <t>Solar</t>
        </is>
      </c>
      <c r="E48" t="inlineStr">
        <is>
          <t>2026-08</t>
        </is>
      </c>
      <c r="F48" s="11" t="n">
        <v>4948</v>
      </c>
      <c r="G48" s="12" t="n">
        <v>143.49</v>
      </c>
    </row>
    <row r="49">
      <c r="A49" t="inlineStr">
        <is>
          <t>S07</t>
        </is>
      </c>
      <c r="B49" t="inlineStr">
        <is>
          <t>Anantapur Solar Park</t>
        </is>
      </c>
      <c r="C49" t="inlineStr">
        <is>
          <t>Andhra Pradesh</t>
        </is>
      </c>
      <c r="D49" t="inlineStr">
        <is>
          <t>Solar</t>
        </is>
      </c>
      <c r="E49" t="inlineStr">
        <is>
          <t>2026-09</t>
        </is>
      </c>
      <c r="F49" s="11" t="n">
        <v>5292</v>
      </c>
      <c r="G49" s="12" t="n">
        <v>153.47</v>
      </c>
    </row>
    <row r="50">
      <c r="A50" t="inlineStr">
        <is>
          <t>S07</t>
        </is>
      </c>
      <c r="B50" t="inlineStr">
        <is>
          <t>Anantapur Solar Park</t>
        </is>
      </c>
      <c r="C50" t="inlineStr">
        <is>
          <t>Andhra Pradesh</t>
        </is>
      </c>
      <c r="D50" t="inlineStr">
        <is>
          <t>Solar</t>
        </is>
      </c>
      <c r="E50" t="inlineStr">
        <is>
          <t>2026-10</t>
        </is>
      </c>
      <c r="F50" s="11" t="n">
        <v>5729</v>
      </c>
      <c r="G50" s="12" t="n">
        <v>166.14</v>
      </c>
    </row>
    <row r="51">
      <c r="A51" t="inlineStr">
        <is>
          <t>S08</t>
        </is>
      </c>
      <c r="B51" t="inlineStr">
        <is>
          <t>Rewa Solar Park</t>
        </is>
      </c>
      <c r="C51" t="inlineStr">
        <is>
          <t>Madhya Pradesh</t>
        </is>
      </c>
      <c r="D51" t="inlineStr">
        <is>
          <t>Solar</t>
        </is>
      </c>
      <c r="E51" t="inlineStr">
        <is>
          <t>2026-04</t>
        </is>
      </c>
      <c r="F51" s="11" t="n">
        <v>6804</v>
      </c>
      <c r="G51" s="12" t="n">
        <v>190.51</v>
      </c>
    </row>
    <row r="52">
      <c r="A52" t="inlineStr">
        <is>
          <t>S08</t>
        </is>
      </c>
      <c r="B52" t="inlineStr">
        <is>
          <t>Rewa Solar Park</t>
        </is>
      </c>
      <c r="C52" t="inlineStr">
        <is>
          <t>Madhya Pradesh</t>
        </is>
      </c>
      <c r="D52" t="inlineStr">
        <is>
          <t>Solar</t>
        </is>
      </c>
      <c r="E52" t="inlineStr">
        <is>
          <t>2026-05</t>
        </is>
      </c>
      <c r="F52" s="11" t="n">
        <v>7366</v>
      </c>
      <c r="G52" s="12" t="n">
        <v>206.25</v>
      </c>
    </row>
    <row r="53">
      <c r="A53" t="inlineStr">
        <is>
          <t>S08</t>
        </is>
      </c>
      <c r="B53" t="inlineStr">
        <is>
          <t>Rewa Solar Park</t>
        </is>
      </c>
      <c r="C53" t="inlineStr">
        <is>
          <t>Madhya Pradesh</t>
        </is>
      </c>
      <c r="D53" t="inlineStr">
        <is>
          <t>Solar</t>
        </is>
      </c>
      <c r="E53" t="inlineStr">
        <is>
          <t>2026-06</t>
        </is>
      </c>
      <c r="F53" s="11" t="n">
        <v>6156</v>
      </c>
      <c r="G53" s="12" t="n">
        <v>172.37</v>
      </c>
    </row>
    <row r="54">
      <c r="A54" t="inlineStr">
        <is>
          <t>S08</t>
        </is>
      </c>
      <c r="B54" t="inlineStr">
        <is>
          <t>Rewa Solar Park</t>
        </is>
      </c>
      <c r="C54" t="inlineStr">
        <is>
          <t>Madhya Pradesh</t>
        </is>
      </c>
      <c r="D54" t="inlineStr">
        <is>
          <t>Solar</t>
        </is>
      </c>
      <c r="E54" t="inlineStr">
        <is>
          <t>2026-07</t>
        </is>
      </c>
      <c r="F54" s="11" t="n">
        <v>6026</v>
      </c>
      <c r="G54" s="12" t="n">
        <v>168.73</v>
      </c>
    </row>
    <row r="55">
      <c r="A55" t="inlineStr">
        <is>
          <t>S08</t>
        </is>
      </c>
      <c r="B55" t="inlineStr">
        <is>
          <t>Rewa Solar Park</t>
        </is>
      </c>
      <c r="C55" t="inlineStr">
        <is>
          <t>Madhya Pradesh</t>
        </is>
      </c>
      <c r="D55" t="inlineStr">
        <is>
          <t>Solar</t>
        </is>
      </c>
      <c r="E55" t="inlineStr">
        <is>
          <t>2026-08</t>
        </is>
      </c>
      <c r="F55" s="11" t="n">
        <v>6361</v>
      </c>
      <c r="G55" s="12" t="n">
        <v>178.11</v>
      </c>
    </row>
    <row r="56">
      <c r="A56" t="inlineStr">
        <is>
          <t>S08</t>
        </is>
      </c>
      <c r="B56" t="inlineStr">
        <is>
          <t>Rewa Solar Park</t>
        </is>
      </c>
      <c r="C56" t="inlineStr">
        <is>
          <t>Madhya Pradesh</t>
        </is>
      </c>
      <c r="D56" t="inlineStr">
        <is>
          <t>Solar</t>
        </is>
      </c>
      <c r="E56" t="inlineStr">
        <is>
          <t>2026-09</t>
        </is>
      </c>
      <c r="F56" s="11" t="n">
        <v>6804</v>
      </c>
      <c r="G56" s="12" t="n">
        <v>190.51</v>
      </c>
    </row>
    <row r="57">
      <c r="A57" t="inlineStr">
        <is>
          <t>S08</t>
        </is>
      </c>
      <c r="B57" t="inlineStr">
        <is>
          <t>Rewa Solar Park</t>
        </is>
      </c>
      <c r="C57" t="inlineStr">
        <is>
          <t>Madhya Pradesh</t>
        </is>
      </c>
      <c r="D57" t="inlineStr">
        <is>
          <t>Solar</t>
        </is>
      </c>
      <c r="E57" t="inlineStr">
        <is>
          <t>2026-10</t>
        </is>
      </c>
      <c r="F57" s="11" t="n">
        <v>7366</v>
      </c>
      <c r="G57" s="12" t="n">
        <v>206.25</v>
      </c>
    </row>
    <row r="58">
      <c r="A58" t="inlineStr">
        <is>
          <t>S09</t>
        </is>
      </c>
      <c r="B58" t="inlineStr">
        <is>
          <t>Jhansi Solar Park</t>
        </is>
      </c>
      <c r="C58" t="inlineStr">
        <is>
          <t>Uttar Pradesh</t>
        </is>
      </c>
      <c r="D58" t="inlineStr">
        <is>
          <t>Solar</t>
        </is>
      </c>
      <c r="E58" t="inlineStr">
        <is>
          <t>2026-04</t>
        </is>
      </c>
      <c r="F58" s="11" t="n">
        <v>1512</v>
      </c>
      <c r="G58" s="12" t="n">
        <v>49.9</v>
      </c>
    </row>
    <row r="59">
      <c r="A59" t="inlineStr">
        <is>
          <t>S09</t>
        </is>
      </c>
      <c r="B59" t="inlineStr">
        <is>
          <t>Jhansi Solar Park</t>
        </is>
      </c>
      <c r="C59" t="inlineStr">
        <is>
          <t>Uttar Pradesh</t>
        </is>
      </c>
      <c r="D59" t="inlineStr">
        <is>
          <t>Solar</t>
        </is>
      </c>
      <c r="E59" t="inlineStr">
        <is>
          <t>2026-05</t>
        </is>
      </c>
      <c r="F59" s="11" t="n">
        <v>1637</v>
      </c>
      <c r="G59" s="12" t="n">
        <v>54.02</v>
      </c>
    </row>
    <row r="60">
      <c r="A60" t="inlineStr">
        <is>
          <t>S09</t>
        </is>
      </c>
      <c r="B60" t="inlineStr">
        <is>
          <t>Jhansi Solar Park</t>
        </is>
      </c>
      <c r="C60" t="inlineStr">
        <is>
          <t>Uttar Pradesh</t>
        </is>
      </c>
      <c r="D60" t="inlineStr">
        <is>
          <t>Solar</t>
        </is>
      </c>
      <c r="E60" t="inlineStr">
        <is>
          <t>2026-06</t>
        </is>
      </c>
      <c r="F60" s="11" t="n">
        <v>1368</v>
      </c>
      <c r="G60" s="12" t="n">
        <v>45.14</v>
      </c>
    </row>
    <row r="61">
      <c r="A61" t="inlineStr">
        <is>
          <t>S09</t>
        </is>
      </c>
      <c r="B61" t="inlineStr">
        <is>
          <t>Jhansi Solar Park</t>
        </is>
      </c>
      <c r="C61" t="inlineStr">
        <is>
          <t>Uttar Pradesh</t>
        </is>
      </c>
      <c r="D61" t="inlineStr">
        <is>
          <t>Solar</t>
        </is>
      </c>
      <c r="E61" t="inlineStr">
        <is>
          <t>2026-07</t>
        </is>
      </c>
      <c r="F61" s="11" t="n">
        <v>1339</v>
      </c>
      <c r="G61" s="12" t="n">
        <v>44.19</v>
      </c>
    </row>
    <row r="62">
      <c r="A62" t="inlineStr">
        <is>
          <t>S09</t>
        </is>
      </c>
      <c r="B62" t="inlineStr">
        <is>
          <t>Jhansi Solar Park</t>
        </is>
      </c>
      <c r="C62" t="inlineStr">
        <is>
          <t>Uttar Pradesh</t>
        </is>
      </c>
      <c r="D62" t="inlineStr">
        <is>
          <t>Solar</t>
        </is>
      </c>
      <c r="E62" t="inlineStr">
        <is>
          <t>2026-08</t>
        </is>
      </c>
      <c r="F62" s="11" t="n">
        <v>1414</v>
      </c>
      <c r="G62" s="12" t="n">
        <v>46.66</v>
      </c>
    </row>
    <row r="63">
      <c r="A63" t="inlineStr">
        <is>
          <t>S09</t>
        </is>
      </c>
      <c r="B63" t="inlineStr">
        <is>
          <t>Jhansi Solar Park</t>
        </is>
      </c>
      <c r="C63" t="inlineStr">
        <is>
          <t>Uttar Pradesh</t>
        </is>
      </c>
      <c r="D63" t="inlineStr">
        <is>
          <t>Solar</t>
        </is>
      </c>
      <c r="E63" t="inlineStr">
        <is>
          <t>2026-09</t>
        </is>
      </c>
      <c r="F63" s="11" t="n">
        <v>1512</v>
      </c>
      <c r="G63" s="12" t="n">
        <v>49.9</v>
      </c>
    </row>
    <row r="64">
      <c r="A64" t="inlineStr">
        <is>
          <t>S09</t>
        </is>
      </c>
      <c r="B64" t="inlineStr">
        <is>
          <t>Jhansi Solar Park</t>
        </is>
      </c>
      <c r="C64" t="inlineStr">
        <is>
          <t>Uttar Pradesh</t>
        </is>
      </c>
      <c r="D64" t="inlineStr">
        <is>
          <t>Solar</t>
        </is>
      </c>
      <c r="E64" t="inlineStr">
        <is>
          <t>2026-10</t>
        </is>
      </c>
      <c r="F64" s="11" t="n">
        <v>1637</v>
      </c>
      <c r="G64" s="12" t="n">
        <v>54.02</v>
      </c>
    </row>
    <row r="65">
      <c r="A65" t="inlineStr">
        <is>
          <t>W01</t>
        </is>
      </c>
      <c r="B65" t="inlineStr">
        <is>
          <t>Kutch Wind Farm</t>
        </is>
      </c>
      <c r="C65" t="inlineStr">
        <is>
          <t>Gujarat</t>
        </is>
      </c>
      <c r="D65" t="inlineStr">
        <is>
          <t>Wind</t>
        </is>
      </c>
      <c r="E65" t="inlineStr">
        <is>
          <t>2026-04</t>
        </is>
      </c>
      <c r="F65" s="11" t="n">
        <v>6480</v>
      </c>
      <c r="G65" s="12" t="n">
        <v>233.28</v>
      </c>
    </row>
    <row r="66">
      <c r="A66" t="inlineStr">
        <is>
          <t>W01</t>
        </is>
      </c>
      <c r="B66" t="inlineStr">
        <is>
          <t>Kutch Wind Farm</t>
        </is>
      </c>
      <c r="C66" t="inlineStr">
        <is>
          <t>Gujarat</t>
        </is>
      </c>
      <c r="D66" t="inlineStr">
        <is>
          <t>Wind</t>
        </is>
      </c>
      <c r="E66" t="inlineStr">
        <is>
          <t>2026-05</t>
        </is>
      </c>
      <c r="F66" s="11" t="n">
        <v>7142</v>
      </c>
      <c r="G66" s="12" t="n">
        <v>257.11</v>
      </c>
    </row>
    <row r="67">
      <c r="A67" t="inlineStr">
        <is>
          <t>W01</t>
        </is>
      </c>
      <c r="B67" t="inlineStr">
        <is>
          <t>Kutch Wind Farm</t>
        </is>
      </c>
      <c r="C67" t="inlineStr">
        <is>
          <t>Gujarat</t>
        </is>
      </c>
      <c r="D67" t="inlineStr">
        <is>
          <t>Wind</t>
        </is>
      </c>
      <c r="E67" t="inlineStr">
        <is>
          <t>2026-06</t>
        </is>
      </c>
      <c r="F67" s="11" t="n">
        <v>7776</v>
      </c>
      <c r="G67" s="12" t="n">
        <v>279.94</v>
      </c>
    </row>
    <row r="68">
      <c r="A68" t="inlineStr">
        <is>
          <t>W01</t>
        </is>
      </c>
      <c r="B68" t="inlineStr">
        <is>
          <t>Kutch Wind Farm</t>
        </is>
      </c>
      <c r="C68" t="inlineStr">
        <is>
          <t>Gujarat</t>
        </is>
      </c>
      <c r="D68" t="inlineStr">
        <is>
          <t>Wind</t>
        </is>
      </c>
      <c r="E68" t="inlineStr">
        <is>
          <t>2026-07</t>
        </is>
      </c>
      <c r="F68" s="11" t="n">
        <v>8482</v>
      </c>
      <c r="G68" s="12" t="n">
        <v>305.35</v>
      </c>
    </row>
    <row r="69">
      <c r="A69" t="inlineStr">
        <is>
          <t>W01</t>
        </is>
      </c>
      <c r="B69" t="inlineStr">
        <is>
          <t>Kutch Wind Farm</t>
        </is>
      </c>
      <c r="C69" t="inlineStr">
        <is>
          <t>Gujarat</t>
        </is>
      </c>
      <c r="D69" t="inlineStr">
        <is>
          <t>Wind</t>
        </is>
      </c>
      <c r="E69" t="inlineStr">
        <is>
          <t>2026-08</t>
        </is>
      </c>
      <c r="F69" s="11" t="n">
        <v>8258</v>
      </c>
      <c r="G69" s="12" t="n">
        <v>297.29</v>
      </c>
    </row>
    <row r="70">
      <c r="A70" t="inlineStr">
        <is>
          <t>W01</t>
        </is>
      </c>
      <c r="B70" t="inlineStr">
        <is>
          <t>Kutch Wind Farm</t>
        </is>
      </c>
      <c r="C70" t="inlineStr">
        <is>
          <t>Gujarat</t>
        </is>
      </c>
      <c r="D70" t="inlineStr">
        <is>
          <t>Wind</t>
        </is>
      </c>
      <c r="E70" t="inlineStr">
        <is>
          <t>2026-09</t>
        </is>
      </c>
      <c r="F70" s="11" t="n">
        <v>7128</v>
      </c>
      <c r="G70" s="12" t="n">
        <v>256.61</v>
      </c>
    </row>
    <row r="71">
      <c r="A71" t="inlineStr">
        <is>
          <t>W01</t>
        </is>
      </c>
      <c r="B71" t="inlineStr">
        <is>
          <t>Kutch Wind Farm</t>
        </is>
      </c>
      <c r="C71" t="inlineStr">
        <is>
          <t>Gujarat</t>
        </is>
      </c>
      <c r="D71" t="inlineStr">
        <is>
          <t>Wind</t>
        </is>
      </c>
      <c r="E71" t="inlineStr">
        <is>
          <t>2026-10</t>
        </is>
      </c>
      <c r="F71" s="11" t="n">
        <v>6696</v>
      </c>
      <c r="G71" s="12" t="n">
        <v>241.06</v>
      </c>
    </row>
    <row r="72">
      <c r="A72" t="inlineStr">
        <is>
          <t>W02</t>
        </is>
      </c>
      <c r="B72" t="inlineStr">
        <is>
          <t>Tirunelveli Wind Farm</t>
        </is>
      </c>
      <c r="C72" t="inlineStr">
        <is>
          <t>Tamil Nadu</t>
        </is>
      </c>
      <c r="D72" t="inlineStr">
        <is>
          <t>Wind</t>
        </is>
      </c>
      <c r="E72" t="inlineStr">
        <is>
          <t>2026-04</t>
        </is>
      </c>
      <c r="F72" s="11" t="n">
        <v>5400</v>
      </c>
      <c r="G72" s="12" t="n">
        <v>202.5</v>
      </c>
    </row>
    <row r="73">
      <c r="A73" t="inlineStr">
        <is>
          <t>W02</t>
        </is>
      </c>
      <c r="B73" t="inlineStr">
        <is>
          <t>Tirunelveli Wind Farm</t>
        </is>
      </c>
      <c r="C73" t="inlineStr">
        <is>
          <t>Tamil Nadu</t>
        </is>
      </c>
      <c r="D73" t="inlineStr">
        <is>
          <t>Wind</t>
        </is>
      </c>
      <c r="E73" t="inlineStr">
        <is>
          <t>2026-05</t>
        </is>
      </c>
      <c r="F73" s="11" t="n">
        <v>5952</v>
      </c>
      <c r="G73" s="12" t="n">
        <v>223.2</v>
      </c>
    </row>
    <row r="74">
      <c r="A74" t="inlineStr">
        <is>
          <t>W02</t>
        </is>
      </c>
      <c r="B74" t="inlineStr">
        <is>
          <t>Tirunelveli Wind Farm</t>
        </is>
      </c>
      <c r="C74" t="inlineStr">
        <is>
          <t>Tamil Nadu</t>
        </is>
      </c>
      <c r="D74" t="inlineStr">
        <is>
          <t>Wind</t>
        </is>
      </c>
      <c r="E74" t="inlineStr">
        <is>
          <t>2026-06</t>
        </is>
      </c>
      <c r="F74" s="11" t="n">
        <v>6480</v>
      </c>
      <c r="G74" s="12" t="n">
        <v>243</v>
      </c>
    </row>
    <row r="75">
      <c r="A75" t="inlineStr">
        <is>
          <t>W02</t>
        </is>
      </c>
      <c r="B75" t="inlineStr">
        <is>
          <t>Tirunelveli Wind Farm</t>
        </is>
      </c>
      <c r="C75" t="inlineStr">
        <is>
          <t>Tamil Nadu</t>
        </is>
      </c>
      <c r="D75" t="inlineStr">
        <is>
          <t>Wind</t>
        </is>
      </c>
      <c r="E75" t="inlineStr">
        <is>
          <t>2026-07</t>
        </is>
      </c>
      <c r="F75" s="11" t="n">
        <v>7068</v>
      </c>
      <c r="G75" s="12" t="n">
        <v>265.05</v>
      </c>
    </row>
    <row r="76">
      <c r="A76" t="inlineStr">
        <is>
          <t>W02</t>
        </is>
      </c>
      <c r="B76" t="inlineStr">
        <is>
          <t>Tirunelveli Wind Farm</t>
        </is>
      </c>
      <c r="C76" t="inlineStr">
        <is>
          <t>Tamil Nadu</t>
        </is>
      </c>
      <c r="D76" t="inlineStr">
        <is>
          <t>Wind</t>
        </is>
      </c>
      <c r="E76" t="inlineStr">
        <is>
          <t>2026-08</t>
        </is>
      </c>
      <c r="F76" s="11" t="n">
        <v>6882</v>
      </c>
      <c r="G76" s="12" t="n">
        <v>258.07</v>
      </c>
    </row>
    <row r="77">
      <c r="A77" t="inlineStr">
        <is>
          <t>W02</t>
        </is>
      </c>
      <c r="B77" t="inlineStr">
        <is>
          <t>Tirunelveli Wind Farm</t>
        </is>
      </c>
      <c r="C77" t="inlineStr">
        <is>
          <t>Tamil Nadu</t>
        </is>
      </c>
      <c r="D77" t="inlineStr">
        <is>
          <t>Wind</t>
        </is>
      </c>
      <c r="E77" t="inlineStr">
        <is>
          <t>2026-09</t>
        </is>
      </c>
      <c r="F77" s="11" t="n">
        <v>5940</v>
      </c>
      <c r="G77" s="12" t="n">
        <v>222.75</v>
      </c>
    </row>
    <row r="78">
      <c r="A78" t="inlineStr">
        <is>
          <t>W02</t>
        </is>
      </c>
      <c r="B78" t="inlineStr">
        <is>
          <t>Tirunelveli Wind Farm</t>
        </is>
      </c>
      <c r="C78" t="inlineStr">
        <is>
          <t>Tamil Nadu</t>
        </is>
      </c>
      <c r="D78" t="inlineStr">
        <is>
          <t>Wind</t>
        </is>
      </c>
      <c r="E78" t="inlineStr">
        <is>
          <t>2026-10</t>
        </is>
      </c>
      <c r="F78" s="11" t="n">
        <v>5580</v>
      </c>
      <c r="G78" s="12" t="n">
        <v>209.25</v>
      </c>
    </row>
    <row r="79">
      <c r="A79" t="inlineStr">
        <is>
          <t>W03</t>
        </is>
      </c>
      <c r="B79" t="inlineStr">
        <is>
          <t>Satara Wind Farm</t>
        </is>
      </c>
      <c r="C79" t="inlineStr">
        <is>
          <t>Maharashtra</t>
        </is>
      </c>
      <c r="D79" t="inlineStr">
        <is>
          <t>Wind</t>
        </is>
      </c>
      <c r="E79" t="inlineStr">
        <is>
          <t>2026-04</t>
        </is>
      </c>
      <c r="F79" s="11" t="n">
        <v>4320</v>
      </c>
      <c r="G79" s="12" t="n">
        <v>166.32</v>
      </c>
    </row>
    <row r="80">
      <c r="A80" t="inlineStr">
        <is>
          <t>W03</t>
        </is>
      </c>
      <c r="B80" t="inlineStr">
        <is>
          <t>Satara Wind Farm</t>
        </is>
      </c>
      <c r="C80" t="inlineStr">
        <is>
          <t>Maharashtra</t>
        </is>
      </c>
      <c r="D80" t="inlineStr">
        <is>
          <t>Wind</t>
        </is>
      </c>
      <c r="E80" t="inlineStr">
        <is>
          <t>2026-05</t>
        </is>
      </c>
      <c r="F80" s="11" t="n">
        <v>4762</v>
      </c>
      <c r="G80" s="12" t="n">
        <v>183.34</v>
      </c>
    </row>
    <row r="81">
      <c r="A81" t="inlineStr">
        <is>
          <t>W03</t>
        </is>
      </c>
      <c r="B81" t="inlineStr">
        <is>
          <t>Satara Wind Farm</t>
        </is>
      </c>
      <c r="C81" t="inlineStr">
        <is>
          <t>Maharashtra</t>
        </is>
      </c>
      <c r="D81" t="inlineStr">
        <is>
          <t>Wind</t>
        </is>
      </c>
      <c r="E81" t="inlineStr">
        <is>
          <t>2026-06</t>
        </is>
      </c>
      <c r="F81" s="11" t="n">
        <v>5184</v>
      </c>
      <c r="G81" s="12" t="n">
        <v>199.58</v>
      </c>
    </row>
    <row r="82">
      <c r="A82" t="inlineStr">
        <is>
          <t>W03</t>
        </is>
      </c>
      <c r="B82" t="inlineStr">
        <is>
          <t>Satara Wind Farm</t>
        </is>
      </c>
      <c r="C82" t="inlineStr">
        <is>
          <t>Maharashtra</t>
        </is>
      </c>
      <c r="D82" t="inlineStr">
        <is>
          <t>Wind</t>
        </is>
      </c>
      <c r="E82" t="inlineStr">
        <is>
          <t>2026-07</t>
        </is>
      </c>
      <c r="F82" s="11" t="n">
        <v>5654</v>
      </c>
      <c r="G82" s="12" t="n">
        <v>217.68</v>
      </c>
    </row>
    <row r="83">
      <c r="A83" t="inlineStr">
        <is>
          <t>W03</t>
        </is>
      </c>
      <c r="B83" t="inlineStr">
        <is>
          <t>Satara Wind Farm</t>
        </is>
      </c>
      <c r="C83" t="inlineStr">
        <is>
          <t>Maharashtra</t>
        </is>
      </c>
      <c r="D83" t="inlineStr">
        <is>
          <t>Wind</t>
        </is>
      </c>
      <c r="E83" t="inlineStr">
        <is>
          <t>2026-08</t>
        </is>
      </c>
      <c r="F83" s="11" t="n">
        <v>5506</v>
      </c>
      <c r="G83" s="12" t="n">
        <v>211.98</v>
      </c>
    </row>
    <row r="84">
      <c r="A84" t="inlineStr">
        <is>
          <t>W03</t>
        </is>
      </c>
      <c r="B84" t="inlineStr">
        <is>
          <t>Satara Wind Farm</t>
        </is>
      </c>
      <c r="C84" t="inlineStr">
        <is>
          <t>Maharashtra</t>
        </is>
      </c>
      <c r="D84" t="inlineStr">
        <is>
          <t>Wind</t>
        </is>
      </c>
      <c r="E84" t="inlineStr">
        <is>
          <t>2026-09</t>
        </is>
      </c>
      <c r="F84" s="11" t="n">
        <v>4752</v>
      </c>
      <c r="G84" s="12" t="n">
        <v>182.95</v>
      </c>
    </row>
    <row r="85">
      <c r="A85" t="inlineStr">
        <is>
          <t>W03</t>
        </is>
      </c>
      <c r="B85" t="inlineStr">
        <is>
          <t>Satara Wind Farm</t>
        </is>
      </c>
      <c r="C85" t="inlineStr">
        <is>
          <t>Maharashtra</t>
        </is>
      </c>
      <c r="D85" t="inlineStr">
        <is>
          <t>Wind</t>
        </is>
      </c>
      <c r="E85" t="inlineStr">
        <is>
          <t>2026-10</t>
        </is>
      </c>
      <c r="F85" s="11" t="n">
        <v>4464</v>
      </c>
      <c r="G85" s="12" t="n">
        <v>171.86</v>
      </c>
    </row>
    <row r="86">
      <c r="A86" t="inlineStr">
        <is>
          <t>W04</t>
        </is>
      </c>
      <c r="B86" t="inlineStr">
        <is>
          <t>Chitradurga Wind Farm</t>
        </is>
      </c>
      <c r="C86" t="inlineStr">
        <is>
          <t>Karnataka</t>
        </is>
      </c>
      <c r="D86" t="inlineStr">
        <is>
          <t>Wind</t>
        </is>
      </c>
      <c r="E86" t="inlineStr">
        <is>
          <t>2026-04</t>
        </is>
      </c>
      <c r="F86" s="11" t="n">
        <v>3240</v>
      </c>
      <c r="G86" s="12" t="n">
        <v>119.88</v>
      </c>
    </row>
    <row r="87">
      <c r="A87" t="inlineStr">
        <is>
          <t>W04</t>
        </is>
      </c>
      <c r="B87" t="inlineStr">
        <is>
          <t>Chitradurga Wind Farm</t>
        </is>
      </c>
      <c r="C87" t="inlineStr">
        <is>
          <t>Karnataka</t>
        </is>
      </c>
      <c r="D87" t="inlineStr">
        <is>
          <t>Wind</t>
        </is>
      </c>
      <c r="E87" t="inlineStr">
        <is>
          <t>2026-05</t>
        </is>
      </c>
      <c r="F87" s="11" t="n">
        <v>3571</v>
      </c>
      <c r="G87" s="12" t="n">
        <v>132.13</v>
      </c>
    </row>
    <row r="88">
      <c r="A88" t="inlineStr">
        <is>
          <t>W04</t>
        </is>
      </c>
      <c r="B88" t="inlineStr">
        <is>
          <t>Chitradurga Wind Farm</t>
        </is>
      </c>
      <c r="C88" t="inlineStr">
        <is>
          <t>Karnataka</t>
        </is>
      </c>
      <c r="D88" t="inlineStr">
        <is>
          <t>Wind</t>
        </is>
      </c>
      <c r="E88" t="inlineStr">
        <is>
          <t>2026-06</t>
        </is>
      </c>
      <c r="F88" s="11" t="n">
        <v>3888</v>
      </c>
      <c r="G88" s="12" t="n">
        <v>143.86</v>
      </c>
    </row>
    <row r="89">
      <c r="A89" t="inlineStr">
        <is>
          <t>W04</t>
        </is>
      </c>
      <c r="B89" t="inlineStr">
        <is>
          <t>Chitradurga Wind Farm</t>
        </is>
      </c>
      <c r="C89" t="inlineStr">
        <is>
          <t>Karnataka</t>
        </is>
      </c>
      <c r="D89" t="inlineStr">
        <is>
          <t>Wind</t>
        </is>
      </c>
      <c r="E89" t="inlineStr">
        <is>
          <t>2026-07</t>
        </is>
      </c>
      <c r="F89" s="11" t="n">
        <v>4241</v>
      </c>
      <c r="G89" s="12" t="n">
        <v>156.92</v>
      </c>
    </row>
    <row r="90">
      <c r="A90" t="inlineStr">
        <is>
          <t>W04</t>
        </is>
      </c>
      <c r="B90" t="inlineStr">
        <is>
          <t>Chitradurga Wind Farm</t>
        </is>
      </c>
      <c r="C90" t="inlineStr">
        <is>
          <t>Karnataka</t>
        </is>
      </c>
      <c r="D90" t="inlineStr">
        <is>
          <t>Wind</t>
        </is>
      </c>
      <c r="E90" t="inlineStr">
        <is>
          <t>2026-08</t>
        </is>
      </c>
      <c r="F90" s="11" t="n">
        <v>4129</v>
      </c>
      <c r="G90" s="12" t="n">
        <v>152.77</v>
      </c>
    </row>
    <row r="91">
      <c r="A91" t="inlineStr">
        <is>
          <t>W04</t>
        </is>
      </c>
      <c r="B91" t="inlineStr">
        <is>
          <t>Chitradurga Wind Farm</t>
        </is>
      </c>
      <c r="C91" t="inlineStr">
        <is>
          <t>Karnataka</t>
        </is>
      </c>
      <c r="D91" t="inlineStr">
        <is>
          <t>Wind</t>
        </is>
      </c>
      <c r="E91" t="inlineStr">
        <is>
          <t>2026-09</t>
        </is>
      </c>
      <c r="F91" s="11" t="n">
        <v>3564</v>
      </c>
      <c r="G91" s="12" t="n">
        <v>131.87</v>
      </c>
    </row>
    <row r="92">
      <c r="A92" t="inlineStr">
        <is>
          <t>W04</t>
        </is>
      </c>
      <c r="B92" t="inlineStr">
        <is>
          <t>Chitradurga Wind Farm</t>
        </is>
      </c>
      <c r="C92" t="inlineStr">
        <is>
          <t>Karnataka</t>
        </is>
      </c>
      <c r="D92" t="inlineStr">
        <is>
          <t>Wind</t>
        </is>
      </c>
      <c r="E92" t="inlineStr">
        <is>
          <t>2026-10</t>
        </is>
      </c>
      <c r="F92" s="11" t="n">
        <v>3348</v>
      </c>
      <c r="G92" s="12" t="n">
        <v>123.88</v>
      </c>
    </row>
    <row r="93">
      <c r="A93" t="inlineStr">
        <is>
          <t>H01</t>
        </is>
      </c>
      <c r="B93" t="inlineStr">
        <is>
          <t>Bikaner Hybrid Park</t>
        </is>
      </c>
      <c r="C93" t="inlineStr">
        <is>
          <t>Rajasthan</t>
        </is>
      </c>
      <c r="D93" t="inlineStr">
        <is>
          <t>Hybrid</t>
        </is>
      </c>
      <c r="E93" t="inlineStr">
        <is>
          <t>2026-04</t>
        </is>
      </c>
      <c r="F93" s="11" t="n">
        <v>11232</v>
      </c>
      <c r="G93" s="12" t="n">
        <v>353.81</v>
      </c>
    </row>
    <row r="94">
      <c r="A94" t="inlineStr">
        <is>
          <t>H01</t>
        </is>
      </c>
      <c r="B94" t="inlineStr">
        <is>
          <t>Bikaner Hybrid Park</t>
        </is>
      </c>
      <c r="C94" t="inlineStr">
        <is>
          <t>Rajasthan</t>
        </is>
      </c>
      <c r="D94" t="inlineStr">
        <is>
          <t>Hybrid</t>
        </is>
      </c>
      <c r="E94" t="inlineStr">
        <is>
          <t>2026-05</t>
        </is>
      </c>
      <c r="F94" s="11" t="n">
        <v>12053</v>
      </c>
      <c r="G94" s="12" t="n">
        <v>379.67</v>
      </c>
    </row>
    <row r="95">
      <c r="A95" t="inlineStr">
        <is>
          <t>H01</t>
        </is>
      </c>
      <c r="B95" t="inlineStr">
        <is>
          <t>Bikaner Hybrid Park</t>
        </is>
      </c>
      <c r="C95" t="inlineStr">
        <is>
          <t>Rajasthan</t>
        </is>
      </c>
      <c r="D95" t="inlineStr">
        <is>
          <t>Hybrid</t>
        </is>
      </c>
      <c r="E95" t="inlineStr">
        <is>
          <t>2026-06</t>
        </is>
      </c>
      <c r="F95" s="11" t="n">
        <v>12096</v>
      </c>
      <c r="G95" s="12" t="n">
        <v>381.02</v>
      </c>
    </row>
    <row r="96">
      <c r="A96" t="inlineStr">
        <is>
          <t>H01</t>
        </is>
      </c>
      <c r="B96" t="inlineStr">
        <is>
          <t>Bikaner Hybrid Park</t>
        </is>
      </c>
      <c r="C96" t="inlineStr">
        <is>
          <t>Rajasthan</t>
        </is>
      </c>
      <c r="D96" t="inlineStr">
        <is>
          <t>Hybrid</t>
        </is>
      </c>
      <c r="E96" t="inlineStr">
        <is>
          <t>2026-07</t>
        </is>
      </c>
      <c r="F96" s="11" t="n">
        <v>12499</v>
      </c>
      <c r="G96" s="12" t="n">
        <v>393.72</v>
      </c>
    </row>
    <row r="97">
      <c r="A97" t="inlineStr">
        <is>
          <t>H01</t>
        </is>
      </c>
      <c r="B97" t="inlineStr">
        <is>
          <t>Bikaner Hybrid Park</t>
        </is>
      </c>
      <c r="C97" t="inlineStr">
        <is>
          <t>Rajasthan</t>
        </is>
      </c>
      <c r="D97" t="inlineStr">
        <is>
          <t>Hybrid</t>
        </is>
      </c>
      <c r="E97" t="inlineStr">
        <is>
          <t>2026-08</t>
        </is>
      </c>
      <c r="F97" s="11" t="n">
        <v>12053</v>
      </c>
      <c r="G97" s="12" t="n">
        <v>379.67</v>
      </c>
    </row>
    <row r="98">
      <c r="A98" t="inlineStr">
        <is>
          <t>H01</t>
        </is>
      </c>
      <c r="B98" t="inlineStr">
        <is>
          <t>Bikaner Hybrid Park</t>
        </is>
      </c>
      <c r="C98" t="inlineStr">
        <is>
          <t>Rajasthan</t>
        </is>
      </c>
      <c r="D98" t="inlineStr">
        <is>
          <t>Hybrid</t>
        </is>
      </c>
      <c r="E98" t="inlineStr">
        <is>
          <t>2026-09</t>
        </is>
      </c>
      <c r="F98" s="11" t="n">
        <v>11664</v>
      </c>
      <c r="G98" s="12" t="n">
        <v>367.42</v>
      </c>
    </row>
    <row r="99">
      <c r="A99" t="inlineStr">
        <is>
          <t>H01</t>
        </is>
      </c>
      <c r="B99" t="inlineStr">
        <is>
          <t>Bikaner Hybrid Park</t>
        </is>
      </c>
      <c r="C99" t="inlineStr">
        <is>
          <t>Rajasthan</t>
        </is>
      </c>
      <c r="D99" t="inlineStr">
        <is>
          <t>Hybrid</t>
        </is>
      </c>
      <c r="E99" t="inlineStr">
        <is>
          <t>2026-10</t>
        </is>
      </c>
      <c r="F99" s="11" t="n">
        <v>11606</v>
      </c>
      <c r="G99" s="12" t="n">
        <v>365.59</v>
      </c>
    </row>
    <row r="100">
      <c r="A100" t="inlineStr">
        <is>
          <t>H02</t>
        </is>
      </c>
      <c r="B100" t="inlineStr">
        <is>
          <t>Kutch Hybrid Park</t>
        </is>
      </c>
      <c r="C100" t="inlineStr">
        <is>
          <t>Gujarat</t>
        </is>
      </c>
      <c r="D100" t="inlineStr">
        <is>
          <t>Hybrid</t>
        </is>
      </c>
      <c r="E100" t="inlineStr">
        <is>
          <t>2026-04</t>
        </is>
      </c>
      <c r="F100" s="11" t="n">
        <v>7488</v>
      </c>
      <c r="G100" s="12" t="n">
        <v>232.13</v>
      </c>
    </row>
    <row r="101">
      <c r="A101" t="inlineStr">
        <is>
          <t>H02</t>
        </is>
      </c>
      <c r="B101" t="inlineStr">
        <is>
          <t>Kutch Hybrid Park</t>
        </is>
      </c>
      <c r="C101" t="inlineStr">
        <is>
          <t>Gujarat</t>
        </is>
      </c>
      <c r="D101" t="inlineStr">
        <is>
          <t>Hybrid</t>
        </is>
      </c>
      <c r="E101" t="inlineStr">
        <is>
          <t>2026-05</t>
        </is>
      </c>
      <c r="F101" s="11" t="n">
        <v>8035</v>
      </c>
      <c r="G101" s="12" t="n">
        <v>249.09</v>
      </c>
    </row>
    <row r="102">
      <c r="A102" t="inlineStr">
        <is>
          <t>H02</t>
        </is>
      </c>
      <c r="B102" t="inlineStr">
        <is>
          <t>Kutch Hybrid Park</t>
        </is>
      </c>
      <c r="C102" t="inlineStr">
        <is>
          <t>Gujarat</t>
        </is>
      </c>
      <c r="D102" t="inlineStr">
        <is>
          <t>Hybrid</t>
        </is>
      </c>
      <c r="E102" t="inlineStr">
        <is>
          <t>2026-06</t>
        </is>
      </c>
      <c r="F102" s="11" t="n">
        <v>8064</v>
      </c>
      <c r="G102" s="12" t="n">
        <v>249.98</v>
      </c>
    </row>
    <row r="103">
      <c r="A103" t="inlineStr">
        <is>
          <t>H02</t>
        </is>
      </c>
      <c r="B103" t="inlineStr">
        <is>
          <t>Kutch Hybrid Park</t>
        </is>
      </c>
      <c r="C103" t="inlineStr">
        <is>
          <t>Gujarat</t>
        </is>
      </c>
      <c r="D103" t="inlineStr">
        <is>
          <t>Hybrid</t>
        </is>
      </c>
      <c r="E103" t="inlineStr">
        <is>
          <t>2026-07</t>
        </is>
      </c>
      <c r="F103" s="11" t="n">
        <v>8333</v>
      </c>
      <c r="G103" s="12" t="n">
        <v>258.32</v>
      </c>
    </row>
    <row r="104">
      <c r="A104" t="inlineStr">
        <is>
          <t>H02</t>
        </is>
      </c>
      <c r="B104" t="inlineStr">
        <is>
          <t>Kutch Hybrid Park</t>
        </is>
      </c>
      <c r="C104" t="inlineStr">
        <is>
          <t>Gujarat</t>
        </is>
      </c>
      <c r="D104" t="inlineStr">
        <is>
          <t>Hybrid</t>
        </is>
      </c>
      <c r="E104" t="inlineStr">
        <is>
          <t>2026-08</t>
        </is>
      </c>
      <c r="F104" s="11" t="n">
        <v>8035</v>
      </c>
      <c r="G104" s="12" t="n">
        <v>249.09</v>
      </c>
    </row>
    <row r="105">
      <c r="A105" t="inlineStr">
        <is>
          <t>H02</t>
        </is>
      </c>
      <c r="B105" t="inlineStr">
        <is>
          <t>Kutch Hybrid Park</t>
        </is>
      </c>
      <c r="C105" t="inlineStr">
        <is>
          <t>Gujarat</t>
        </is>
      </c>
      <c r="D105" t="inlineStr">
        <is>
          <t>Hybrid</t>
        </is>
      </c>
      <c r="E105" t="inlineStr">
        <is>
          <t>2026-09</t>
        </is>
      </c>
      <c r="F105" s="11" t="n">
        <v>7776</v>
      </c>
      <c r="G105" s="12" t="n">
        <v>241.06</v>
      </c>
    </row>
    <row r="106">
      <c r="A106" t="inlineStr">
        <is>
          <t>H02</t>
        </is>
      </c>
      <c r="B106" t="inlineStr">
        <is>
          <t>Kutch Hybrid Park</t>
        </is>
      </c>
      <c r="C106" t="inlineStr">
        <is>
          <t>Gujarat</t>
        </is>
      </c>
      <c r="D106" t="inlineStr">
        <is>
          <t>Hybrid</t>
        </is>
      </c>
      <c r="E106" t="inlineStr">
        <is>
          <t>2026-10</t>
        </is>
      </c>
      <c r="F106" s="11" t="n">
        <v>7738</v>
      </c>
      <c r="G106" s="12" t="n">
        <v>239.88</v>
      </c>
    </row>
    <row r="107">
      <c r="A107" t="inlineStr">
        <is>
          <t>R01</t>
        </is>
      </c>
      <c r="B107" t="inlineStr">
        <is>
          <t>Dubai Rooftop Solar</t>
        </is>
      </c>
      <c r="C107" t="inlineStr">
        <is>
          <t>UAE</t>
        </is>
      </c>
      <c r="D107" t="inlineStr">
        <is>
          <t>Rooftop</t>
        </is>
      </c>
      <c r="E107" t="inlineStr">
        <is>
          <t>2026-04</t>
        </is>
      </c>
      <c r="F107" s="11" t="n">
        <v>259</v>
      </c>
      <c r="G107" s="12" t="n">
        <v>8.81</v>
      </c>
    </row>
    <row r="108">
      <c r="A108" t="inlineStr">
        <is>
          <t>R01</t>
        </is>
      </c>
      <c r="B108" t="inlineStr">
        <is>
          <t>Dubai Rooftop Solar</t>
        </is>
      </c>
      <c r="C108" t="inlineStr">
        <is>
          <t>UAE</t>
        </is>
      </c>
      <c r="D108" t="inlineStr">
        <is>
          <t>Rooftop</t>
        </is>
      </c>
      <c r="E108" t="inlineStr">
        <is>
          <t>2026-05</t>
        </is>
      </c>
      <c r="F108" s="11" t="n">
        <v>268</v>
      </c>
      <c r="G108" s="12" t="n">
        <v>9.109999999999999</v>
      </c>
    </row>
    <row r="109">
      <c r="A109" t="inlineStr">
        <is>
          <t>R01</t>
        </is>
      </c>
      <c r="B109" t="inlineStr">
        <is>
          <t>Dubai Rooftop Solar</t>
        </is>
      </c>
      <c r="C109" t="inlineStr">
        <is>
          <t>UAE</t>
        </is>
      </c>
      <c r="D109" t="inlineStr">
        <is>
          <t>Rooftop</t>
        </is>
      </c>
      <c r="E109" t="inlineStr">
        <is>
          <t>2026-06</t>
        </is>
      </c>
      <c r="F109" s="11" t="n">
        <v>245</v>
      </c>
      <c r="G109" s="12" t="n">
        <v>8.33</v>
      </c>
    </row>
    <row r="110">
      <c r="A110" t="inlineStr">
        <is>
          <t>R01</t>
        </is>
      </c>
      <c r="B110" t="inlineStr">
        <is>
          <t>Dubai Rooftop Solar</t>
        </is>
      </c>
      <c r="C110" t="inlineStr">
        <is>
          <t>UAE</t>
        </is>
      </c>
      <c r="D110" t="inlineStr">
        <is>
          <t>Rooftop</t>
        </is>
      </c>
      <c r="E110" t="inlineStr">
        <is>
          <t>2026-07</t>
        </is>
      </c>
      <c r="F110" s="11" t="n">
        <v>238</v>
      </c>
      <c r="G110" s="12" t="n">
        <v>8.09</v>
      </c>
    </row>
    <row r="111">
      <c r="A111" t="inlineStr">
        <is>
          <t>R01</t>
        </is>
      </c>
      <c r="B111" t="inlineStr">
        <is>
          <t>Dubai Rooftop Solar</t>
        </is>
      </c>
      <c r="C111" t="inlineStr">
        <is>
          <t>UAE</t>
        </is>
      </c>
      <c r="D111" t="inlineStr">
        <is>
          <t>Rooftop</t>
        </is>
      </c>
      <c r="E111" t="inlineStr">
        <is>
          <t>2026-08</t>
        </is>
      </c>
      <c r="F111" s="11" t="n">
        <v>253</v>
      </c>
      <c r="G111" s="12" t="n">
        <v>8.6</v>
      </c>
    </row>
    <row r="112">
      <c r="A112" t="inlineStr">
        <is>
          <t>R01</t>
        </is>
      </c>
      <c r="B112" t="inlineStr">
        <is>
          <t>Dubai Rooftop Solar</t>
        </is>
      </c>
      <c r="C112" t="inlineStr">
        <is>
          <t>UAE</t>
        </is>
      </c>
      <c r="D112" t="inlineStr">
        <is>
          <t>Rooftop</t>
        </is>
      </c>
      <c r="E112" t="inlineStr">
        <is>
          <t>2026-09</t>
        </is>
      </c>
      <c r="F112" s="11" t="n">
        <v>259</v>
      </c>
      <c r="G112" s="12" t="n">
        <v>8.81</v>
      </c>
    </row>
    <row r="113">
      <c r="A113" t="inlineStr">
        <is>
          <t>R01</t>
        </is>
      </c>
      <c r="B113" t="inlineStr">
        <is>
          <t>Dubai Rooftop Solar</t>
        </is>
      </c>
      <c r="C113" t="inlineStr">
        <is>
          <t>UAE</t>
        </is>
      </c>
      <c r="D113" t="inlineStr">
        <is>
          <t>Rooftop</t>
        </is>
      </c>
      <c r="E113" t="inlineStr">
        <is>
          <t>2026-10</t>
        </is>
      </c>
      <c r="F113" s="11" t="n">
        <v>268</v>
      </c>
      <c r="G113" s="12" t="n">
        <v>9.109999999999999</v>
      </c>
    </row>
    <row r="114">
      <c r="A114" t="inlineStr">
        <is>
          <t>R02</t>
        </is>
      </c>
      <c r="B114" t="inlineStr">
        <is>
          <t>Singapore Rooftop Solar</t>
        </is>
      </c>
      <c r="C114" t="inlineStr">
        <is>
          <t>Singapore</t>
        </is>
      </c>
      <c r="D114" t="inlineStr">
        <is>
          <t>Rooftop</t>
        </is>
      </c>
      <c r="E114" t="inlineStr">
        <is>
          <t>2026-04</t>
        </is>
      </c>
      <c r="F114" s="11" t="n">
        <v>194</v>
      </c>
      <c r="G114" s="12" t="n">
        <v>6.79</v>
      </c>
    </row>
    <row r="115">
      <c r="A115" t="inlineStr">
        <is>
          <t>R02</t>
        </is>
      </c>
      <c r="B115" t="inlineStr">
        <is>
          <t>Singapore Rooftop Solar</t>
        </is>
      </c>
      <c r="C115" t="inlineStr">
        <is>
          <t>Singapore</t>
        </is>
      </c>
      <c r="D115" t="inlineStr">
        <is>
          <t>Rooftop</t>
        </is>
      </c>
      <c r="E115" t="inlineStr">
        <is>
          <t>2026-05</t>
        </is>
      </c>
      <c r="F115" s="11" t="n">
        <v>201</v>
      </c>
      <c r="G115" s="12" t="n">
        <v>7.04</v>
      </c>
    </row>
    <row r="116">
      <c r="A116" t="inlineStr">
        <is>
          <t>R02</t>
        </is>
      </c>
      <c r="B116" t="inlineStr">
        <is>
          <t>Singapore Rooftop Solar</t>
        </is>
      </c>
      <c r="C116" t="inlineStr">
        <is>
          <t>Singapore</t>
        </is>
      </c>
      <c r="D116" t="inlineStr">
        <is>
          <t>Rooftop</t>
        </is>
      </c>
      <c r="E116" t="inlineStr">
        <is>
          <t>2026-06</t>
        </is>
      </c>
      <c r="F116" s="11" t="n">
        <v>184</v>
      </c>
      <c r="G116" s="12" t="n">
        <v>6.44</v>
      </c>
    </row>
    <row r="117">
      <c r="A117" t="inlineStr">
        <is>
          <t>R02</t>
        </is>
      </c>
      <c r="B117" t="inlineStr">
        <is>
          <t>Singapore Rooftop Solar</t>
        </is>
      </c>
      <c r="C117" t="inlineStr">
        <is>
          <t>Singapore</t>
        </is>
      </c>
      <c r="D117" t="inlineStr">
        <is>
          <t>Rooftop</t>
        </is>
      </c>
      <c r="E117" t="inlineStr">
        <is>
          <t>2026-07</t>
        </is>
      </c>
      <c r="F117" s="11" t="n">
        <v>179</v>
      </c>
      <c r="G117" s="12" t="n">
        <v>6.26</v>
      </c>
    </row>
    <row r="118">
      <c r="A118" t="inlineStr">
        <is>
          <t>R02</t>
        </is>
      </c>
      <c r="B118" t="inlineStr">
        <is>
          <t>Singapore Rooftop Solar</t>
        </is>
      </c>
      <c r="C118" t="inlineStr">
        <is>
          <t>Singapore</t>
        </is>
      </c>
      <c r="D118" t="inlineStr">
        <is>
          <t>Rooftop</t>
        </is>
      </c>
      <c r="E118" t="inlineStr">
        <is>
          <t>2026-08</t>
        </is>
      </c>
      <c r="F118" s="11" t="n">
        <v>190</v>
      </c>
      <c r="G118" s="12" t="n">
        <v>6.65</v>
      </c>
    </row>
    <row r="119">
      <c r="A119" t="inlineStr">
        <is>
          <t>R02</t>
        </is>
      </c>
      <c r="B119" t="inlineStr">
        <is>
          <t>Singapore Rooftop Solar</t>
        </is>
      </c>
      <c r="C119" t="inlineStr">
        <is>
          <t>Singapore</t>
        </is>
      </c>
      <c r="D119" t="inlineStr">
        <is>
          <t>Rooftop</t>
        </is>
      </c>
      <c r="E119" t="inlineStr">
        <is>
          <t>2026-09</t>
        </is>
      </c>
      <c r="F119" s="11" t="n">
        <v>194</v>
      </c>
      <c r="G119" s="12" t="n">
        <v>6.79</v>
      </c>
    </row>
    <row r="120">
      <c r="A120" t="inlineStr">
        <is>
          <t>R02</t>
        </is>
      </c>
      <c r="B120" t="inlineStr">
        <is>
          <t>Singapore Rooftop Solar</t>
        </is>
      </c>
      <c r="C120" t="inlineStr">
        <is>
          <t>Singapore</t>
        </is>
      </c>
      <c r="D120" t="inlineStr">
        <is>
          <t>Rooftop</t>
        </is>
      </c>
      <c r="E120" t="inlineStr">
        <is>
          <t>2026-10</t>
        </is>
      </c>
      <c r="F120" s="11" t="n">
        <v>201</v>
      </c>
      <c r="G120" s="12" t="n">
        <v>7.04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2" customWidth="1" min="4" max="4"/>
    <col width="10" customWidth="1" min="5" max="5"/>
    <col width="12" customWidth="1" min="6" max="6"/>
    <col width="19" customWidth="1" min="7" max="7"/>
    <col width="15" customWidth="1" min="8" max="8"/>
    <col width="12" customWidth="1" min="9" max="9"/>
    <col width="13" customWidth="1" min="10" max="10"/>
    <col width="14" customWidth="1" min="11" max="11"/>
    <col width="14" customWidth="1" min="12" max="12"/>
  </cols>
  <sheetData>
    <row r="1">
      <c r="A1" s="10" t="inlineStr">
        <is>
          <t>SiteID</t>
        </is>
      </c>
      <c r="B1" s="10" t="inlineStr">
        <is>
          <t>Site</t>
        </is>
      </c>
      <c r="C1" s="10" t="inlineStr">
        <is>
          <t>State</t>
        </is>
      </c>
      <c r="D1" s="10" t="inlineStr">
        <is>
          <t>Technology</t>
        </is>
      </c>
      <c r="E1" s="10" t="inlineStr">
        <is>
          <t>Month</t>
        </is>
      </c>
      <c r="F1" s="10" t="inlineStr">
        <is>
          <t>ActualMWh</t>
        </is>
      </c>
      <c r="G1" s="10" t="inlineStr">
        <is>
          <t>ActualRevenueLakh</t>
        </is>
      </c>
      <c r="H1" s="10" t="inlineStr">
        <is>
          <t>CurtailmentMWh</t>
        </is>
      </c>
      <c r="I1" s="10" t="inlineStr">
        <is>
          <t>OutageHours</t>
        </is>
      </c>
      <c r="J1" s="10" t="inlineStr">
        <is>
          <t>VarianceMWh</t>
        </is>
      </c>
      <c r="K1" s="10" t="inlineStr">
        <is>
          <t>AchievementPct</t>
        </is>
      </c>
      <c r="L1" s="10" t="inlineStr">
        <is>
          <t>CurtailmentPct</t>
        </is>
      </c>
    </row>
    <row r="2">
      <c r="A2" t="inlineStr">
        <is>
          <t>S01</t>
        </is>
      </c>
      <c r="B2" t="inlineStr">
        <is>
          <t>Jodhpur Solar Park</t>
        </is>
      </c>
      <c r="C2" t="inlineStr">
        <is>
          <t>Rajasthan</t>
        </is>
      </c>
      <c r="D2" t="inlineStr">
        <is>
          <t>Solar</t>
        </is>
      </c>
      <c r="E2" t="inlineStr">
        <is>
          <t>2026-04</t>
        </is>
      </c>
      <c r="F2" s="11" t="n">
        <v>7197</v>
      </c>
      <c r="G2" s="12" t="n">
        <v>212.31</v>
      </c>
      <c r="H2" s="11" t="n">
        <v>106</v>
      </c>
      <c r="I2" s="11" t="n">
        <v>22</v>
      </c>
      <c r="J2" s="11">
        <f>$F2-SUMIFS(Raw_Plan!$F$2:$F$120,Raw_Plan!$A$2:$A$120,$A2,Raw_Plan!$E$2:$E$120,$E2)</f>
        <v/>
      </c>
      <c r="K2" s="13">
        <f>IF(SUMIFS(Raw_Plan!$F$2:$F$120,Raw_Plan!$A$2:$A$120,$A2,Raw_Plan!$E$2:$E$120,$E2)=0,"",$F2/SUMIFS(Raw_Plan!$F$2:$F$120,Raw_Plan!$A$2:$A$120,$A2,Raw_Plan!$E$2:$E$120,$E2))</f>
        <v/>
      </c>
      <c r="L2" s="13">
        <f>IF(SUMIFS(Raw_Plan!$F$2:$F$120,Raw_Plan!$A$2:$A$120,$A2,Raw_Plan!$E$2:$E$120,$E2)=0,"",$H2/SUMIFS(Raw_Plan!$F$2:$F$120,Raw_Plan!$A$2:$A$120,$A2,Raw_Plan!$E$2:$E$120,$E2))</f>
        <v/>
      </c>
    </row>
    <row r="3">
      <c r="A3" t="inlineStr">
        <is>
          <t>S01</t>
        </is>
      </c>
      <c r="B3" t="inlineStr">
        <is>
          <t>Jodhpur Solar Park</t>
        </is>
      </c>
      <c r="C3" t="inlineStr">
        <is>
          <t>Rajasthan</t>
        </is>
      </c>
      <c r="D3" t="inlineStr">
        <is>
          <t>Solar</t>
        </is>
      </c>
      <c r="E3" t="inlineStr">
        <is>
          <t>2026-05</t>
        </is>
      </c>
      <c r="F3" s="11" t="n">
        <v>7668</v>
      </c>
      <c r="G3" s="12" t="n">
        <v>226.21</v>
      </c>
      <c r="H3" s="11" t="n">
        <v>90</v>
      </c>
      <c r="I3" s="11" t="n">
        <v>29</v>
      </c>
      <c r="J3" s="11">
        <f>$F3-SUMIFS(Raw_Plan!$F$2:$F$120,Raw_Plan!$A$2:$A$120,$A3,Raw_Plan!$E$2:$E$120,$E3)</f>
        <v/>
      </c>
      <c r="K3" s="13">
        <f>IF(SUMIFS(Raw_Plan!$F$2:$F$120,Raw_Plan!$A$2:$A$120,$A3,Raw_Plan!$E$2:$E$120,$E3)=0,"",$F3/SUMIFS(Raw_Plan!$F$2:$F$120,Raw_Plan!$A$2:$A$120,$A3,Raw_Plan!$E$2:$E$120,$E3))</f>
        <v/>
      </c>
      <c r="L3" s="13">
        <f>IF(SUMIFS(Raw_Plan!$F$2:$F$120,Raw_Plan!$A$2:$A$120,$A3,Raw_Plan!$E$2:$E$120,$E3)=0,"",$H3/SUMIFS(Raw_Plan!$F$2:$F$120,Raw_Plan!$A$2:$A$120,$A3,Raw_Plan!$E$2:$E$120,$E3))</f>
        <v/>
      </c>
    </row>
    <row r="4">
      <c r="A4" t="inlineStr">
        <is>
          <t>S01</t>
        </is>
      </c>
      <c r="B4" t="inlineStr">
        <is>
          <t>Jodhpur Solar Park</t>
        </is>
      </c>
      <c r="C4" t="inlineStr">
        <is>
          <t>Rajasthan</t>
        </is>
      </c>
      <c r="D4" t="inlineStr">
        <is>
          <t>Solar</t>
        </is>
      </c>
      <c r="E4" t="inlineStr">
        <is>
          <t>2026-06</t>
        </is>
      </c>
      <c r="F4" s="11" t="n">
        <v>7155</v>
      </c>
      <c r="G4" s="12" t="n">
        <v>211.07</v>
      </c>
      <c r="H4" s="11" t="n">
        <v>171</v>
      </c>
      <c r="I4" s="11" t="n">
        <v>5</v>
      </c>
      <c r="J4" s="11">
        <f>$F4-SUMIFS(Raw_Plan!$F$2:$F$120,Raw_Plan!$A$2:$A$120,$A4,Raw_Plan!$E$2:$E$120,$E4)</f>
        <v/>
      </c>
      <c r="K4" s="13">
        <f>IF(SUMIFS(Raw_Plan!$F$2:$F$120,Raw_Plan!$A$2:$A$120,$A4,Raw_Plan!$E$2:$E$120,$E4)=0,"",$F4/SUMIFS(Raw_Plan!$F$2:$F$120,Raw_Plan!$A$2:$A$120,$A4,Raw_Plan!$E$2:$E$120,$E4))</f>
        <v/>
      </c>
      <c r="L4" s="13">
        <f>IF(SUMIFS(Raw_Plan!$F$2:$F$120,Raw_Plan!$A$2:$A$120,$A4,Raw_Plan!$E$2:$E$120,$E4)=0,"",$H4/SUMIFS(Raw_Plan!$F$2:$F$120,Raw_Plan!$A$2:$A$120,$A4,Raw_Plan!$E$2:$E$120,$E4))</f>
        <v/>
      </c>
    </row>
    <row r="5">
      <c r="A5" t="inlineStr">
        <is>
          <t>S01</t>
        </is>
      </c>
      <c r="B5" t="inlineStr">
        <is>
          <t>Jodhpur Solar Park</t>
        </is>
      </c>
      <c r="C5" t="inlineStr">
        <is>
          <t>Rajasthan</t>
        </is>
      </c>
      <c r="D5" t="inlineStr">
        <is>
          <t>Solar</t>
        </is>
      </c>
      <c r="E5" t="inlineStr">
        <is>
          <t>2026-07</t>
        </is>
      </c>
      <c r="F5" s="11" t="n">
        <v>6723</v>
      </c>
      <c r="G5" s="12" t="n">
        <v>198.33</v>
      </c>
      <c r="H5" s="11" t="n">
        <v>281</v>
      </c>
      <c r="I5" s="11" t="n">
        <v>9</v>
      </c>
      <c r="J5" s="11">
        <f>$F5-SUMIFS(Raw_Plan!$F$2:$F$120,Raw_Plan!$A$2:$A$120,$A5,Raw_Plan!$E$2:$E$120,$E5)</f>
        <v/>
      </c>
      <c r="K5" s="13">
        <f>IF(SUMIFS(Raw_Plan!$F$2:$F$120,Raw_Plan!$A$2:$A$120,$A5,Raw_Plan!$E$2:$E$120,$E5)=0,"",$F5/SUMIFS(Raw_Plan!$F$2:$F$120,Raw_Plan!$A$2:$A$120,$A5,Raw_Plan!$E$2:$E$120,$E5))</f>
        <v/>
      </c>
      <c r="L5" s="13">
        <f>IF(SUMIFS(Raw_Plan!$F$2:$F$120,Raw_Plan!$A$2:$A$120,$A5,Raw_Plan!$E$2:$E$120,$E5)=0,"",$H5/SUMIFS(Raw_Plan!$F$2:$F$120,Raw_Plan!$A$2:$A$120,$A5,Raw_Plan!$E$2:$E$120,$E5))</f>
        <v/>
      </c>
    </row>
    <row r="6">
      <c r="A6" t="inlineStr">
        <is>
          <t>S01</t>
        </is>
      </c>
      <c r="B6" t="inlineStr">
        <is>
          <t>Jodhpur Solar Park</t>
        </is>
      </c>
      <c r="C6" t="inlineStr">
        <is>
          <t>Rajasthan</t>
        </is>
      </c>
      <c r="D6" t="inlineStr">
        <is>
          <t>Solar</t>
        </is>
      </c>
      <c r="E6" t="inlineStr">
        <is>
          <t>2026-08</t>
        </is>
      </c>
      <c r="F6" s="11" t="n">
        <v>6566</v>
      </c>
      <c r="G6" s="12" t="n">
        <v>193.7</v>
      </c>
      <c r="H6" s="11" t="n">
        <v>368</v>
      </c>
      <c r="I6" s="11" t="n">
        <v>14</v>
      </c>
      <c r="J6" s="11">
        <f>$F6-SUMIFS(Raw_Plan!$F$2:$F$120,Raw_Plan!$A$2:$A$120,$A6,Raw_Plan!$E$2:$E$120,$E6)</f>
        <v/>
      </c>
      <c r="K6" s="13">
        <f>IF(SUMIFS(Raw_Plan!$F$2:$F$120,Raw_Plan!$A$2:$A$120,$A6,Raw_Plan!$E$2:$E$120,$E6)=0,"",$F6/SUMIFS(Raw_Plan!$F$2:$F$120,Raw_Plan!$A$2:$A$120,$A6,Raw_Plan!$E$2:$E$120,$E6))</f>
        <v/>
      </c>
      <c r="L6" s="13">
        <f>IF(SUMIFS(Raw_Plan!$F$2:$F$120,Raw_Plan!$A$2:$A$120,$A6,Raw_Plan!$E$2:$E$120,$E6)=0,"",$H6/SUMIFS(Raw_Plan!$F$2:$F$120,Raw_Plan!$A$2:$A$120,$A6,Raw_Plan!$E$2:$E$120,$E6))</f>
        <v/>
      </c>
    </row>
    <row r="7">
      <c r="A7" t="inlineStr">
        <is>
          <t>S01</t>
        </is>
      </c>
      <c r="B7" t="inlineStr">
        <is>
          <t>Jodhpur Solar Park</t>
        </is>
      </c>
      <c r="C7" t="inlineStr">
        <is>
          <t>Rajasthan</t>
        </is>
      </c>
      <c r="D7" t="inlineStr">
        <is>
          <t>Solar</t>
        </is>
      </c>
      <c r="E7" t="inlineStr">
        <is>
          <t>2026-09</t>
        </is>
      </c>
      <c r="F7" s="11" t="n">
        <v>7741</v>
      </c>
      <c r="G7" s="12" t="n">
        <v>228.36</v>
      </c>
      <c r="H7" s="11" t="n">
        <v>60</v>
      </c>
      <c r="I7" s="11" t="n">
        <v>23</v>
      </c>
      <c r="J7" s="11">
        <f>$F7-SUMIFS(Raw_Plan!$F$2:$F$120,Raw_Plan!$A$2:$A$120,$A7,Raw_Plan!$E$2:$E$120,$E7)</f>
        <v/>
      </c>
      <c r="K7" s="13">
        <f>IF(SUMIFS(Raw_Plan!$F$2:$F$120,Raw_Plan!$A$2:$A$120,$A7,Raw_Plan!$E$2:$E$120,$E7)=0,"",$F7/SUMIFS(Raw_Plan!$F$2:$F$120,Raw_Plan!$A$2:$A$120,$A7,Raw_Plan!$E$2:$E$120,$E7))</f>
        <v/>
      </c>
      <c r="L7" s="13">
        <f>IF(SUMIFS(Raw_Plan!$F$2:$F$120,Raw_Plan!$A$2:$A$120,$A7,Raw_Plan!$E$2:$E$120,$E7)=0,"",$H7/SUMIFS(Raw_Plan!$F$2:$F$120,Raw_Plan!$A$2:$A$120,$A7,Raw_Plan!$E$2:$E$120,$E7))</f>
        <v/>
      </c>
    </row>
    <row r="8">
      <c r="A8" t="inlineStr">
        <is>
          <t>S01</t>
        </is>
      </c>
      <c r="B8" t="inlineStr">
        <is>
          <t>Jodhpur Solar Park</t>
        </is>
      </c>
      <c r="C8" t="inlineStr">
        <is>
          <t>Rajasthan</t>
        </is>
      </c>
      <c r="D8" t="inlineStr">
        <is>
          <t>Solar</t>
        </is>
      </c>
      <c r="E8" t="inlineStr">
        <is>
          <t>2026-10</t>
        </is>
      </c>
      <c r="F8" s="11" t="n">
        <v>8454</v>
      </c>
      <c r="G8" s="12" t="n">
        <v>249.39</v>
      </c>
      <c r="H8" s="11" t="n">
        <v>286</v>
      </c>
      <c r="I8" s="11" t="n">
        <v>6</v>
      </c>
      <c r="J8" s="11">
        <f>$F8-SUMIFS(Raw_Plan!$F$2:$F$120,Raw_Plan!$A$2:$A$120,$A8,Raw_Plan!$E$2:$E$120,$E8)</f>
        <v/>
      </c>
      <c r="K8" s="13">
        <f>IF(SUMIFS(Raw_Plan!$F$2:$F$120,Raw_Plan!$A$2:$A$120,$A8,Raw_Plan!$E$2:$E$120,$E8)=0,"",$F8/SUMIFS(Raw_Plan!$F$2:$F$120,Raw_Plan!$A$2:$A$120,$A8,Raw_Plan!$E$2:$E$120,$E8))</f>
        <v/>
      </c>
      <c r="L8" s="13">
        <f>IF(SUMIFS(Raw_Plan!$F$2:$F$120,Raw_Plan!$A$2:$A$120,$A8,Raw_Plan!$E$2:$E$120,$E8)=0,"",$H8/SUMIFS(Raw_Plan!$F$2:$F$120,Raw_Plan!$A$2:$A$120,$A8,Raw_Plan!$E$2:$E$120,$E8))</f>
        <v/>
      </c>
    </row>
    <row r="9">
      <c r="A9" t="inlineStr">
        <is>
          <t>S02</t>
        </is>
      </c>
      <c r="B9" t="inlineStr">
        <is>
          <t>Kutch Solar Park</t>
        </is>
      </c>
      <c r="C9" t="inlineStr">
        <is>
          <t>Gujarat</t>
        </is>
      </c>
      <c r="D9" t="inlineStr">
        <is>
          <t>Solar</t>
        </is>
      </c>
      <c r="E9" t="inlineStr">
        <is>
          <t>2026-04</t>
        </is>
      </c>
      <c r="F9" s="11" t="n">
        <v>6060</v>
      </c>
      <c r="G9" s="12" t="n">
        <v>172.71</v>
      </c>
      <c r="H9" s="11" t="n">
        <v>30</v>
      </c>
      <c r="I9" s="11" t="n">
        <v>40</v>
      </c>
      <c r="J9" s="11">
        <f>$F9-SUMIFS(Raw_Plan!$F$2:$F$120,Raw_Plan!$A$2:$A$120,$A9,Raw_Plan!$E$2:$E$120,$E9)</f>
        <v/>
      </c>
      <c r="K9" s="13">
        <f>IF(SUMIFS(Raw_Plan!$F$2:$F$120,Raw_Plan!$A$2:$A$120,$A9,Raw_Plan!$E$2:$E$120,$E9)=0,"",$F9/SUMIFS(Raw_Plan!$F$2:$F$120,Raw_Plan!$A$2:$A$120,$A9,Raw_Plan!$E$2:$E$120,$E9))</f>
        <v/>
      </c>
      <c r="L9" s="13">
        <f>IF(SUMIFS(Raw_Plan!$F$2:$F$120,Raw_Plan!$A$2:$A$120,$A9,Raw_Plan!$E$2:$E$120,$E9)=0,"",$H9/SUMIFS(Raw_Plan!$F$2:$F$120,Raw_Plan!$A$2:$A$120,$A9,Raw_Plan!$E$2:$E$120,$E9))</f>
        <v/>
      </c>
    </row>
    <row r="10">
      <c r="A10" t="inlineStr">
        <is>
          <t>S02</t>
        </is>
      </c>
      <c r="B10" t="inlineStr">
        <is>
          <t>Kutch Solar Park</t>
        </is>
      </c>
      <c r="C10" t="inlineStr">
        <is>
          <t>Gujarat</t>
        </is>
      </c>
      <c r="D10" t="inlineStr">
        <is>
          <t>Solar</t>
        </is>
      </c>
      <c r="E10" t="inlineStr">
        <is>
          <t>2026-05</t>
        </is>
      </c>
      <c r="F10" s="11" t="n">
        <v>5886</v>
      </c>
      <c r="G10" s="12" t="n">
        <v>167.75</v>
      </c>
      <c r="H10" s="11" t="n">
        <v>170</v>
      </c>
      <c r="I10" s="11" t="n">
        <v>12</v>
      </c>
      <c r="J10" s="11">
        <f>$F10-SUMIFS(Raw_Plan!$F$2:$F$120,Raw_Plan!$A$2:$A$120,$A10,Raw_Plan!$E$2:$E$120,$E10)</f>
        <v/>
      </c>
      <c r="K10" s="13">
        <f>IF(SUMIFS(Raw_Plan!$F$2:$F$120,Raw_Plan!$A$2:$A$120,$A10,Raw_Plan!$E$2:$E$120,$E10)=0,"",$F10/SUMIFS(Raw_Plan!$F$2:$F$120,Raw_Plan!$A$2:$A$120,$A10,Raw_Plan!$E$2:$E$120,$E10))</f>
        <v/>
      </c>
      <c r="L10" s="13">
        <f>IF(SUMIFS(Raw_Plan!$F$2:$F$120,Raw_Plan!$A$2:$A$120,$A10,Raw_Plan!$E$2:$E$120,$E10)=0,"",$H10/SUMIFS(Raw_Plan!$F$2:$F$120,Raw_Plan!$A$2:$A$120,$A10,Raw_Plan!$E$2:$E$120,$E10))</f>
        <v/>
      </c>
    </row>
    <row r="11">
      <c r="A11" t="inlineStr">
        <is>
          <t>S02</t>
        </is>
      </c>
      <c r="B11" t="inlineStr">
        <is>
          <t>Kutch Solar Park</t>
        </is>
      </c>
      <c r="C11" t="inlineStr">
        <is>
          <t>Gujarat</t>
        </is>
      </c>
      <c r="D11" t="inlineStr">
        <is>
          <t>Solar</t>
        </is>
      </c>
      <c r="E11" t="inlineStr">
        <is>
          <t>2026-06</t>
        </is>
      </c>
      <c r="F11" s="11" t="n">
        <v>4826</v>
      </c>
      <c r="G11" s="12" t="n">
        <v>137.54</v>
      </c>
      <c r="H11" s="11" t="n">
        <v>164</v>
      </c>
      <c r="I11" s="11" t="n">
        <v>6</v>
      </c>
      <c r="J11" s="11">
        <f>$F11-SUMIFS(Raw_Plan!$F$2:$F$120,Raw_Plan!$A$2:$A$120,$A11,Raw_Plan!$E$2:$E$120,$E11)</f>
        <v/>
      </c>
      <c r="K11" s="13">
        <f>IF(SUMIFS(Raw_Plan!$F$2:$F$120,Raw_Plan!$A$2:$A$120,$A11,Raw_Plan!$E$2:$E$120,$E11)=0,"",$F11/SUMIFS(Raw_Plan!$F$2:$F$120,Raw_Plan!$A$2:$A$120,$A11,Raw_Plan!$E$2:$E$120,$E11))</f>
        <v/>
      </c>
      <c r="L11" s="13">
        <f>IF(SUMIFS(Raw_Plan!$F$2:$F$120,Raw_Plan!$A$2:$A$120,$A11,Raw_Plan!$E$2:$E$120,$E11)=0,"",$H11/SUMIFS(Raw_Plan!$F$2:$F$120,Raw_Plan!$A$2:$A$120,$A11,Raw_Plan!$E$2:$E$120,$E11))</f>
        <v/>
      </c>
    </row>
    <row r="12">
      <c r="A12" t="inlineStr">
        <is>
          <t>S02</t>
        </is>
      </c>
      <c r="B12" t="inlineStr">
        <is>
          <t>Kutch Solar Park</t>
        </is>
      </c>
      <c r="C12" t="inlineStr">
        <is>
          <t>Gujarat</t>
        </is>
      </c>
      <c r="D12" t="inlineStr">
        <is>
          <t>Solar</t>
        </is>
      </c>
      <c r="E12" t="inlineStr">
        <is>
          <t>2026-07</t>
        </is>
      </c>
      <c r="F12" s="11" t="n">
        <v>4709</v>
      </c>
      <c r="G12" s="12" t="n">
        <v>134.21</v>
      </c>
      <c r="H12" s="11" t="n">
        <v>32</v>
      </c>
      <c r="I12" s="11" t="n">
        <v>31</v>
      </c>
      <c r="J12" s="11">
        <f>$F12-SUMIFS(Raw_Plan!$F$2:$F$120,Raw_Plan!$A$2:$A$120,$A12,Raw_Plan!$E$2:$E$120,$E12)</f>
        <v/>
      </c>
      <c r="K12" s="13">
        <f>IF(SUMIFS(Raw_Plan!$F$2:$F$120,Raw_Plan!$A$2:$A$120,$A12,Raw_Plan!$E$2:$E$120,$E12)=0,"",$F12/SUMIFS(Raw_Plan!$F$2:$F$120,Raw_Plan!$A$2:$A$120,$A12,Raw_Plan!$E$2:$E$120,$E12))</f>
        <v/>
      </c>
      <c r="L12" s="13">
        <f>IF(SUMIFS(Raw_Plan!$F$2:$F$120,Raw_Plan!$A$2:$A$120,$A12,Raw_Plan!$E$2:$E$120,$E12)=0,"",$H12/SUMIFS(Raw_Plan!$F$2:$F$120,Raw_Plan!$A$2:$A$120,$A12,Raw_Plan!$E$2:$E$120,$E12))</f>
        <v/>
      </c>
    </row>
    <row r="13">
      <c r="A13" t="inlineStr">
        <is>
          <t>S02</t>
        </is>
      </c>
      <c r="B13" t="inlineStr">
        <is>
          <t>Kutch Solar Park</t>
        </is>
      </c>
      <c r="C13" t="inlineStr">
        <is>
          <t>Gujarat</t>
        </is>
      </c>
      <c r="D13" t="inlineStr">
        <is>
          <t>Solar</t>
        </is>
      </c>
      <c r="E13" t="inlineStr">
        <is>
          <t>2026-08</t>
        </is>
      </c>
      <c r="F13" s="11" t="n">
        <v>5094</v>
      </c>
      <c r="G13" s="12" t="n">
        <v>145.18</v>
      </c>
      <c r="H13" s="11" t="n">
        <v>322</v>
      </c>
      <c r="I13" s="11" t="n">
        <v>8</v>
      </c>
      <c r="J13" s="11">
        <f>$F13-SUMIFS(Raw_Plan!$F$2:$F$120,Raw_Plan!$A$2:$A$120,$A13,Raw_Plan!$E$2:$E$120,$E13)</f>
        <v/>
      </c>
      <c r="K13" s="13">
        <f>IF(SUMIFS(Raw_Plan!$F$2:$F$120,Raw_Plan!$A$2:$A$120,$A13,Raw_Plan!$E$2:$E$120,$E13)=0,"",$F13/SUMIFS(Raw_Plan!$F$2:$F$120,Raw_Plan!$A$2:$A$120,$A13,Raw_Plan!$E$2:$E$120,$E13))</f>
        <v/>
      </c>
      <c r="L13" s="13">
        <f>IF(SUMIFS(Raw_Plan!$F$2:$F$120,Raw_Plan!$A$2:$A$120,$A13,Raw_Plan!$E$2:$E$120,$E13)=0,"",$H13/SUMIFS(Raw_Plan!$F$2:$F$120,Raw_Plan!$A$2:$A$120,$A13,Raw_Plan!$E$2:$E$120,$E13))</f>
        <v/>
      </c>
    </row>
    <row r="14">
      <c r="A14" t="inlineStr">
        <is>
          <t>S02</t>
        </is>
      </c>
      <c r="B14" t="inlineStr">
        <is>
          <t>Kutch Solar Park</t>
        </is>
      </c>
      <c r="C14" t="inlineStr">
        <is>
          <t>Gujarat</t>
        </is>
      </c>
      <c r="D14" t="inlineStr">
        <is>
          <t>Solar</t>
        </is>
      </c>
      <c r="E14" t="inlineStr">
        <is>
          <t>2026-09</t>
        </is>
      </c>
      <c r="F14" s="11" t="n">
        <v>5770</v>
      </c>
      <c r="G14" s="12" t="n">
        <v>164.44</v>
      </c>
      <c r="H14" s="11" t="n">
        <v>151</v>
      </c>
      <c r="I14" s="11" t="n">
        <v>38</v>
      </c>
      <c r="J14" s="11">
        <f>$F14-SUMIFS(Raw_Plan!$F$2:$F$120,Raw_Plan!$A$2:$A$120,$A14,Raw_Plan!$E$2:$E$120,$E14)</f>
        <v/>
      </c>
      <c r="K14" s="13">
        <f>IF(SUMIFS(Raw_Plan!$F$2:$F$120,Raw_Plan!$A$2:$A$120,$A14,Raw_Plan!$E$2:$E$120,$E14)=0,"",$F14/SUMIFS(Raw_Plan!$F$2:$F$120,Raw_Plan!$A$2:$A$120,$A14,Raw_Plan!$E$2:$E$120,$E14))</f>
        <v/>
      </c>
      <c r="L14" s="13">
        <f>IF(SUMIFS(Raw_Plan!$F$2:$F$120,Raw_Plan!$A$2:$A$120,$A14,Raw_Plan!$E$2:$E$120,$E14)=0,"",$H14/SUMIFS(Raw_Plan!$F$2:$F$120,Raw_Plan!$A$2:$A$120,$A14,Raw_Plan!$E$2:$E$120,$E14))</f>
        <v/>
      </c>
    </row>
    <row r="15">
      <c r="A15" t="inlineStr">
        <is>
          <t>S02</t>
        </is>
      </c>
      <c r="B15" t="inlineStr">
        <is>
          <t>Kutch Solar Park</t>
        </is>
      </c>
      <c r="C15" t="inlineStr">
        <is>
          <t>Gujarat</t>
        </is>
      </c>
      <c r="D15" t="inlineStr">
        <is>
          <t>Solar</t>
        </is>
      </c>
      <c r="E15" t="inlineStr">
        <is>
          <t>2026-10</t>
        </is>
      </c>
      <c r="F15" s="11" t="n">
        <v>6115</v>
      </c>
      <c r="G15" s="12" t="n">
        <v>174.28</v>
      </c>
      <c r="H15" s="11" t="n">
        <v>242</v>
      </c>
      <c r="I15" s="11" t="n">
        <v>25</v>
      </c>
      <c r="J15" s="11">
        <f>$F15-SUMIFS(Raw_Plan!$F$2:$F$120,Raw_Plan!$A$2:$A$120,$A15,Raw_Plan!$E$2:$E$120,$E15)</f>
        <v/>
      </c>
      <c r="K15" s="13">
        <f>IF(SUMIFS(Raw_Plan!$F$2:$F$120,Raw_Plan!$A$2:$A$120,$A15,Raw_Plan!$E$2:$E$120,$E15)=0,"",$F15/SUMIFS(Raw_Plan!$F$2:$F$120,Raw_Plan!$A$2:$A$120,$A15,Raw_Plan!$E$2:$E$120,$E15))</f>
        <v/>
      </c>
      <c r="L15" s="13">
        <f>IF(SUMIFS(Raw_Plan!$F$2:$F$120,Raw_Plan!$A$2:$A$120,$A15,Raw_Plan!$E$2:$E$120,$E15)=0,"",$H15/SUMIFS(Raw_Plan!$F$2:$F$120,Raw_Plan!$A$2:$A$120,$A15,Raw_Plan!$E$2:$E$120,$E15))</f>
        <v/>
      </c>
    </row>
    <row r="16">
      <c r="A16" t="inlineStr">
        <is>
          <t>S03</t>
        </is>
      </c>
      <c r="B16" t="inlineStr">
        <is>
          <t>Solapur Solar Park</t>
        </is>
      </c>
      <c r="C16" t="inlineStr">
        <is>
          <t>Maharashtra</t>
        </is>
      </c>
      <c r="D16" t="inlineStr">
        <is>
          <t>Solar</t>
        </is>
      </c>
      <c r="E16" t="inlineStr">
        <is>
          <t>2026-04</t>
        </is>
      </c>
      <c r="F16" s="11" t="n">
        <v>3512</v>
      </c>
      <c r="G16" s="12" t="n">
        <v>108.87</v>
      </c>
      <c r="H16" s="11" t="n">
        <v>178</v>
      </c>
      <c r="I16" s="11" t="n">
        <v>31</v>
      </c>
      <c r="J16" s="11">
        <f>$F16-SUMIFS(Raw_Plan!$F$2:$F$120,Raw_Plan!$A$2:$A$120,$A16,Raw_Plan!$E$2:$E$120,$E16)</f>
        <v/>
      </c>
      <c r="K16" s="13">
        <f>IF(SUMIFS(Raw_Plan!$F$2:$F$120,Raw_Plan!$A$2:$A$120,$A16,Raw_Plan!$E$2:$E$120,$E16)=0,"",$F16/SUMIFS(Raw_Plan!$F$2:$F$120,Raw_Plan!$A$2:$A$120,$A16,Raw_Plan!$E$2:$E$120,$E16))</f>
        <v/>
      </c>
      <c r="L16" s="13">
        <f>IF(SUMIFS(Raw_Plan!$F$2:$F$120,Raw_Plan!$A$2:$A$120,$A16,Raw_Plan!$E$2:$E$120,$E16)=0,"",$H16/SUMIFS(Raw_Plan!$F$2:$F$120,Raw_Plan!$A$2:$A$120,$A16,Raw_Plan!$E$2:$E$120,$E16))</f>
        <v/>
      </c>
    </row>
    <row r="17">
      <c r="A17" t="inlineStr">
        <is>
          <t>S03</t>
        </is>
      </c>
      <c r="B17" t="inlineStr">
        <is>
          <t>Solapur Solar Park</t>
        </is>
      </c>
      <c r="C17" t="inlineStr">
        <is>
          <t>Maharashtra</t>
        </is>
      </c>
      <c r="D17" t="inlineStr">
        <is>
          <t>Solar</t>
        </is>
      </c>
      <c r="E17" t="inlineStr">
        <is>
          <t>2026-05</t>
        </is>
      </c>
      <c r="F17" s="11" t="n">
        <v>4149</v>
      </c>
      <c r="G17" s="12" t="n">
        <v>128.62</v>
      </c>
      <c r="H17" s="11" t="n">
        <v>147</v>
      </c>
      <c r="I17" s="11" t="n">
        <v>2</v>
      </c>
      <c r="J17" s="11">
        <f>$F17-SUMIFS(Raw_Plan!$F$2:$F$120,Raw_Plan!$A$2:$A$120,$A17,Raw_Plan!$E$2:$E$120,$E17)</f>
        <v/>
      </c>
      <c r="K17" s="13">
        <f>IF(SUMIFS(Raw_Plan!$F$2:$F$120,Raw_Plan!$A$2:$A$120,$A17,Raw_Plan!$E$2:$E$120,$E17)=0,"",$F17/SUMIFS(Raw_Plan!$F$2:$F$120,Raw_Plan!$A$2:$A$120,$A17,Raw_Plan!$E$2:$E$120,$E17))</f>
        <v/>
      </c>
      <c r="L17" s="13">
        <f>IF(SUMIFS(Raw_Plan!$F$2:$F$120,Raw_Plan!$A$2:$A$120,$A17,Raw_Plan!$E$2:$E$120,$E17)=0,"",$H17/SUMIFS(Raw_Plan!$F$2:$F$120,Raw_Plan!$A$2:$A$120,$A17,Raw_Plan!$E$2:$E$120,$E17))</f>
        <v/>
      </c>
    </row>
    <row r="18">
      <c r="A18" t="inlineStr">
        <is>
          <t>S03</t>
        </is>
      </c>
      <c r="B18" t="inlineStr">
        <is>
          <t>Solapur Solar Park</t>
        </is>
      </c>
      <c r="C18" t="inlineStr">
        <is>
          <t>Maharashtra</t>
        </is>
      </c>
      <c r="D18" t="inlineStr">
        <is>
          <t>Solar</t>
        </is>
      </c>
      <c r="E18" t="inlineStr">
        <is>
          <t>2026-06</t>
        </is>
      </c>
      <c r="F18" s="11" t="n">
        <v>3543</v>
      </c>
      <c r="G18" s="12" t="n">
        <v>109.83</v>
      </c>
      <c r="H18" s="11" t="n">
        <v>123</v>
      </c>
      <c r="I18" s="11" t="n">
        <v>40</v>
      </c>
      <c r="J18" s="11">
        <f>$F18-SUMIFS(Raw_Plan!$F$2:$F$120,Raw_Plan!$A$2:$A$120,$A18,Raw_Plan!$E$2:$E$120,$E18)</f>
        <v/>
      </c>
      <c r="K18" s="13">
        <f>IF(SUMIFS(Raw_Plan!$F$2:$F$120,Raw_Plan!$A$2:$A$120,$A18,Raw_Plan!$E$2:$E$120,$E18)=0,"",$F18/SUMIFS(Raw_Plan!$F$2:$F$120,Raw_Plan!$A$2:$A$120,$A18,Raw_Plan!$E$2:$E$120,$E18))</f>
        <v/>
      </c>
      <c r="L18" s="13">
        <f>IF(SUMIFS(Raw_Plan!$F$2:$F$120,Raw_Plan!$A$2:$A$120,$A18,Raw_Plan!$E$2:$E$120,$E18)=0,"",$H18/SUMIFS(Raw_Plan!$F$2:$F$120,Raw_Plan!$A$2:$A$120,$A18,Raw_Plan!$E$2:$E$120,$E18))</f>
        <v/>
      </c>
    </row>
    <row r="19">
      <c r="A19" t="inlineStr">
        <is>
          <t>S03</t>
        </is>
      </c>
      <c r="B19" t="inlineStr">
        <is>
          <t>Solapur Solar Park</t>
        </is>
      </c>
      <c r="C19" t="inlineStr">
        <is>
          <t>Maharashtra</t>
        </is>
      </c>
      <c r="D19" t="inlineStr">
        <is>
          <t>Solar</t>
        </is>
      </c>
      <c r="E19" t="inlineStr">
        <is>
          <t>2026-07</t>
        </is>
      </c>
      <c r="F19" s="11" t="n">
        <v>3013</v>
      </c>
      <c r="G19" s="12" t="n">
        <v>93.40000000000001</v>
      </c>
      <c r="H19" s="11" t="n">
        <v>127</v>
      </c>
      <c r="I19" s="11" t="n">
        <v>29</v>
      </c>
      <c r="J19" s="11">
        <f>$F19-SUMIFS(Raw_Plan!$F$2:$F$120,Raw_Plan!$A$2:$A$120,$A19,Raw_Plan!$E$2:$E$120,$E19)</f>
        <v/>
      </c>
      <c r="K19" s="13">
        <f>IF(SUMIFS(Raw_Plan!$F$2:$F$120,Raw_Plan!$A$2:$A$120,$A19,Raw_Plan!$E$2:$E$120,$E19)=0,"",$F19/SUMIFS(Raw_Plan!$F$2:$F$120,Raw_Plan!$A$2:$A$120,$A19,Raw_Plan!$E$2:$E$120,$E19))</f>
        <v/>
      </c>
      <c r="L19" s="13">
        <f>IF(SUMIFS(Raw_Plan!$F$2:$F$120,Raw_Plan!$A$2:$A$120,$A19,Raw_Plan!$E$2:$E$120,$E19)=0,"",$H19/SUMIFS(Raw_Plan!$F$2:$F$120,Raw_Plan!$A$2:$A$120,$A19,Raw_Plan!$E$2:$E$120,$E19))</f>
        <v/>
      </c>
    </row>
    <row r="20">
      <c r="A20" t="inlineStr">
        <is>
          <t>S03</t>
        </is>
      </c>
      <c r="B20" t="inlineStr">
        <is>
          <t>Solapur Solar Park</t>
        </is>
      </c>
      <c r="C20" t="inlineStr">
        <is>
          <t>Maharashtra</t>
        </is>
      </c>
      <c r="D20" t="inlineStr">
        <is>
          <t>Solar</t>
        </is>
      </c>
      <c r="E20" t="inlineStr">
        <is>
          <t>2026-08</t>
        </is>
      </c>
      <c r="F20" s="11" t="n">
        <v>3212</v>
      </c>
      <c r="G20" s="12" t="n">
        <v>99.56999999999999</v>
      </c>
      <c r="H20" s="11" t="n">
        <v>92</v>
      </c>
      <c r="I20" s="11" t="n">
        <v>19</v>
      </c>
      <c r="J20" s="11">
        <f>$F20-SUMIFS(Raw_Plan!$F$2:$F$120,Raw_Plan!$A$2:$A$120,$A20,Raw_Plan!$E$2:$E$120,$E20)</f>
        <v/>
      </c>
      <c r="K20" s="13">
        <f>IF(SUMIFS(Raw_Plan!$F$2:$F$120,Raw_Plan!$A$2:$A$120,$A20,Raw_Plan!$E$2:$E$120,$E20)=0,"",$F20/SUMIFS(Raw_Plan!$F$2:$F$120,Raw_Plan!$A$2:$A$120,$A20,Raw_Plan!$E$2:$E$120,$E20))</f>
        <v/>
      </c>
      <c r="L20" s="13">
        <f>IF(SUMIFS(Raw_Plan!$F$2:$F$120,Raw_Plan!$A$2:$A$120,$A20,Raw_Plan!$E$2:$E$120,$E20)=0,"",$H20/SUMIFS(Raw_Plan!$F$2:$F$120,Raw_Plan!$A$2:$A$120,$A20,Raw_Plan!$E$2:$E$120,$E20))</f>
        <v/>
      </c>
    </row>
    <row r="21">
      <c r="A21" t="inlineStr">
        <is>
          <t>S03</t>
        </is>
      </c>
      <c r="B21" t="inlineStr">
        <is>
          <t>Solapur Solar Park</t>
        </is>
      </c>
      <c r="C21" t="inlineStr">
        <is>
          <t>Maharashtra</t>
        </is>
      </c>
      <c r="D21" t="inlineStr">
        <is>
          <t>Solar</t>
        </is>
      </c>
      <c r="E21" t="inlineStr">
        <is>
          <t>2026-09</t>
        </is>
      </c>
      <c r="F21" s="11" t="n">
        <v>3761</v>
      </c>
      <c r="G21" s="12" t="n">
        <v>116.59</v>
      </c>
      <c r="H21" s="11" t="n">
        <v>38</v>
      </c>
      <c r="I21" s="11" t="n">
        <v>40</v>
      </c>
      <c r="J21" s="11">
        <f>$F21-SUMIFS(Raw_Plan!$F$2:$F$120,Raw_Plan!$A$2:$A$120,$A21,Raw_Plan!$E$2:$E$120,$E21)</f>
        <v/>
      </c>
      <c r="K21" s="13">
        <f>IF(SUMIFS(Raw_Plan!$F$2:$F$120,Raw_Plan!$A$2:$A$120,$A21,Raw_Plan!$E$2:$E$120,$E21)=0,"",$F21/SUMIFS(Raw_Plan!$F$2:$F$120,Raw_Plan!$A$2:$A$120,$A21,Raw_Plan!$E$2:$E$120,$E21))</f>
        <v/>
      </c>
      <c r="L21" s="13">
        <f>IF(SUMIFS(Raw_Plan!$F$2:$F$120,Raw_Plan!$A$2:$A$120,$A21,Raw_Plan!$E$2:$E$120,$E21)=0,"",$H21/SUMIFS(Raw_Plan!$F$2:$F$120,Raw_Plan!$A$2:$A$120,$A21,Raw_Plan!$E$2:$E$120,$E21))</f>
        <v/>
      </c>
    </row>
    <row r="22">
      <c r="A22" t="inlineStr">
        <is>
          <t>S03</t>
        </is>
      </c>
      <c r="B22" t="inlineStr">
        <is>
          <t>Solapur Solar Park</t>
        </is>
      </c>
      <c r="C22" t="inlineStr">
        <is>
          <t>Maharashtra</t>
        </is>
      </c>
      <c r="D22" t="inlineStr">
        <is>
          <t>Solar</t>
        </is>
      </c>
      <c r="E22" t="inlineStr">
        <is>
          <t>2026-10</t>
        </is>
      </c>
      <c r="F22" s="11" t="n">
        <v>4235</v>
      </c>
      <c r="G22" s="12" t="n">
        <v>131.28</v>
      </c>
      <c r="H22" s="11" t="n">
        <v>172</v>
      </c>
      <c r="I22" s="11" t="n">
        <v>5</v>
      </c>
      <c r="J22" s="11">
        <f>$F22-SUMIFS(Raw_Plan!$F$2:$F$120,Raw_Plan!$A$2:$A$120,$A22,Raw_Plan!$E$2:$E$120,$E22)</f>
        <v/>
      </c>
      <c r="K22" s="13">
        <f>IF(SUMIFS(Raw_Plan!$F$2:$F$120,Raw_Plan!$A$2:$A$120,$A22,Raw_Plan!$E$2:$E$120,$E22)=0,"",$F22/SUMIFS(Raw_Plan!$F$2:$F$120,Raw_Plan!$A$2:$A$120,$A22,Raw_Plan!$E$2:$E$120,$E22))</f>
        <v/>
      </c>
      <c r="L22" s="13">
        <f>IF(SUMIFS(Raw_Plan!$F$2:$F$120,Raw_Plan!$A$2:$A$120,$A22,Raw_Plan!$E$2:$E$120,$E22)=0,"",$H22/SUMIFS(Raw_Plan!$F$2:$F$120,Raw_Plan!$A$2:$A$120,$A22,Raw_Plan!$E$2:$E$120,$E22))</f>
        <v/>
      </c>
    </row>
    <row r="23">
      <c r="A23" t="inlineStr">
        <is>
          <t>S04</t>
        </is>
      </c>
      <c r="B23" t="inlineStr">
        <is>
          <t>Pavagada Solar Park</t>
        </is>
      </c>
      <c r="C23" t="inlineStr">
        <is>
          <t>Karnataka</t>
        </is>
      </c>
      <c r="D23" t="inlineStr">
        <is>
          <t>Solar</t>
        </is>
      </c>
      <c r="E23" t="inlineStr">
        <is>
          <t>2026-04</t>
        </is>
      </c>
      <c r="F23" s="11" t="n">
        <v>4169</v>
      </c>
      <c r="G23" s="12" t="n">
        <v>127.15</v>
      </c>
      <c r="H23" s="11" t="n">
        <v>86</v>
      </c>
      <c r="I23" s="11" t="n">
        <v>28</v>
      </c>
      <c r="J23" s="11">
        <f>$F23-SUMIFS(Raw_Plan!$F$2:$F$120,Raw_Plan!$A$2:$A$120,$A23,Raw_Plan!$E$2:$E$120,$E23)</f>
        <v/>
      </c>
      <c r="K23" s="13">
        <f>IF(SUMIFS(Raw_Plan!$F$2:$F$120,Raw_Plan!$A$2:$A$120,$A23,Raw_Plan!$E$2:$E$120,$E23)=0,"",$F23/SUMIFS(Raw_Plan!$F$2:$F$120,Raw_Plan!$A$2:$A$120,$A23,Raw_Plan!$E$2:$E$120,$E23))</f>
        <v/>
      </c>
      <c r="L23" s="13">
        <f>IF(SUMIFS(Raw_Plan!$F$2:$F$120,Raw_Plan!$A$2:$A$120,$A23,Raw_Plan!$E$2:$E$120,$E23)=0,"",$H23/SUMIFS(Raw_Plan!$F$2:$F$120,Raw_Plan!$A$2:$A$120,$A23,Raw_Plan!$E$2:$E$120,$E23))</f>
        <v/>
      </c>
    </row>
    <row r="24">
      <c r="A24" t="inlineStr">
        <is>
          <t>S04</t>
        </is>
      </c>
      <c r="B24" t="inlineStr">
        <is>
          <t>Pavagada Solar Park</t>
        </is>
      </c>
      <c r="C24" t="inlineStr">
        <is>
          <t>Karnataka</t>
        </is>
      </c>
      <c r="D24" t="inlineStr">
        <is>
          <t>Solar</t>
        </is>
      </c>
      <c r="E24" t="inlineStr">
        <is>
          <t>2026-05</t>
        </is>
      </c>
      <c r="F24" s="11" t="n">
        <v>4610</v>
      </c>
      <c r="G24" s="12" t="n">
        <v>140.6</v>
      </c>
      <c r="H24" s="11" t="n">
        <v>231</v>
      </c>
      <c r="I24" s="11" t="n">
        <v>27</v>
      </c>
      <c r="J24" s="11">
        <f>$F24-SUMIFS(Raw_Plan!$F$2:$F$120,Raw_Plan!$A$2:$A$120,$A24,Raw_Plan!$E$2:$E$120,$E24)</f>
        <v/>
      </c>
      <c r="K24" s="13">
        <f>IF(SUMIFS(Raw_Plan!$F$2:$F$120,Raw_Plan!$A$2:$A$120,$A24,Raw_Plan!$E$2:$E$120,$E24)=0,"",$F24/SUMIFS(Raw_Plan!$F$2:$F$120,Raw_Plan!$A$2:$A$120,$A24,Raw_Plan!$E$2:$E$120,$E24))</f>
        <v/>
      </c>
      <c r="L24" s="13">
        <f>IF(SUMIFS(Raw_Plan!$F$2:$F$120,Raw_Plan!$A$2:$A$120,$A24,Raw_Plan!$E$2:$E$120,$E24)=0,"",$H24/SUMIFS(Raw_Plan!$F$2:$F$120,Raw_Plan!$A$2:$A$120,$A24,Raw_Plan!$E$2:$E$120,$E24))</f>
        <v/>
      </c>
    </row>
    <row r="25">
      <c r="A25" t="inlineStr">
        <is>
          <t>S04</t>
        </is>
      </c>
      <c r="B25" t="inlineStr">
        <is>
          <t>Pavagada Solar Park</t>
        </is>
      </c>
      <c r="C25" t="inlineStr">
        <is>
          <t>Karnataka</t>
        </is>
      </c>
      <c r="D25" t="inlineStr">
        <is>
          <t>Solar</t>
        </is>
      </c>
      <c r="E25" t="inlineStr">
        <is>
          <t>2026-06</t>
        </is>
      </c>
      <c r="F25" s="11" t="n">
        <v>3677</v>
      </c>
      <c r="G25" s="12" t="n">
        <v>112.15</v>
      </c>
      <c r="H25" s="11" t="n">
        <v>172</v>
      </c>
      <c r="I25" s="11" t="n">
        <v>28</v>
      </c>
      <c r="J25" s="11">
        <f>$F25-SUMIFS(Raw_Plan!$F$2:$F$120,Raw_Plan!$A$2:$A$120,$A25,Raw_Plan!$E$2:$E$120,$E25)</f>
        <v/>
      </c>
      <c r="K25" s="13">
        <f>IF(SUMIFS(Raw_Plan!$F$2:$F$120,Raw_Plan!$A$2:$A$120,$A25,Raw_Plan!$E$2:$E$120,$E25)=0,"",$F25/SUMIFS(Raw_Plan!$F$2:$F$120,Raw_Plan!$A$2:$A$120,$A25,Raw_Plan!$E$2:$E$120,$E25))</f>
        <v/>
      </c>
      <c r="L25" s="13">
        <f>IF(SUMIFS(Raw_Plan!$F$2:$F$120,Raw_Plan!$A$2:$A$120,$A25,Raw_Plan!$E$2:$E$120,$E25)=0,"",$H25/SUMIFS(Raw_Plan!$F$2:$F$120,Raw_Plan!$A$2:$A$120,$A25,Raw_Plan!$E$2:$E$120,$E25))</f>
        <v/>
      </c>
    </row>
    <row r="26">
      <c r="A26" t="inlineStr">
        <is>
          <t>S04</t>
        </is>
      </c>
      <c r="B26" t="inlineStr">
        <is>
          <t>Pavagada Solar Park</t>
        </is>
      </c>
      <c r="C26" t="inlineStr">
        <is>
          <t>Karnataka</t>
        </is>
      </c>
      <c r="D26" t="inlineStr">
        <is>
          <t>Solar</t>
        </is>
      </c>
      <c r="E26" t="inlineStr">
        <is>
          <t>2026-07</t>
        </is>
      </c>
      <c r="F26" s="11" t="n">
        <v>3805</v>
      </c>
      <c r="G26" s="12" t="n">
        <v>116.05</v>
      </c>
      <c r="H26" s="11" t="n">
        <v>40</v>
      </c>
      <c r="I26" s="11" t="n">
        <v>27</v>
      </c>
      <c r="J26" s="11">
        <f>$F26-SUMIFS(Raw_Plan!$F$2:$F$120,Raw_Plan!$A$2:$A$120,$A26,Raw_Plan!$E$2:$E$120,$E26)</f>
        <v/>
      </c>
      <c r="K26" s="13">
        <f>IF(SUMIFS(Raw_Plan!$F$2:$F$120,Raw_Plan!$A$2:$A$120,$A26,Raw_Plan!$E$2:$E$120,$E26)=0,"",$F26/SUMIFS(Raw_Plan!$F$2:$F$120,Raw_Plan!$A$2:$A$120,$A26,Raw_Plan!$E$2:$E$120,$E26))</f>
        <v/>
      </c>
      <c r="L26" s="13">
        <f>IF(SUMIFS(Raw_Plan!$F$2:$F$120,Raw_Plan!$A$2:$A$120,$A26,Raw_Plan!$E$2:$E$120,$E26)=0,"",$H26/SUMIFS(Raw_Plan!$F$2:$F$120,Raw_Plan!$A$2:$A$120,$A26,Raw_Plan!$E$2:$E$120,$E26))</f>
        <v/>
      </c>
    </row>
    <row r="27">
      <c r="A27" t="inlineStr">
        <is>
          <t>S04</t>
        </is>
      </c>
      <c r="B27" t="inlineStr">
        <is>
          <t>Pavagada Solar Park</t>
        </is>
      </c>
      <c r="C27" t="inlineStr">
        <is>
          <t>Karnataka</t>
        </is>
      </c>
      <c r="D27" t="inlineStr">
        <is>
          <t>Solar</t>
        </is>
      </c>
      <c r="E27" t="inlineStr">
        <is>
          <t>2026-08</t>
        </is>
      </c>
      <c r="F27" s="11" t="n">
        <v>3762</v>
      </c>
      <c r="G27" s="12" t="n">
        <v>114.74</v>
      </c>
      <c r="H27" s="11" t="n">
        <v>153</v>
      </c>
      <c r="I27" s="11" t="n">
        <v>16</v>
      </c>
      <c r="J27" s="11">
        <f>$F27-SUMIFS(Raw_Plan!$F$2:$F$120,Raw_Plan!$A$2:$A$120,$A27,Raw_Plan!$E$2:$E$120,$E27)</f>
        <v/>
      </c>
      <c r="K27" s="13">
        <f>IF(SUMIFS(Raw_Plan!$F$2:$F$120,Raw_Plan!$A$2:$A$120,$A27,Raw_Plan!$E$2:$E$120,$E27)=0,"",$F27/SUMIFS(Raw_Plan!$F$2:$F$120,Raw_Plan!$A$2:$A$120,$A27,Raw_Plan!$E$2:$E$120,$E27))</f>
        <v/>
      </c>
      <c r="L27" s="13">
        <f>IF(SUMIFS(Raw_Plan!$F$2:$F$120,Raw_Plan!$A$2:$A$120,$A27,Raw_Plan!$E$2:$E$120,$E27)=0,"",$H27/SUMIFS(Raw_Plan!$F$2:$F$120,Raw_Plan!$A$2:$A$120,$A27,Raw_Plan!$E$2:$E$120,$E27))</f>
        <v/>
      </c>
    </row>
    <row r="28">
      <c r="A28" t="inlineStr">
        <is>
          <t>S04</t>
        </is>
      </c>
      <c r="B28" t="inlineStr">
        <is>
          <t>Pavagada Solar Park</t>
        </is>
      </c>
      <c r="C28" t="inlineStr">
        <is>
          <t>Karnataka</t>
        </is>
      </c>
      <c r="D28" t="inlineStr">
        <is>
          <t>Solar</t>
        </is>
      </c>
      <c r="E28" t="inlineStr">
        <is>
          <t>2026-09</t>
        </is>
      </c>
      <c r="F28" s="11" t="n">
        <v>4132</v>
      </c>
      <c r="G28" s="12" t="n">
        <v>126.03</v>
      </c>
      <c r="H28" s="11" t="n">
        <v>41</v>
      </c>
      <c r="I28" s="11" t="n">
        <v>32</v>
      </c>
      <c r="J28" s="11">
        <f>$F28-SUMIFS(Raw_Plan!$F$2:$F$120,Raw_Plan!$A$2:$A$120,$A28,Raw_Plan!$E$2:$E$120,$E28)</f>
        <v/>
      </c>
      <c r="K28" s="13">
        <f>IF(SUMIFS(Raw_Plan!$F$2:$F$120,Raw_Plan!$A$2:$A$120,$A28,Raw_Plan!$E$2:$E$120,$E28)=0,"",$F28/SUMIFS(Raw_Plan!$F$2:$F$120,Raw_Plan!$A$2:$A$120,$A28,Raw_Plan!$E$2:$E$120,$E28))</f>
        <v/>
      </c>
      <c r="L28" s="13">
        <f>IF(SUMIFS(Raw_Plan!$F$2:$F$120,Raw_Plan!$A$2:$A$120,$A28,Raw_Plan!$E$2:$E$120,$E28)=0,"",$H28/SUMIFS(Raw_Plan!$F$2:$F$120,Raw_Plan!$A$2:$A$120,$A28,Raw_Plan!$E$2:$E$120,$E28))</f>
        <v/>
      </c>
    </row>
    <row r="29">
      <c r="A29" t="inlineStr">
        <is>
          <t>S04</t>
        </is>
      </c>
      <c r="B29" t="inlineStr">
        <is>
          <t>Pavagada Solar Park</t>
        </is>
      </c>
      <c r="C29" t="inlineStr">
        <is>
          <t>Karnataka</t>
        </is>
      </c>
      <c r="D29" t="inlineStr">
        <is>
          <t>Solar</t>
        </is>
      </c>
      <c r="E29" t="inlineStr">
        <is>
          <t>2026-10</t>
        </is>
      </c>
      <c r="F29" s="11" t="n">
        <v>5121</v>
      </c>
      <c r="G29" s="12" t="n">
        <v>156.19</v>
      </c>
      <c r="H29" s="11" t="n">
        <v>69</v>
      </c>
      <c r="I29" s="11" t="n">
        <v>26</v>
      </c>
      <c r="J29" s="11">
        <f>$F29-SUMIFS(Raw_Plan!$F$2:$F$120,Raw_Plan!$A$2:$A$120,$A29,Raw_Plan!$E$2:$E$120,$E29)</f>
        <v/>
      </c>
      <c r="K29" s="13">
        <f>IF(SUMIFS(Raw_Plan!$F$2:$F$120,Raw_Plan!$A$2:$A$120,$A29,Raw_Plan!$E$2:$E$120,$E29)=0,"",$F29/SUMIFS(Raw_Plan!$F$2:$F$120,Raw_Plan!$A$2:$A$120,$A29,Raw_Plan!$E$2:$E$120,$E29))</f>
        <v/>
      </c>
      <c r="L29" s="13">
        <f>IF(SUMIFS(Raw_Plan!$F$2:$F$120,Raw_Plan!$A$2:$A$120,$A29,Raw_Plan!$E$2:$E$120,$E29)=0,"",$H29/SUMIFS(Raw_Plan!$F$2:$F$120,Raw_Plan!$A$2:$A$120,$A29,Raw_Plan!$E$2:$E$120,$E29))</f>
        <v/>
      </c>
    </row>
    <row r="30">
      <c r="A30" t="inlineStr">
        <is>
          <t>S05</t>
        </is>
      </c>
      <c r="B30" t="inlineStr">
        <is>
          <t>Kamuthi Solar Park</t>
        </is>
      </c>
      <c r="C30" t="inlineStr">
        <is>
          <t>Tamil Nadu</t>
        </is>
      </c>
      <c r="D30" t="inlineStr">
        <is>
          <t>Solar</t>
        </is>
      </c>
      <c r="E30" t="inlineStr">
        <is>
          <t>2026-04</t>
        </is>
      </c>
      <c r="F30" s="11" t="n">
        <v>2897</v>
      </c>
      <c r="G30" s="12" t="n">
        <v>92.7</v>
      </c>
      <c r="H30" s="11" t="n">
        <v>154</v>
      </c>
      <c r="I30" s="11" t="n">
        <v>15</v>
      </c>
      <c r="J30" s="11">
        <f>$F30-SUMIFS(Raw_Plan!$F$2:$F$120,Raw_Plan!$A$2:$A$120,$A30,Raw_Plan!$E$2:$E$120,$E30)</f>
        <v/>
      </c>
      <c r="K30" s="13">
        <f>IF(SUMIFS(Raw_Plan!$F$2:$F$120,Raw_Plan!$A$2:$A$120,$A30,Raw_Plan!$E$2:$E$120,$E30)=0,"",$F30/SUMIFS(Raw_Plan!$F$2:$F$120,Raw_Plan!$A$2:$A$120,$A30,Raw_Plan!$E$2:$E$120,$E30))</f>
        <v/>
      </c>
      <c r="L30" s="13">
        <f>IF(SUMIFS(Raw_Plan!$F$2:$F$120,Raw_Plan!$A$2:$A$120,$A30,Raw_Plan!$E$2:$E$120,$E30)=0,"",$H30/SUMIFS(Raw_Plan!$F$2:$F$120,Raw_Plan!$A$2:$A$120,$A30,Raw_Plan!$E$2:$E$120,$E30))</f>
        <v/>
      </c>
    </row>
    <row r="31">
      <c r="A31" t="inlineStr">
        <is>
          <t>S05</t>
        </is>
      </c>
      <c r="B31" t="inlineStr">
        <is>
          <t>Kamuthi Solar Park</t>
        </is>
      </c>
      <c r="C31" t="inlineStr">
        <is>
          <t>Tamil Nadu</t>
        </is>
      </c>
      <c r="D31" t="inlineStr">
        <is>
          <t>Solar</t>
        </is>
      </c>
      <c r="E31" t="inlineStr">
        <is>
          <t>2026-05</t>
        </is>
      </c>
      <c r="F31" s="11" t="n">
        <v>3087</v>
      </c>
      <c r="G31" s="12" t="n">
        <v>98.78</v>
      </c>
      <c r="H31" s="11" t="n">
        <v>187</v>
      </c>
      <c r="I31" s="11" t="n">
        <v>2</v>
      </c>
      <c r="J31" s="11">
        <f>$F31-SUMIFS(Raw_Plan!$F$2:$F$120,Raw_Plan!$A$2:$A$120,$A31,Raw_Plan!$E$2:$E$120,$E31)</f>
        <v/>
      </c>
      <c r="K31" s="13">
        <f>IF(SUMIFS(Raw_Plan!$F$2:$F$120,Raw_Plan!$A$2:$A$120,$A31,Raw_Plan!$E$2:$E$120,$E31)=0,"",$F31/SUMIFS(Raw_Plan!$F$2:$F$120,Raw_Plan!$A$2:$A$120,$A31,Raw_Plan!$E$2:$E$120,$E31))</f>
        <v/>
      </c>
      <c r="L31" s="13">
        <f>IF(SUMIFS(Raw_Plan!$F$2:$F$120,Raw_Plan!$A$2:$A$120,$A31,Raw_Plan!$E$2:$E$120,$E31)=0,"",$H31/SUMIFS(Raw_Plan!$F$2:$F$120,Raw_Plan!$A$2:$A$120,$A31,Raw_Plan!$E$2:$E$120,$E31))</f>
        <v/>
      </c>
    </row>
    <row r="32">
      <c r="A32" t="inlineStr">
        <is>
          <t>S05</t>
        </is>
      </c>
      <c r="B32" t="inlineStr">
        <is>
          <t>Kamuthi Solar Park</t>
        </is>
      </c>
      <c r="C32" t="inlineStr">
        <is>
          <t>Tamil Nadu</t>
        </is>
      </c>
      <c r="D32" t="inlineStr">
        <is>
          <t>Solar</t>
        </is>
      </c>
      <c r="E32" t="inlineStr">
        <is>
          <t>2026-06</t>
        </is>
      </c>
      <c r="F32" s="11" t="n">
        <v>2624</v>
      </c>
      <c r="G32" s="12" t="n">
        <v>83.97</v>
      </c>
      <c r="H32" s="11" t="n">
        <v>145</v>
      </c>
      <c r="I32" s="11" t="n">
        <v>4</v>
      </c>
      <c r="J32" s="11">
        <f>$F32-SUMIFS(Raw_Plan!$F$2:$F$120,Raw_Plan!$A$2:$A$120,$A32,Raw_Plan!$E$2:$E$120,$E32)</f>
        <v/>
      </c>
      <c r="K32" s="13">
        <f>IF(SUMIFS(Raw_Plan!$F$2:$F$120,Raw_Plan!$A$2:$A$120,$A32,Raw_Plan!$E$2:$E$120,$E32)=0,"",$F32/SUMIFS(Raw_Plan!$F$2:$F$120,Raw_Plan!$A$2:$A$120,$A32,Raw_Plan!$E$2:$E$120,$E32))</f>
        <v/>
      </c>
      <c r="L32" s="13">
        <f>IF(SUMIFS(Raw_Plan!$F$2:$F$120,Raw_Plan!$A$2:$A$120,$A32,Raw_Plan!$E$2:$E$120,$E32)=0,"",$H32/SUMIFS(Raw_Plan!$F$2:$F$120,Raw_Plan!$A$2:$A$120,$A32,Raw_Plan!$E$2:$E$120,$E32))</f>
        <v/>
      </c>
    </row>
    <row r="33">
      <c r="A33" t="inlineStr">
        <is>
          <t>S05</t>
        </is>
      </c>
      <c r="B33" t="inlineStr">
        <is>
          <t>Kamuthi Solar Park</t>
        </is>
      </c>
      <c r="C33" t="inlineStr">
        <is>
          <t>Tamil Nadu</t>
        </is>
      </c>
      <c r="D33" t="inlineStr">
        <is>
          <t>Solar</t>
        </is>
      </c>
      <c r="E33" t="inlineStr">
        <is>
          <t>2026-07</t>
        </is>
      </c>
      <c r="F33" s="11" t="n">
        <v>2673</v>
      </c>
      <c r="G33" s="12" t="n">
        <v>85.54000000000001</v>
      </c>
      <c r="H33" s="11" t="n">
        <v>153</v>
      </c>
      <c r="I33" s="11" t="n">
        <v>11</v>
      </c>
      <c r="J33" s="11">
        <f>$F33-SUMIFS(Raw_Plan!$F$2:$F$120,Raw_Plan!$A$2:$A$120,$A33,Raw_Plan!$E$2:$E$120,$E33)</f>
        <v/>
      </c>
      <c r="K33" s="13">
        <f>IF(SUMIFS(Raw_Plan!$F$2:$F$120,Raw_Plan!$A$2:$A$120,$A33,Raw_Plan!$E$2:$E$120,$E33)=0,"",$F33/SUMIFS(Raw_Plan!$F$2:$F$120,Raw_Plan!$A$2:$A$120,$A33,Raw_Plan!$E$2:$E$120,$E33))</f>
        <v/>
      </c>
      <c r="L33" s="13">
        <f>IF(SUMIFS(Raw_Plan!$F$2:$F$120,Raw_Plan!$A$2:$A$120,$A33,Raw_Plan!$E$2:$E$120,$E33)=0,"",$H33/SUMIFS(Raw_Plan!$F$2:$F$120,Raw_Plan!$A$2:$A$120,$A33,Raw_Plan!$E$2:$E$120,$E33))</f>
        <v/>
      </c>
    </row>
    <row r="34">
      <c r="A34" t="inlineStr">
        <is>
          <t>S05</t>
        </is>
      </c>
      <c r="B34" t="inlineStr">
        <is>
          <t>Kamuthi Solar Park</t>
        </is>
      </c>
      <c r="C34" t="inlineStr">
        <is>
          <t>Tamil Nadu</t>
        </is>
      </c>
      <c r="D34" t="inlineStr">
        <is>
          <t>Solar</t>
        </is>
      </c>
      <c r="E34" t="inlineStr">
        <is>
          <t>2026-08</t>
        </is>
      </c>
      <c r="F34" s="11" t="n">
        <v>2437</v>
      </c>
      <c r="G34" s="12" t="n">
        <v>77.98</v>
      </c>
      <c r="H34" s="11" t="n">
        <v>136</v>
      </c>
      <c r="I34" s="11" t="n">
        <v>12</v>
      </c>
      <c r="J34" s="11">
        <f>$F34-SUMIFS(Raw_Plan!$F$2:$F$120,Raw_Plan!$A$2:$A$120,$A34,Raw_Plan!$E$2:$E$120,$E34)</f>
        <v/>
      </c>
      <c r="K34" s="13">
        <f>IF(SUMIFS(Raw_Plan!$F$2:$F$120,Raw_Plan!$A$2:$A$120,$A34,Raw_Plan!$E$2:$E$120,$E34)=0,"",$F34/SUMIFS(Raw_Plan!$F$2:$F$120,Raw_Plan!$A$2:$A$120,$A34,Raw_Plan!$E$2:$E$120,$E34))</f>
        <v/>
      </c>
      <c r="L34" s="13">
        <f>IF(SUMIFS(Raw_Plan!$F$2:$F$120,Raw_Plan!$A$2:$A$120,$A34,Raw_Plan!$E$2:$E$120,$E34)=0,"",$H34/SUMIFS(Raw_Plan!$F$2:$F$120,Raw_Plan!$A$2:$A$120,$A34,Raw_Plan!$E$2:$E$120,$E34))</f>
        <v/>
      </c>
    </row>
    <row r="35">
      <c r="A35" t="inlineStr">
        <is>
          <t>S05</t>
        </is>
      </c>
      <c r="B35" t="inlineStr">
        <is>
          <t>Kamuthi Solar Park</t>
        </is>
      </c>
      <c r="C35" t="inlineStr">
        <is>
          <t>Tamil Nadu</t>
        </is>
      </c>
      <c r="D35" t="inlineStr">
        <is>
          <t>Solar</t>
        </is>
      </c>
      <c r="E35" t="inlineStr">
        <is>
          <t>2026-09</t>
        </is>
      </c>
      <c r="F35" s="11" t="n">
        <v>2359</v>
      </c>
      <c r="G35" s="12" t="n">
        <v>75.48999999999999</v>
      </c>
      <c r="H35" s="11" t="n">
        <v>112</v>
      </c>
      <c r="I35" s="11" t="n">
        <v>120</v>
      </c>
      <c r="J35" s="11">
        <f>$F35-SUMIFS(Raw_Plan!$F$2:$F$120,Raw_Plan!$A$2:$A$120,$A35,Raw_Plan!$E$2:$E$120,$E35)</f>
        <v/>
      </c>
      <c r="K35" s="13">
        <f>IF(SUMIFS(Raw_Plan!$F$2:$F$120,Raw_Plan!$A$2:$A$120,$A35,Raw_Plan!$E$2:$E$120,$E35)=0,"",$F35/SUMIFS(Raw_Plan!$F$2:$F$120,Raw_Plan!$A$2:$A$120,$A35,Raw_Plan!$E$2:$E$120,$E35))</f>
        <v/>
      </c>
      <c r="L35" s="13">
        <f>IF(SUMIFS(Raw_Plan!$F$2:$F$120,Raw_Plan!$A$2:$A$120,$A35,Raw_Plan!$E$2:$E$120,$E35)=0,"",$H35/SUMIFS(Raw_Plan!$F$2:$F$120,Raw_Plan!$A$2:$A$120,$A35,Raw_Plan!$E$2:$E$120,$E35))</f>
        <v/>
      </c>
    </row>
    <row r="36">
      <c r="A36" t="inlineStr">
        <is>
          <t>S05</t>
        </is>
      </c>
      <c r="B36" t="inlineStr">
        <is>
          <t>Kamuthi Solar Park</t>
        </is>
      </c>
      <c r="C36" t="inlineStr">
        <is>
          <t>Tamil Nadu</t>
        </is>
      </c>
      <c r="D36" t="inlineStr">
        <is>
          <t>Solar</t>
        </is>
      </c>
      <c r="E36" t="inlineStr">
        <is>
          <t>2026-10</t>
        </is>
      </c>
      <c r="F36" s="11" t="n">
        <v>3385</v>
      </c>
      <c r="G36" s="12" t="n">
        <v>108.32</v>
      </c>
      <c r="H36" s="11" t="n">
        <v>174</v>
      </c>
      <c r="I36" s="11" t="n">
        <v>27</v>
      </c>
      <c r="J36" s="11">
        <f>$F36-SUMIFS(Raw_Plan!$F$2:$F$120,Raw_Plan!$A$2:$A$120,$A36,Raw_Plan!$E$2:$E$120,$E36)</f>
        <v/>
      </c>
      <c r="K36" s="13">
        <f>IF(SUMIFS(Raw_Plan!$F$2:$F$120,Raw_Plan!$A$2:$A$120,$A36,Raw_Plan!$E$2:$E$120,$E36)=0,"",$F36/SUMIFS(Raw_Plan!$F$2:$F$120,Raw_Plan!$A$2:$A$120,$A36,Raw_Plan!$E$2:$E$120,$E36))</f>
        <v/>
      </c>
      <c r="L36" s="13">
        <f>IF(SUMIFS(Raw_Plan!$F$2:$F$120,Raw_Plan!$A$2:$A$120,$A36,Raw_Plan!$E$2:$E$120,$E36)=0,"",$H36/SUMIFS(Raw_Plan!$F$2:$F$120,Raw_Plan!$A$2:$A$120,$A36,Raw_Plan!$E$2:$E$120,$E36))</f>
        <v/>
      </c>
    </row>
    <row r="37">
      <c r="A37" t="inlineStr">
        <is>
          <t>S06</t>
        </is>
      </c>
      <c r="B37" t="inlineStr">
        <is>
          <t>Mahbubnagar Solar Park</t>
        </is>
      </c>
      <c r="C37" t="inlineStr">
        <is>
          <t>Telangana</t>
        </is>
      </c>
      <c r="D37" t="inlineStr">
        <is>
          <t>Solar</t>
        </is>
      </c>
      <c r="E37" t="inlineStr">
        <is>
          <t>2026-04</t>
        </is>
      </c>
      <c r="F37" s="11" t="n">
        <v>2214</v>
      </c>
      <c r="G37" s="12" t="n">
        <v>66.42</v>
      </c>
      <c r="H37" s="11" t="n">
        <v>93</v>
      </c>
      <c r="I37" s="11" t="n">
        <v>18</v>
      </c>
      <c r="J37" s="11">
        <f>$F37-SUMIFS(Raw_Plan!$F$2:$F$120,Raw_Plan!$A$2:$A$120,$A37,Raw_Plan!$E$2:$E$120,$E37)</f>
        <v/>
      </c>
      <c r="K37" s="13">
        <f>IF(SUMIFS(Raw_Plan!$F$2:$F$120,Raw_Plan!$A$2:$A$120,$A37,Raw_Plan!$E$2:$E$120,$E37)=0,"",$F37/SUMIFS(Raw_Plan!$F$2:$F$120,Raw_Plan!$A$2:$A$120,$A37,Raw_Plan!$E$2:$E$120,$E37))</f>
        <v/>
      </c>
      <c r="L37" s="13">
        <f>IF(SUMIFS(Raw_Plan!$F$2:$F$120,Raw_Plan!$A$2:$A$120,$A37,Raw_Plan!$E$2:$E$120,$E37)=0,"",$H37/SUMIFS(Raw_Plan!$F$2:$F$120,Raw_Plan!$A$2:$A$120,$A37,Raw_Plan!$E$2:$E$120,$E37))</f>
        <v/>
      </c>
    </row>
    <row r="38">
      <c r="A38" t="inlineStr">
        <is>
          <t>S06</t>
        </is>
      </c>
      <c r="B38" t="inlineStr">
        <is>
          <t>Mahbubnagar Solar Park</t>
        </is>
      </c>
      <c r="C38" t="inlineStr">
        <is>
          <t>Telangana</t>
        </is>
      </c>
      <c r="D38" t="inlineStr">
        <is>
          <t>Solar</t>
        </is>
      </c>
      <c r="E38" t="inlineStr">
        <is>
          <t>2026-05</t>
        </is>
      </c>
      <c r="F38" s="11" t="n">
        <v>2160</v>
      </c>
      <c r="G38" s="12" t="n">
        <v>64.8</v>
      </c>
      <c r="H38" s="11" t="n">
        <v>59</v>
      </c>
      <c r="I38" s="11" t="n">
        <v>35</v>
      </c>
      <c r="J38" s="11">
        <f>$F38-SUMIFS(Raw_Plan!$F$2:$F$120,Raw_Plan!$A$2:$A$120,$A38,Raw_Plan!$E$2:$E$120,$E38)</f>
        <v/>
      </c>
      <c r="K38" s="13">
        <f>IF(SUMIFS(Raw_Plan!$F$2:$F$120,Raw_Plan!$A$2:$A$120,$A38,Raw_Plan!$E$2:$E$120,$E38)=0,"",$F38/SUMIFS(Raw_Plan!$F$2:$F$120,Raw_Plan!$A$2:$A$120,$A38,Raw_Plan!$E$2:$E$120,$E38))</f>
        <v/>
      </c>
      <c r="L38" s="13">
        <f>IF(SUMIFS(Raw_Plan!$F$2:$F$120,Raw_Plan!$A$2:$A$120,$A38,Raw_Plan!$E$2:$E$120,$E38)=0,"",$H38/SUMIFS(Raw_Plan!$F$2:$F$120,Raw_Plan!$A$2:$A$120,$A38,Raw_Plan!$E$2:$E$120,$E38))</f>
        <v/>
      </c>
    </row>
    <row r="39">
      <c r="A39" t="inlineStr">
        <is>
          <t>S06</t>
        </is>
      </c>
      <c r="B39" t="inlineStr">
        <is>
          <t>Mahbubnagar Solar Park</t>
        </is>
      </c>
      <c r="C39" t="inlineStr">
        <is>
          <t>Telangana</t>
        </is>
      </c>
      <c r="D39" t="inlineStr">
        <is>
          <t>Solar</t>
        </is>
      </c>
      <c r="E39" t="inlineStr">
        <is>
          <t>2026-06</t>
        </is>
      </c>
      <c r="F39" s="11" t="n">
        <v>2085</v>
      </c>
      <c r="G39" s="12" t="n">
        <v>62.55</v>
      </c>
      <c r="H39" s="11" t="n">
        <v>14</v>
      </c>
      <c r="I39" s="11" t="n">
        <v>22</v>
      </c>
      <c r="J39" s="11">
        <f>$F39-SUMIFS(Raw_Plan!$F$2:$F$120,Raw_Plan!$A$2:$A$120,$A39,Raw_Plan!$E$2:$E$120,$E39)</f>
        <v/>
      </c>
      <c r="K39" s="13">
        <f>IF(SUMIFS(Raw_Plan!$F$2:$F$120,Raw_Plan!$A$2:$A$120,$A39,Raw_Plan!$E$2:$E$120,$E39)=0,"",$F39/SUMIFS(Raw_Plan!$F$2:$F$120,Raw_Plan!$A$2:$A$120,$A39,Raw_Plan!$E$2:$E$120,$E39))</f>
        <v/>
      </c>
      <c r="L39" s="13">
        <f>IF(SUMIFS(Raw_Plan!$F$2:$F$120,Raw_Plan!$A$2:$A$120,$A39,Raw_Plan!$E$2:$E$120,$E39)=0,"",$H39/SUMIFS(Raw_Plan!$F$2:$F$120,Raw_Plan!$A$2:$A$120,$A39,Raw_Plan!$E$2:$E$120,$E39))</f>
        <v/>
      </c>
    </row>
    <row r="40">
      <c r="A40" t="inlineStr">
        <is>
          <t>S06</t>
        </is>
      </c>
      <c r="B40" t="inlineStr">
        <is>
          <t>Mahbubnagar Solar Park</t>
        </is>
      </c>
      <c r="C40" t="inlineStr">
        <is>
          <t>Telangana</t>
        </is>
      </c>
      <c r="D40" t="inlineStr">
        <is>
          <t>Solar</t>
        </is>
      </c>
      <c r="E40" t="inlineStr">
        <is>
          <t>2026-07</t>
        </is>
      </c>
      <c r="F40" s="11" t="n">
        <v>1690</v>
      </c>
      <c r="G40" s="12" t="n">
        <v>50.7</v>
      </c>
      <c r="H40" s="11" t="n">
        <v>0</v>
      </c>
      <c r="I40" s="11" t="n">
        <v>14</v>
      </c>
      <c r="J40" s="11">
        <f>$F40-SUMIFS(Raw_Plan!$F$2:$F$120,Raw_Plan!$A$2:$A$120,$A40,Raw_Plan!$E$2:$E$120,$E40)</f>
        <v/>
      </c>
      <c r="K40" s="13">
        <f>IF(SUMIFS(Raw_Plan!$F$2:$F$120,Raw_Plan!$A$2:$A$120,$A40,Raw_Plan!$E$2:$E$120,$E40)=0,"",$F40/SUMIFS(Raw_Plan!$F$2:$F$120,Raw_Plan!$A$2:$A$120,$A40,Raw_Plan!$E$2:$E$120,$E40))</f>
        <v/>
      </c>
      <c r="L40" s="13">
        <f>IF(SUMIFS(Raw_Plan!$F$2:$F$120,Raw_Plan!$A$2:$A$120,$A40,Raw_Plan!$E$2:$E$120,$E40)=0,"",$H40/SUMIFS(Raw_Plan!$F$2:$F$120,Raw_Plan!$A$2:$A$120,$A40,Raw_Plan!$E$2:$E$120,$E40))</f>
        <v/>
      </c>
    </row>
    <row r="41">
      <c r="A41" t="inlineStr">
        <is>
          <t>S06</t>
        </is>
      </c>
      <c r="B41" t="inlineStr">
        <is>
          <t>Mahbubnagar Solar Park</t>
        </is>
      </c>
      <c r="C41" t="inlineStr">
        <is>
          <t>Telangana</t>
        </is>
      </c>
      <c r="D41" t="inlineStr">
        <is>
          <t>Solar</t>
        </is>
      </c>
      <c r="E41" t="inlineStr">
        <is>
          <t>2026-08</t>
        </is>
      </c>
      <c r="F41" s="11" t="n">
        <v>2184</v>
      </c>
      <c r="G41" s="12" t="n">
        <v>65.52</v>
      </c>
      <c r="H41" s="11" t="n">
        <v>81</v>
      </c>
      <c r="I41" s="11" t="n">
        <v>40</v>
      </c>
      <c r="J41" s="11">
        <f>$F41-SUMIFS(Raw_Plan!$F$2:$F$120,Raw_Plan!$A$2:$A$120,$A41,Raw_Plan!$E$2:$E$120,$E41)</f>
        <v/>
      </c>
      <c r="K41" s="13">
        <f>IF(SUMIFS(Raw_Plan!$F$2:$F$120,Raw_Plan!$A$2:$A$120,$A41,Raw_Plan!$E$2:$E$120,$E41)=0,"",$F41/SUMIFS(Raw_Plan!$F$2:$F$120,Raw_Plan!$A$2:$A$120,$A41,Raw_Plan!$E$2:$E$120,$E41))</f>
        <v/>
      </c>
      <c r="L41" s="13">
        <f>IF(SUMIFS(Raw_Plan!$F$2:$F$120,Raw_Plan!$A$2:$A$120,$A41,Raw_Plan!$E$2:$E$120,$E41)=0,"",$H41/SUMIFS(Raw_Plan!$F$2:$F$120,Raw_Plan!$A$2:$A$120,$A41,Raw_Plan!$E$2:$E$120,$E41))</f>
        <v/>
      </c>
    </row>
    <row r="42">
      <c r="A42" t="inlineStr">
        <is>
          <t>S06</t>
        </is>
      </c>
      <c r="B42" t="inlineStr">
        <is>
          <t>Mahbubnagar Solar Park</t>
        </is>
      </c>
      <c r="C42" t="inlineStr">
        <is>
          <t>Telangana</t>
        </is>
      </c>
      <c r="D42" t="inlineStr">
        <is>
          <t>Solar</t>
        </is>
      </c>
      <c r="E42" t="inlineStr">
        <is>
          <t>2026-09</t>
        </is>
      </c>
      <c r="F42" s="11" t="n">
        <v>2182</v>
      </c>
      <c r="G42" s="12" t="n">
        <v>65.45999999999999</v>
      </c>
      <c r="H42" s="11" t="n">
        <v>5</v>
      </c>
      <c r="I42" s="11" t="n">
        <v>4</v>
      </c>
      <c r="J42" s="11">
        <f>$F42-SUMIFS(Raw_Plan!$F$2:$F$120,Raw_Plan!$A$2:$A$120,$A42,Raw_Plan!$E$2:$E$120,$E42)</f>
        <v/>
      </c>
      <c r="K42" s="13">
        <f>IF(SUMIFS(Raw_Plan!$F$2:$F$120,Raw_Plan!$A$2:$A$120,$A42,Raw_Plan!$E$2:$E$120,$E42)=0,"",$F42/SUMIFS(Raw_Plan!$F$2:$F$120,Raw_Plan!$A$2:$A$120,$A42,Raw_Plan!$E$2:$E$120,$E42))</f>
        <v/>
      </c>
      <c r="L42" s="13">
        <f>IF(SUMIFS(Raw_Plan!$F$2:$F$120,Raw_Plan!$A$2:$A$120,$A42,Raw_Plan!$E$2:$E$120,$E42)=0,"",$H42/SUMIFS(Raw_Plan!$F$2:$F$120,Raw_Plan!$A$2:$A$120,$A42,Raw_Plan!$E$2:$E$120,$E42))</f>
        <v/>
      </c>
    </row>
    <row r="43">
      <c r="A43" t="inlineStr">
        <is>
          <t>S06</t>
        </is>
      </c>
      <c r="B43" t="inlineStr">
        <is>
          <t>Mahbubnagar Solar Park</t>
        </is>
      </c>
      <c r="C43" t="inlineStr">
        <is>
          <t>Telangana</t>
        </is>
      </c>
      <c r="D43" t="inlineStr">
        <is>
          <t>Solar</t>
        </is>
      </c>
      <c r="E43" t="inlineStr">
        <is>
          <t>2026-10</t>
        </is>
      </c>
      <c r="F43" s="11" t="n">
        <v>2541</v>
      </c>
      <c r="G43" s="12" t="n">
        <v>76.23</v>
      </c>
      <c r="H43" s="11" t="n">
        <v>47</v>
      </c>
      <c r="I43" s="11" t="n">
        <v>19</v>
      </c>
      <c r="J43" s="11">
        <f>$F43-SUMIFS(Raw_Plan!$F$2:$F$120,Raw_Plan!$A$2:$A$120,$A43,Raw_Plan!$E$2:$E$120,$E43)</f>
        <v/>
      </c>
      <c r="K43" s="13">
        <f>IF(SUMIFS(Raw_Plan!$F$2:$F$120,Raw_Plan!$A$2:$A$120,$A43,Raw_Plan!$E$2:$E$120,$E43)=0,"",$F43/SUMIFS(Raw_Plan!$F$2:$F$120,Raw_Plan!$A$2:$A$120,$A43,Raw_Plan!$E$2:$E$120,$E43))</f>
        <v/>
      </c>
      <c r="L43" s="13">
        <f>IF(SUMIFS(Raw_Plan!$F$2:$F$120,Raw_Plan!$A$2:$A$120,$A43,Raw_Plan!$E$2:$E$120,$E43)=0,"",$H43/SUMIFS(Raw_Plan!$F$2:$F$120,Raw_Plan!$A$2:$A$120,$A43,Raw_Plan!$E$2:$E$120,$E43))</f>
        <v/>
      </c>
    </row>
    <row r="44">
      <c r="A44" t="inlineStr">
        <is>
          <t>S07</t>
        </is>
      </c>
      <c r="B44" t="inlineStr">
        <is>
          <t>Anantapur Solar Park</t>
        </is>
      </c>
      <c r="C44" t="inlineStr">
        <is>
          <t>Andhra Pradesh</t>
        </is>
      </c>
      <c r="D44" t="inlineStr">
        <is>
          <t>Solar</t>
        </is>
      </c>
      <c r="E44" t="inlineStr">
        <is>
          <t>2026-04</t>
        </is>
      </c>
      <c r="F44" s="11" t="n">
        <v>4720</v>
      </c>
      <c r="G44" s="12" t="n">
        <v>136.88</v>
      </c>
      <c r="H44" s="11" t="n">
        <v>26</v>
      </c>
      <c r="I44" s="11" t="n">
        <v>39</v>
      </c>
      <c r="J44" s="11">
        <f>$F44-SUMIFS(Raw_Plan!$F$2:$F$120,Raw_Plan!$A$2:$A$120,$A44,Raw_Plan!$E$2:$E$120,$E44)</f>
        <v/>
      </c>
      <c r="K44" s="13">
        <f>IF(SUMIFS(Raw_Plan!$F$2:$F$120,Raw_Plan!$A$2:$A$120,$A44,Raw_Plan!$E$2:$E$120,$E44)=0,"",$F44/SUMIFS(Raw_Plan!$F$2:$F$120,Raw_Plan!$A$2:$A$120,$A44,Raw_Plan!$E$2:$E$120,$E44))</f>
        <v/>
      </c>
      <c r="L44" s="13">
        <f>IF(SUMIFS(Raw_Plan!$F$2:$F$120,Raw_Plan!$A$2:$A$120,$A44,Raw_Plan!$E$2:$E$120,$E44)=0,"",$H44/SUMIFS(Raw_Plan!$F$2:$F$120,Raw_Plan!$A$2:$A$120,$A44,Raw_Plan!$E$2:$E$120,$E44))</f>
        <v/>
      </c>
    </row>
    <row r="45">
      <c r="A45" t="inlineStr">
        <is>
          <t>S07</t>
        </is>
      </c>
      <c r="B45" t="inlineStr">
        <is>
          <t>Anantapur Solar Park</t>
        </is>
      </c>
      <c r="C45" t="inlineStr">
        <is>
          <t>Andhra Pradesh</t>
        </is>
      </c>
      <c r="D45" t="inlineStr">
        <is>
          <t>Solar</t>
        </is>
      </c>
      <c r="E45" t="inlineStr">
        <is>
          <t>2026-05</t>
        </is>
      </c>
      <c r="F45" s="11" t="n">
        <v>5139</v>
      </c>
      <c r="G45" s="12" t="n">
        <v>149.03</v>
      </c>
      <c r="H45" s="11" t="n">
        <v>258</v>
      </c>
      <c r="I45" s="11" t="n">
        <v>13</v>
      </c>
      <c r="J45" s="11">
        <f>$F45-SUMIFS(Raw_Plan!$F$2:$F$120,Raw_Plan!$A$2:$A$120,$A45,Raw_Plan!$E$2:$E$120,$E45)</f>
        <v/>
      </c>
      <c r="K45" s="13">
        <f>IF(SUMIFS(Raw_Plan!$F$2:$F$120,Raw_Plan!$A$2:$A$120,$A45,Raw_Plan!$E$2:$E$120,$E45)=0,"",$F45/SUMIFS(Raw_Plan!$F$2:$F$120,Raw_Plan!$A$2:$A$120,$A45,Raw_Plan!$E$2:$E$120,$E45))</f>
        <v/>
      </c>
      <c r="L45" s="13">
        <f>IF(SUMIFS(Raw_Plan!$F$2:$F$120,Raw_Plan!$A$2:$A$120,$A45,Raw_Plan!$E$2:$E$120,$E45)=0,"",$H45/SUMIFS(Raw_Plan!$F$2:$F$120,Raw_Plan!$A$2:$A$120,$A45,Raw_Plan!$E$2:$E$120,$E45))</f>
        <v/>
      </c>
    </row>
    <row r="46">
      <c r="A46" t="inlineStr">
        <is>
          <t>S07</t>
        </is>
      </c>
      <c r="B46" t="inlineStr">
        <is>
          <t>Anantapur Solar Park</t>
        </is>
      </c>
      <c r="C46" t="inlineStr">
        <is>
          <t>Andhra Pradesh</t>
        </is>
      </c>
      <c r="D46" t="inlineStr">
        <is>
          <t>Solar</t>
        </is>
      </c>
      <c r="E46" t="inlineStr">
        <is>
          <t>2026-06</t>
        </is>
      </c>
      <c r="F46" s="11" t="n">
        <v>4027</v>
      </c>
      <c r="G46" s="12" t="n">
        <v>116.78</v>
      </c>
      <c r="H46" s="11" t="n">
        <v>129</v>
      </c>
      <c r="I46" s="11" t="n">
        <v>36</v>
      </c>
      <c r="J46" s="11">
        <f>$F46-SUMIFS(Raw_Plan!$F$2:$F$120,Raw_Plan!$A$2:$A$120,$A46,Raw_Plan!$E$2:$E$120,$E46)</f>
        <v/>
      </c>
      <c r="K46" s="13">
        <f>IF(SUMIFS(Raw_Plan!$F$2:$F$120,Raw_Plan!$A$2:$A$120,$A46,Raw_Plan!$E$2:$E$120,$E46)=0,"",$F46/SUMIFS(Raw_Plan!$F$2:$F$120,Raw_Plan!$A$2:$A$120,$A46,Raw_Plan!$E$2:$E$120,$E46))</f>
        <v/>
      </c>
      <c r="L46" s="13">
        <f>IF(SUMIFS(Raw_Plan!$F$2:$F$120,Raw_Plan!$A$2:$A$120,$A46,Raw_Plan!$E$2:$E$120,$E46)=0,"",$H46/SUMIFS(Raw_Plan!$F$2:$F$120,Raw_Plan!$A$2:$A$120,$A46,Raw_Plan!$E$2:$E$120,$E46))</f>
        <v/>
      </c>
    </row>
    <row r="47">
      <c r="A47" t="inlineStr">
        <is>
          <t>S07</t>
        </is>
      </c>
      <c r="B47" t="inlineStr">
        <is>
          <t>Anantapur Solar Park</t>
        </is>
      </c>
      <c r="C47" t="inlineStr">
        <is>
          <t>Andhra Pradesh</t>
        </is>
      </c>
      <c r="D47" t="inlineStr">
        <is>
          <t>Solar</t>
        </is>
      </c>
      <c r="E47" t="inlineStr">
        <is>
          <t>2026-07</t>
        </is>
      </c>
      <c r="F47" s="11" t="n">
        <v>4593</v>
      </c>
      <c r="G47" s="12" t="n">
        <v>133.2</v>
      </c>
      <c r="H47" s="11" t="n">
        <v>187</v>
      </c>
      <c r="I47" s="11" t="n">
        <v>28</v>
      </c>
      <c r="J47" s="11">
        <f>$F47-SUMIFS(Raw_Plan!$F$2:$F$120,Raw_Plan!$A$2:$A$120,$A47,Raw_Plan!$E$2:$E$120,$E47)</f>
        <v/>
      </c>
      <c r="K47" s="13">
        <f>IF(SUMIFS(Raw_Plan!$F$2:$F$120,Raw_Plan!$A$2:$A$120,$A47,Raw_Plan!$E$2:$E$120,$E47)=0,"",$F47/SUMIFS(Raw_Plan!$F$2:$F$120,Raw_Plan!$A$2:$A$120,$A47,Raw_Plan!$E$2:$E$120,$E47))</f>
        <v/>
      </c>
      <c r="L47" s="13">
        <f>IF(SUMIFS(Raw_Plan!$F$2:$F$120,Raw_Plan!$A$2:$A$120,$A47,Raw_Plan!$E$2:$E$120,$E47)=0,"",$H47/SUMIFS(Raw_Plan!$F$2:$F$120,Raw_Plan!$A$2:$A$120,$A47,Raw_Plan!$E$2:$E$120,$E47))</f>
        <v/>
      </c>
    </row>
    <row r="48">
      <c r="A48" t="inlineStr">
        <is>
          <t>S07</t>
        </is>
      </c>
      <c r="B48" t="inlineStr">
        <is>
          <t>Anantapur Solar Park</t>
        </is>
      </c>
      <c r="C48" t="inlineStr">
        <is>
          <t>Andhra Pradesh</t>
        </is>
      </c>
      <c r="D48" t="inlineStr">
        <is>
          <t>Solar</t>
        </is>
      </c>
      <c r="E48" t="inlineStr">
        <is>
          <t>2026-08</t>
        </is>
      </c>
      <c r="F48" s="11" t="n">
        <v>4943</v>
      </c>
      <c r="G48" s="12" t="n">
        <v>143.35</v>
      </c>
      <c r="H48" s="11" t="n">
        <v>242</v>
      </c>
      <c r="I48" s="11" t="n">
        <v>23</v>
      </c>
      <c r="J48" s="11">
        <f>$F48-SUMIFS(Raw_Plan!$F$2:$F$120,Raw_Plan!$A$2:$A$120,$A48,Raw_Plan!$E$2:$E$120,$E48)</f>
        <v/>
      </c>
      <c r="K48" s="13">
        <f>IF(SUMIFS(Raw_Plan!$F$2:$F$120,Raw_Plan!$A$2:$A$120,$A48,Raw_Plan!$E$2:$E$120,$E48)=0,"",$F48/SUMIFS(Raw_Plan!$F$2:$F$120,Raw_Plan!$A$2:$A$120,$A48,Raw_Plan!$E$2:$E$120,$E48))</f>
        <v/>
      </c>
      <c r="L48" s="13">
        <f>IF(SUMIFS(Raw_Plan!$F$2:$F$120,Raw_Plan!$A$2:$A$120,$A48,Raw_Plan!$E$2:$E$120,$E48)=0,"",$H48/SUMIFS(Raw_Plan!$F$2:$F$120,Raw_Plan!$A$2:$A$120,$A48,Raw_Plan!$E$2:$E$120,$E48))</f>
        <v/>
      </c>
    </row>
    <row r="49">
      <c r="A49" t="inlineStr">
        <is>
          <t>S07</t>
        </is>
      </c>
      <c r="B49" t="inlineStr">
        <is>
          <t>Anantapur Solar Park</t>
        </is>
      </c>
      <c r="C49" t="inlineStr">
        <is>
          <t>Andhra Pradesh</t>
        </is>
      </c>
      <c r="D49" t="inlineStr">
        <is>
          <t>Solar</t>
        </is>
      </c>
      <c r="E49" t="inlineStr">
        <is>
          <t>2026-09</t>
        </is>
      </c>
      <c r="F49" s="11" t="n">
        <v>5139</v>
      </c>
      <c r="G49" s="12" t="n">
        <v>149.03</v>
      </c>
      <c r="H49" s="11" t="n">
        <v>175</v>
      </c>
      <c r="I49" s="11" t="n">
        <v>6</v>
      </c>
      <c r="J49" s="11">
        <f>$F49-SUMIFS(Raw_Plan!$F$2:$F$120,Raw_Plan!$A$2:$A$120,$A49,Raw_Plan!$E$2:$E$120,$E49)</f>
        <v/>
      </c>
      <c r="K49" s="13">
        <f>IF(SUMIFS(Raw_Plan!$F$2:$F$120,Raw_Plan!$A$2:$A$120,$A49,Raw_Plan!$E$2:$E$120,$E49)=0,"",$F49/SUMIFS(Raw_Plan!$F$2:$F$120,Raw_Plan!$A$2:$A$120,$A49,Raw_Plan!$E$2:$E$120,$E49))</f>
        <v/>
      </c>
      <c r="L49" s="13">
        <f>IF(SUMIFS(Raw_Plan!$F$2:$F$120,Raw_Plan!$A$2:$A$120,$A49,Raw_Plan!$E$2:$E$120,$E49)=0,"",$H49/SUMIFS(Raw_Plan!$F$2:$F$120,Raw_Plan!$A$2:$A$120,$A49,Raw_Plan!$E$2:$E$120,$E49))</f>
        <v/>
      </c>
    </row>
    <row r="50">
      <c r="A50" t="inlineStr">
        <is>
          <t>S07</t>
        </is>
      </c>
      <c r="B50" t="inlineStr">
        <is>
          <t>Anantapur Solar Park</t>
        </is>
      </c>
      <c r="C50" t="inlineStr">
        <is>
          <t>Andhra Pradesh</t>
        </is>
      </c>
      <c r="D50" t="inlineStr">
        <is>
          <t>Solar</t>
        </is>
      </c>
      <c r="E50" t="inlineStr">
        <is>
          <t>2026-10</t>
        </is>
      </c>
      <c r="F50" s="11" t="n">
        <v>5592</v>
      </c>
      <c r="G50" s="12" t="n">
        <v>162.17</v>
      </c>
      <c r="H50" s="11" t="n">
        <v>246</v>
      </c>
      <c r="I50" s="11" t="n">
        <v>3</v>
      </c>
      <c r="J50" s="11">
        <f>$F50-SUMIFS(Raw_Plan!$F$2:$F$120,Raw_Plan!$A$2:$A$120,$A50,Raw_Plan!$E$2:$E$120,$E50)</f>
        <v/>
      </c>
      <c r="K50" s="13">
        <f>IF(SUMIFS(Raw_Plan!$F$2:$F$120,Raw_Plan!$A$2:$A$120,$A50,Raw_Plan!$E$2:$E$120,$E50)=0,"",$F50/SUMIFS(Raw_Plan!$F$2:$F$120,Raw_Plan!$A$2:$A$120,$A50,Raw_Plan!$E$2:$E$120,$E50))</f>
        <v/>
      </c>
      <c r="L50" s="13">
        <f>IF(SUMIFS(Raw_Plan!$F$2:$F$120,Raw_Plan!$A$2:$A$120,$A50,Raw_Plan!$E$2:$E$120,$E50)=0,"",$H50/SUMIFS(Raw_Plan!$F$2:$F$120,Raw_Plan!$A$2:$A$120,$A50,Raw_Plan!$E$2:$E$120,$E50))</f>
        <v/>
      </c>
    </row>
    <row r="51">
      <c r="A51" t="inlineStr">
        <is>
          <t>S08</t>
        </is>
      </c>
      <c r="B51" t="inlineStr">
        <is>
          <t>Rewa Solar Park</t>
        </is>
      </c>
      <c r="C51" t="inlineStr">
        <is>
          <t>Madhya Pradesh</t>
        </is>
      </c>
      <c r="D51" t="inlineStr">
        <is>
          <t>Solar</t>
        </is>
      </c>
      <c r="E51" t="inlineStr">
        <is>
          <t>2026-04</t>
        </is>
      </c>
      <c r="F51" s="11" t="n">
        <v>6974</v>
      </c>
      <c r="G51" s="12" t="n">
        <v>195.27</v>
      </c>
      <c r="H51" s="11" t="n">
        <v>191</v>
      </c>
      <c r="I51" s="11" t="n">
        <v>19</v>
      </c>
      <c r="J51" s="11">
        <f>$F51-SUMIFS(Raw_Plan!$F$2:$F$120,Raw_Plan!$A$2:$A$120,$A51,Raw_Plan!$E$2:$E$120,$E51)</f>
        <v/>
      </c>
      <c r="K51" s="13">
        <f>IF(SUMIFS(Raw_Plan!$F$2:$F$120,Raw_Plan!$A$2:$A$120,$A51,Raw_Plan!$E$2:$E$120,$E51)=0,"",$F51/SUMIFS(Raw_Plan!$F$2:$F$120,Raw_Plan!$A$2:$A$120,$A51,Raw_Plan!$E$2:$E$120,$E51))</f>
        <v/>
      </c>
      <c r="L51" s="13">
        <f>IF(SUMIFS(Raw_Plan!$F$2:$F$120,Raw_Plan!$A$2:$A$120,$A51,Raw_Plan!$E$2:$E$120,$E51)=0,"",$H51/SUMIFS(Raw_Plan!$F$2:$F$120,Raw_Plan!$A$2:$A$120,$A51,Raw_Plan!$E$2:$E$120,$E51))</f>
        <v/>
      </c>
    </row>
    <row r="52">
      <c r="A52" t="inlineStr">
        <is>
          <t>S08</t>
        </is>
      </c>
      <c r="B52" t="inlineStr">
        <is>
          <t>Rewa Solar Park</t>
        </is>
      </c>
      <c r="C52" t="inlineStr">
        <is>
          <t>Madhya Pradesh</t>
        </is>
      </c>
      <c r="D52" t="inlineStr">
        <is>
          <t>Solar</t>
        </is>
      </c>
      <c r="E52" t="inlineStr">
        <is>
          <t>2026-05</t>
        </is>
      </c>
      <c r="F52" s="11" t="n">
        <v>7093</v>
      </c>
      <c r="G52" s="12" t="n">
        <v>198.6</v>
      </c>
      <c r="H52" s="11" t="n">
        <v>22</v>
      </c>
      <c r="I52" s="11" t="n">
        <v>35</v>
      </c>
      <c r="J52" s="11">
        <f>$F52-SUMIFS(Raw_Plan!$F$2:$F$120,Raw_Plan!$A$2:$A$120,$A52,Raw_Plan!$E$2:$E$120,$E52)</f>
        <v/>
      </c>
      <c r="K52" s="13">
        <f>IF(SUMIFS(Raw_Plan!$F$2:$F$120,Raw_Plan!$A$2:$A$120,$A52,Raw_Plan!$E$2:$E$120,$E52)=0,"",$F52/SUMIFS(Raw_Plan!$F$2:$F$120,Raw_Plan!$A$2:$A$120,$A52,Raw_Plan!$E$2:$E$120,$E52))</f>
        <v/>
      </c>
      <c r="L52" s="13">
        <f>IF(SUMIFS(Raw_Plan!$F$2:$F$120,Raw_Plan!$A$2:$A$120,$A52,Raw_Plan!$E$2:$E$120,$E52)=0,"",$H52/SUMIFS(Raw_Plan!$F$2:$F$120,Raw_Plan!$A$2:$A$120,$A52,Raw_Plan!$E$2:$E$120,$E52))</f>
        <v/>
      </c>
    </row>
    <row r="53">
      <c r="A53" t="inlineStr">
        <is>
          <t>S08</t>
        </is>
      </c>
      <c r="B53" t="inlineStr">
        <is>
          <t>Rewa Solar Park</t>
        </is>
      </c>
      <c r="C53" t="inlineStr">
        <is>
          <t>Madhya Pradesh</t>
        </is>
      </c>
      <c r="D53" t="inlineStr">
        <is>
          <t>Solar</t>
        </is>
      </c>
      <c r="E53" t="inlineStr">
        <is>
          <t>2026-06</t>
        </is>
      </c>
      <c r="F53" s="11" t="n">
        <v>5848</v>
      </c>
      <c r="G53" s="12" t="n">
        <v>163.74</v>
      </c>
      <c r="H53" s="11" t="n">
        <v>259</v>
      </c>
      <c r="I53" s="11" t="n">
        <v>18</v>
      </c>
      <c r="J53" s="11">
        <f>$F53-SUMIFS(Raw_Plan!$F$2:$F$120,Raw_Plan!$A$2:$A$120,$A53,Raw_Plan!$E$2:$E$120,$E53)</f>
        <v/>
      </c>
      <c r="K53" s="13">
        <f>IF(SUMIFS(Raw_Plan!$F$2:$F$120,Raw_Plan!$A$2:$A$120,$A53,Raw_Plan!$E$2:$E$120,$E53)=0,"",$F53/SUMIFS(Raw_Plan!$F$2:$F$120,Raw_Plan!$A$2:$A$120,$A53,Raw_Plan!$E$2:$E$120,$E53))</f>
        <v/>
      </c>
      <c r="L53" s="13">
        <f>IF(SUMIFS(Raw_Plan!$F$2:$F$120,Raw_Plan!$A$2:$A$120,$A53,Raw_Plan!$E$2:$E$120,$E53)=0,"",$H53/SUMIFS(Raw_Plan!$F$2:$F$120,Raw_Plan!$A$2:$A$120,$A53,Raw_Plan!$E$2:$E$120,$E53))</f>
        <v/>
      </c>
    </row>
    <row r="54">
      <c r="A54" t="inlineStr">
        <is>
          <t>S08</t>
        </is>
      </c>
      <c r="B54" t="inlineStr">
        <is>
          <t>Rewa Solar Park</t>
        </is>
      </c>
      <c r="C54" t="inlineStr">
        <is>
          <t>Madhya Pradesh</t>
        </is>
      </c>
      <c r="D54" t="inlineStr">
        <is>
          <t>Solar</t>
        </is>
      </c>
      <c r="E54" t="inlineStr">
        <is>
          <t>2026-07</t>
        </is>
      </c>
      <c r="F54" s="11" t="n">
        <v>6128</v>
      </c>
      <c r="G54" s="12" t="n">
        <v>171.58</v>
      </c>
      <c r="H54" s="11" t="n">
        <v>229</v>
      </c>
      <c r="I54" s="11" t="n">
        <v>11</v>
      </c>
      <c r="J54" s="11">
        <f>$F54-SUMIFS(Raw_Plan!$F$2:$F$120,Raw_Plan!$A$2:$A$120,$A54,Raw_Plan!$E$2:$E$120,$E54)</f>
        <v/>
      </c>
      <c r="K54" s="13">
        <f>IF(SUMIFS(Raw_Plan!$F$2:$F$120,Raw_Plan!$A$2:$A$120,$A54,Raw_Plan!$E$2:$E$120,$E54)=0,"",$F54/SUMIFS(Raw_Plan!$F$2:$F$120,Raw_Plan!$A$2:$A$120,$A54,Raw_Plan!$E$2:$E$120,$E54))</f>
        <v/>
      </c>
      <c r="L54" s="13">
        <f>IF(SUMIFS(Raw_Plan!$F$2:$F$120,Raw_Plan!$A$2:$A$120,$A54,Raw_Plan!$E$2:$E$120,$E54)=0,"",$H54/SUMIFS(Raw_Plan!$F$2:$F$120,Raw_Plan!$A$2:$A$120,$A54,Raw_Plan!$E$2:$E$120,$E54))</f>
        <v/>
      </c>
    </row>
    <row r="55">
      <c r="A55" t="inlineStr">
        <is>
          <t>S08</t>
        </is>
      </c>
      <c r="B55" t="inlineStr">
        <is>
          <t>Rewa Solar Park</t>
        </is>
      </c>
      <c r="C55" t="inlineStr">
        <is>
          <t>Madhya Pradesh</t>
        </is>
      </c>
      <c r="D55" t="inlineStr">
        <is>
          <t>Solar</t>
        </is>
      </c>
      <c r="E55" t="inlineStr">
        <is>
          <t>2026-08</t>
        </is>
      </c>
      <c r="F55" s="11" t="n">
        <v>6291</v>
      </c>
      <c r="G55" s="12" t="n">
        <v>176.15</v>
      </c>
      <c r="H55" s="11" t="n">
        <v>242</v>
      </c>
      <c r="I55" s="11" t="n">
        <v>10</v>
      </c>
      <c r="J55" s="11">
        <f>$F55-SUMIFS(Raw_Plan!$F$2:$F$120,Raw_Plan!$A$2:$A$120,$A55,Raw_Plan!$E$2:$E$120,$E55)</f>
        <v/>
      </c>
      <c r="K55" s="13">
        <f>IF(SUMIFS(Raw_Plan!$F$2:$F$120,Raw_Plan!$A$2:$A$120,$A55,Raw_Plan!$E$2:$E$120,$E55)=0,"",$F55/SUMIFS(Raw_Plan!$F$2:$F$120,Raw_Plan!$A$2:$A$120,$A55,Raw_Plan!$E$2:$E$120,$E55))</f>
        <v/>
      </c>
      <c r="L55" s="13">
        <f>IF(SUMIFS(Raw_Plan!$F$2:$F$120,Raw_Plan!$A$2:$A$120,$A55,Raw_Plan!$E$2:$E$120,$E55)=0,"",$H55/SUMIFS(Raw_Plan!$F$2:$F$120,Raw_Plan!$A$2:$A$120,$A55,Raw_Plan!$E$2:$E$120,$E55))</f>
        <v/>
      </c>
    </row>
    <row r="56">
      <c r="A56" t="inlineStr">
        <is>
          <t>S08</t>
        </is>
      </c>
      <c r="B56" t="inlineStr">
        <is>
          <t>Rewa Solar Park</t>
        </is>
      </c>
      <c r="C56" t="inlineStr">
        <is>
          <t>Madhya Pradesh</t>
        </is>
      </c>
      <c r="D56" t="inlineStr">
        <is>
          <t>Solar</t>
        </is>
      </c>
      <c r="E56" t="inlineStr">
        <is>
          <t>2026-09</t>
        </is>
      </c>
      <c r="F56" s="11" t="n">
        <v>5954</v>
      </c>
      <c r="G56" s="12" t="n">
        <v>166.71</v>
      </c>
      <c r="H56" s="11" t="n">
        <v>286</v>
      </c>
      <c r="I56" s="11" t="n">
        <v>33</v>
      </c>
      <c r="J56" s="11">
        <f>$F56-SUMIFS(Raw_Plan!$F$2:$F$120,Raw_Plan!$A$2:$A$120,$A56,Raw_Plan!$E$2:$E$120,$E56)</f>
        <v/>
      </c>
      <c r="K56" s="13">
        <f>IF(SUMIFS(Raw_Plan!$F$2:$F$120,Raw_Plan!$A$2:$A$120,$A56,Raw_Plan!$E$2:$E$120,$E56)=0,"",$F56/SUMIFS(Raw_Plan!$F$2:$F$120,Raw_Plan!$A$2:$A$120,$A56,Raw_Plan!$E$2:$E$120,$E56))</f>
        <v/>
      </c>
      <c r="L56" s="13">
        <f>IF(SUMIFS(Raw_Plan!$F$2:$F$120,Raw_Plan!$A$2:$A$120,$A56,Raw_Plan!$E$2:$E$120,$E56)=0,"",$H56/SUMIFS(Raw_Plan!$F$2:$F$120,Raw_Plan!$A$2:$A$120,$A56,Raw_Plan!$E$2:$E$120,$E56))</f>
        <v/>
      </c>
    </row>
    <row r="57">
      <c r="A57" t="inlineStr">
        <is>
          <t>S08</t>
        </is>
      </c>
      <c r="B57" t="inlineStr">
        <is>
          <t>Rewa Solar Park</t>
        </is>
      </c>
      <c r="C57" t="inlineStr">
        <is>
          <t>Madhya Pradesh</t>
        </is>
      </c>
      <c r="D57" t="inlineStr">
        <is>
          <t>Solar</t>
        </is>
      </c>
      <c r="E57" t="inlineStr">
        <is>
          <t>2026-10</t>
        </is>
      </c>
      <c r="F57" s="11" t="n">
        <v>6917</v>
      </c>
      <c r="G57" s="12" t="n">
        <v>193.68</v>
      </c>
      <c r="H57" s="11" t="n">
        <v>22</v>
      </c>
      <c r="I57" s="11" t="n">
        <v>20</v>
      </c>
      <c r="J57" s="11">
        <f>$F57-SUMIFS(Raw_Plan!$F$2:$F$120,Raw_Plan!$A$2:$A$120,$A57,Raw_Plan!$E$2:$E$120,$E57)</f>
        <v/>
      </c>
      <c r="K57" s="13">
        <f>IF(SUMIFS(Raw_Plan!$F$2:$F$120,Raw_Plan!$A$2:$A$120,$A57,Raw_Plan!$E$2:$E$120,$E57)=0,"",$F57/SUMIFS(Raw_Plan!$F$2:$F$120,Raw_Plan!$A$2:$A$120,$A57,Raw_Plan!$E$2:$E$120,$E57))</f>
        <v/>
      </c>
      <c r="L57" s="13">
        <f>IF(SUMIFS(Raw_Plan!$F$2:$F$120,Raw_Plan!$A$2:$A$120,$A57,Raw_Plan!$E$2:$E$120,$E57)=0,"",$H57/SUMIFS(Raw_Plan!$F$2:$F$120,Raw_Plan!$A$2:$A$120,$A57,Raw_Plan!$E$2:$E$120,$E57))</f>
        <v/>
      </c>
    </row>
    <row r="58">
      <c r="A58" t="inlineStr">
        <is>
          <t>S09</t>
        </is>
      </c>
      <c r="B58" t="inlineStr">
        <is>
          <t>Jhansi Solar Park</t>
        </is>
      </c>
      <c r="C58" t="inlineStr">
        <is>
          <t>Uttar Pradesh</t>
        </is>
      </c>
      <c r="D58" t="inlineStr">
        <is>
          <t>Solar</t>
        </is>
      </c>
      <c r="E58" t="inlineStr">
        <is>
          <t>2026-04</t>
        </is>
      </c>
      <c r="F58" s="11" t="n">
        <v>1356</v>
      </c>
      <c r="G58" s="12" t="n">
        <v>44.75</v>
      </c>
      <c r="H58" s="11" t="n">
        <v>88</v>
      </c>
      <c r="I58" s="11" t="n">
        <v>40</v>
      </c>
      <c r="J58" s="11">
        <f>$F58-SUMIFS(Raw_Plan!$F$2:$F$120,Raw_Plan!$A$2:$A$120,$A58,Raw_Plan!$E$2:$E$120,$E58)</f>
        <v/>
      </c>
      <c r="K58" s="13">
        <f>IF(SUMIFS(Raw_Plan!$F$2:$F$120,Raw_Plan!$A$2:$A$120,$A58,Raw_Plan!$E$2:$E$120,$E58)=0,"",$F58/SUMIFS(Raw_Plan!$F$2:$F$120,Raw_Plan!$A$2:$A$120,$A58,Raw_Plan!$E$2:$E$120,$E58))</f>
        <v/>
      </c>
      <c r="L58" s="13">
        <f>IF(SUMIFS(Raw_Plan!$F$2:$F$120,Raw_Plan!$A$2:$A$120,$A58,Raw_Plan!$E$2:$E$120,$E58)=0,"",$H58/SUMIFS(Raw_Plan!$F$2:$F$120,Raw_Plan!$A$2:$A$120,$A58,Raw_Plan!$E$2:$E$120,$E58))</f>
        <v/>
      </c>
    </row>
    <row r="59">
      <c r="A59" t="inlineStr">
        <is>
          <t>S09</t>
        </is>
      </c>
      <c r="B59" t="inlineStr">
        <is>
          <t>Jhansi Solar Park</t>
        </is>
      </c>
      <c r="C59" t="inlineStr">
        <is>
          <t>Uttar Pradesh</t>
        </is>
      </c>
      <c r="D59" t="inlineStr">
        <is>
          <t>Solar</t>
        </is>
      </c>
      <c r="E59" t="inlineStr">
        <is>
          <t>2026-05</t>
        </is>
      </c>
      <c r="F59" s="11" t="n">
        <v>1716</v>
      </c>
      <c r="G59" s="12" t="n">
        <v>56.63</v>
      </c>
      <c r="H59" s="11" t="n">
        <v>54</v>
      </c>
      <c r="I59" s="11" t="n">
        <v>11</v>
      </c>
      <c r="J59" s="11">
        <f>$F59-SUMIFS(Raw_Plan!$F$2:$F$120,Raw_Plan!$A$2:$A$120,$A59,Raw_Plan!$E$2:$E$120,$E59)</f>
        <v/>
      </c>
      <c r="K59" s="13">
        <f>IF(SUMIFS(Raw_Plan!$F$2:$F$120,Raw_Plan!$A$2:$A$120,$A59,Raw_Plan!$E$2:$E$120,$E59)=0,"",$F59/SUMIFS(Raw_Plan!$F$2:$F$120,Raw_Plan!$A$2:$A$120,$A59,Raw_Plan!$E$2:$E$120,$E59))</f>
        <v/>
      </c>
      <c r="L59" s="13">
        <f>IF(SUMIFS(Raw_Plan!$F$2:$F$120,Raw_Plan!$A$2:$A$120,$A59,Raw_Plan!$E$2:$E$120,$E59)=0,"",$H59/SUMIFS(Raw_Plan!$F$2:$F$120,Raw_Plan!$A$2:$A$120,$A59,Raw_Plan!$E$2:$E$120,$E59))</f>
        <v/>
      </c>
    </row>
    <row r="60">
      <c r="A60" t="inlineStr">
        <is>
          <t>S09</t>
        </is>
      </c>
      <c r="B60" t="inlineStr">
        <is>
          <t>Jhansi Solar Park</t>
        </is>
      </c>
      <c r="C60" t="inlineStr">
        <is>
          <t>Uttar Pradesh</t>
        </is>
      </c>
      <c r="D60" t="inlineStr">
        <is>
          <t>Solar</t>
        </is>
      </c>
      <c r="E60" t="inlineStr">
        <is>
          <t>2026-06</t>
        </is>
      </c>
      <c r="F60" s="11" t="n">
        <v>1311</v>
      </c>
      <c r="G60" s="12" t="n">
        <v>43.26</v>
      </c>
      <c r="H60" s="11" t="n">
        <v>4</v>
      </c>
      <c r="I60" s="11" t="n">
        <v>3</v>
      </c>
      <c r="J60" s="11">
        <f>$F60-SUMIFS(Raw_Plan!$F$2:$F$120,Raw_Plan!$A$2:$A$120,$A60,Raw_Plan!$E$2:$E$120,$E60)</f>
        <v/>
      </c>
      <c r="K60" s="13">
        <f>IF(SUMIFS(Raw_Plan!$F$2:$F$120,Raw_Plan!$A$2:$A$120,$A60,Raw_Plan!$E$2:$E$120,$E60)=0,"",$F60/SUMIFS(Raw_Plan!$F$2:$F$120,Raw_Plan!$A$2:$A$120,$A60,Raw_Plan!$E$2:$E$120,$E60))</f>
        <v/>
      </c>
      <c r="L60" s="13">
        <f>IF(SUMIFS(Raw_Plan!$F$2:$F$120,Raw_Plan!$A$2:$A$120,$A60,Raw_Plan!$E$2:$E$120,$E60)=0,"",$H60/SUMIFS(Raw_Plan!$F$2:$F$120,Raw_Plan!$A$2:$A$120,$A60,Raw_Plan!$E$2:$E$120,$E60))</f>
        <v/>
      </c>
    </row>
    <row r="61">
      <c r="A61" t="inlineStr">
        <is>
          <t>S09</t>
        </is>
      </c>
      <c r="B61" t="inlineStr">
        <is>
          <t>Jhansi Solar Park</t>
        </is>
      </c>
      <c r="C61" t="inlineStr">
        <is>
          <t>Uttar Pradesh</t>
        </is>
      </c>
      <c r="D61" t="inlineStr">
        <is>
          <t>Solar</t>
        </is>
      </c>
      <c r="E61" t="inlineStr">
        <is>
          <t>2026-07</t>
        </is>
      </c>
      <c r="F61" s="11" t="n">
        <v>1127</v>
      </c>
      <c r="G61" s="12" t="n">
        <v>37.19</v>
      </c>
      <c r="H61" s="11" t="n">
        <v>21</v>
      </c>
      <c r="I61" s="11" t="n">
        <v>11</v>
      </c>
      <c r="J61" s="11">
        <f>$F61-SUMIFS(Raw_Plan!$F$2:$F$120,Raw_Plan!$A$2:$A$120,$A61,Raw_Plan!$E$2:$E$120,$E61)</f>
        <v/>
      </c>
      <c r="K61" s="13">
        <f>IF(SUMIFS(Raw_Plan!$F$2:$F$120,Raw_Plan!$A$2:$A$120,$A61,Raw_Plan!$E$2:$E$120,$E61)=0,"",$F61/SUMIFS(Raw_Plan!$F$2:$F$120,Raw_Plan!$A$2:$A$120,$A61,Raw_Plan!$E$2:$E$120,$E61))</f>
        <v/>
      </c>
      <c r="L61" s="13">
        <f>IF(SUMIFS(Raw_Plan!$F$2:$F$120,Raw_Plan!$A$2:$A$120,$A61,Raw_Plan!$E$2:$E$120,$E61)=0,"",$H61/SUMIFS(Raw_Plan!$F$2:$F$120,Raw_Plan!$A$2:$A$120,$A61,Raw_Plan!$E$2:$E$120,$E61))</f>
        <v/>
      </c>
    </row>
    <row r="62">
      <c r="A62" t="inlineStr">
        <is>
          <t>S09</t>
        </is>
      </c>
      <c r="B62" t="inlineStr">
        <is>
          <t>Jhansi Solar Park</t>
        </is>
      </c>
      <c r="C62" t="inlineStr">
        <is>
          <t>Uttar Pradesh</t>
        </is>
      </c>
      <c r="D62" t="inlineStr">
        <is>
          <t>Solar</t>
        </is>
      </c>
      <c r="E62" t="inlineStr">
        <is>
          <t>2026-08</t>
        </is>
      </c>
      <c r="F62" s="11" t="n">
        <v>1302</v>
      </c>
      <c r="G62" s="12" t="n">
        <v>42.97</v>
      </c>
      <c r="H62" s="11" t="n">
        <v>3</v>
      </c>
      <c r="I62" s="11" t="n">
        <v>13</v>
      </c>
      <c r="J62" s="11">
        <f>$F62-SUMIFS(Raw_Plan!$F$2:$F$120,Raw_Plan!$A$2:$A$120,$A62,Raw_Plan!$E$2:$E$120,$E62)</f>
        <v/>
      </c>
      <c r="K62" s="13">
        <f>IF(SUMIFS(Raw_Plan!$F$2:$F$120,Raw_Plan!$A$2:$A$120,$A62,Raw_Plan!$E$2:$E$120,$E62)=0,"",$F62/SUMIFS(Raw_Plan!$F$2:$F$120,Raw_Plan!$A$2:$A$120,$A62,Raw_Plan!$E$2:$E$120,$E62))</f>
        <v/>
      </c>
      <c r="L62" s="13">
        <f>IF(SUMIFS(Raw_Plan!$F$2:$F$120,Raw_Plan!$A$2:$A$120,$A62,Raw_Plan!$E$2:$E$120,$E62)=0,"",$H62/SUMIFS(Raw_Plan!$F$2:$F$120,Raw_Plan!$A$2:$A$120,$A62,Raw_Plan!$E$2:$E$120,$E62))</f>
        <v/>
      </c>
    </row>
    <row r="63">
      <c r="A63" t="inlineStr">
        <is>
          <t>S09</t>
        </is>
      </c>
      <c r="B63" t="inlineStr">
        <is>
          <t>Jhansi Solar Park</t>
        </is>
      </c>
      <c r="C63" t="inlineStr">
        <is>
          <t>Uttar Pradesh</t>
        </is>
      </c>
      <c r="D63" t="inlineStr">
        <is>
          <t>Solar</t>
        </is>
      </c>
      <c r="E63" t="inlineStr">
        <is>
          <t>2026-09</t>
        </is>
      </c>
      <c r="F63" s="11" t="n">
        <v>1433</v>
      </c>
      <c r="G63" s="12" t="n">
        <v>47.29</v>
      </c>
      <c r="H63" s="11" t="n">
        <v>86</v>
      </c>
      <c r="I63" s="11" t="n">
        <v>37</v>
      </c>
      <c r="J63" s="11">
        <f>$F63-SUMIFS(Raw_Plan!$F$2:$F$120,Raw_Plan!$A$2:$A$120,$A63,Raw_Plan!$E$2:$E$120,$E63)</f>
        <v/>
      </c>
      <c r="K63" s="13">
        <f>IF(SUMIFS(Raw_Plan!$F$2:$F$120,Raw_Plan!$A$2:$A$120,$A63,Raw_Plan!$E$2:$E$120,$E63)=0,"",$F63/SUMIFS(Raw_Plan!$F$2:$F$120,Raw_Plan!$A$2:$A$120,$A63,Raw_Plan!$E$2:$E$120,$E63))</f>
        <v/>
      </c>
      <c r="L63" s="13">
        <f>IF(SUMIFS(Raw_Plan!$F$2:$F$120,Raw_Plan!$A$2:$A$120,$A63,Raw_Plan!$E$2:$E$120,$E63)=0,"",$H63/SUMIFS(Raw_Plan!$F$2:$F$120,Raw_Plan!$A$2:$A$120,$A63,Raw_Plan!$E$2:$E$120,$E63))</f>
        <v/>
      </c>
    </row>
    <row r="64">
      <c r="A64" t="inlineStr">
        <is>
          <t>S09</t>
        </is>
      </c>
      <c r="B64" t="inlineStr">
        <is>
          <t>Jhansi Solar Park</t>
        </is>
      </c>
      <c r="C64" t="inlineStr">
        <is>
          <t>Uttar Pradesh</t>
        </is>
      </c>
      <c r="D64" t="inlineStr">
        <is>
          <t>Solar</t>
        </is>
      </c>
      <c r="E64" t="inlineStr">
        <is>
          <t>2026-10</t>
        </is>
      </c>
      <c r="F64" s="11" t="n">
        <v>1414</v>
      </c>
      <c r="G64" s="12" t="n">
        <v>46.66</v>
      </c>
      <c r="H64" s="11" t="n">
        <v>90</v>
      </c>
      <c r="I64" s="11" t="n">
        <v>0</v>
      </c>
      <c r="J64" s="11">
        <f>$F64-SUMIFS(Raw_Plan!$F$2:$F$120,Raw_Plan!$A$2:$A$120,$A64,Raw_Plan!$E$2:$E$120,$E64)</f>
        <v/>
      </c>
      <c r="K64" s="13">
        <f>IF(SUMIFS(Raw_Plan!$F$2:$F$120,Raw_Plan!$A$2:$A$120,$A64,Raw_Plan!$E$2:$E$120,$E64)=0,"",$F64/SUMIFS(Raw_Plan!$F$2:$F$120,Raw_Plan!$A$2:$A$120,$A64,Raw_Plan!$E$2:$E$120,$E64))</f>
        <v/>
      </c>
      <c r="L64" s="13">
        <f>IF(SUMIFS(Raw_Plan!$F$2:$F$120,Raw_Plan!$A$2:$A$120,$A64,Raw_Plan!$E$2:$E$120,$E64)=0,"",$H64/SUMIFS(Raw_Plan!$F$2:$F$120,Raw_Plan!$A$2:$A$120,$A64,Raw_Plan!$E$2:$E$120,$E64))</f>
        <v/>
      </c>
    </row>
    <row r="65">
      <c r="A65" t="inlineStr">
        <is>
          <t>W01</t>
        </is>
      </c>
      <c r="B65" t="inlineStr">
        <is>
          <t>Kutch Wind Farm</t>
        </is>
      </c>
      <c r="C65" t="inlineStr">
        <is>
          <t>Gujarat</t>
        </is>
      </c>
      <c r="D65" t="inlineStr">
        <is>
          <t>Wind</t>
        </is>
      </c>
      <c r="E65" t="inlineStr">
        <is>
          <t>2026-04</t>
        </is>
      </c>
      <c r="F65" s="11" t="n">
        <v>6551</v>
      </c>
      <c r="G65" s="12" t="n">
        <v>235.84</v>
      </c>
      <c r="H65" s="11" t="n">
        <v>26</v>
      </c>
      <c r="I65" s="11" t="n">
        <v>26</v>
      </c>
      <c r="J65" s="11">
        <f>$F65-SUMIFS(Raw_Plan!$F$2:$F$120,Raw_Plan!$A$2:$A$120,$A65,Raw_Plan!$E$2:$E$120,$E65)</f>
        <v/>
      </c>
      <c r="K65" s="13">
        <f>IF(SUMIFS(Raw_Plan!$F$2:$F$120,Raw_Plan!$A$2:$A$120,$A65,Raw_Plan!$E$2:$E$120,$E65)=0,"",$F65/SUMIFS(Raw_Plan!$F$2:$F$120,Raw_Plan!$A$2:$A$120,$A65,Raw_Plan!$E$2:$E$120,$E65))</f>
        <v/>
      </c>
      <c r="L65" s="13">
        <f>IF(SUMIFS(Raw_Plan!$F$2:$F$120,Raw_Plan!$A$2:$A$120,$A65,Raw_Plan!$E$2:$E$120,$E65)=0,"",$H65/SUMIFS(Raw_Plan!$F$2:$F$120,Raw_Plan!$A$2:$A$120,$A65,Raw_Plan!$E$2:$E$120,$E65))</f>
        <v/>
      </c>
    </row>
    <row r="66">
      <c r="A66" t="inlineStr">
        <is>
          <t>W01</t>
        </is>
      </c>
      <c r="B66" t="inlineStr">
        <is>
          <t>Kutch Wind Farm</t>
        </is>
      </c>
      <c r="C66" t="inlineStr">
        <is>
          <t>Gujarat</t>
        </is>
      </c>
      <c r="D66" t="inlineStr">
        <is>
          <t>Wind</t>
        </is>
      </c>
      <c r="E66" t="inlineStr">
        <is>
          <t>2026-05</t>
        </is>
      </c>
      <c r="F66" s="11" t="n">
        <v>6149</v>
      </c>
      <c r="G66" s="12" t="n">
        <v>221.36</v>
      </c>
      <c r="H66" s="11" t="n">
        <v>386</v>
      </c>
      <c r="I66" s="11" t="n">
        <v>39</v>
      </c>
      <c r="J66" s="11">
        <f>$F66-SUMIFS(Raw_Plan!$F$2:$F$120,Raw_Plan!$A$2:$A$120,$A66,Raw_Plan!$E$2:$E$120,$E66)</f>
        <v/>
      </c>
      <c r="K66" s="13">
        <f>IF(SUMIFS(Raw_Plan!$F$2:$F$120,Raw_Plan!$A$2:$A$120,$A66,Raw_Plan!$E$2:$E$120,$E66)=0,"",$F66/SUMIFS(Raw_Plan!$F$2:$F$120,Raw_Plan!$A$2:$A$120,$A66,Raw_Plan!$E$2:$E$120,$E66))</f>
        <v/>
      </c>
      <c r="L66" s="13">
        <f>IF(SUMIFS(Raw_Plan!$F$2:$F$120,Raw_Plan!$A$2:$A$120,$A66,Raw_Plan!$E$2:$E$120,$E66)=0,"",$H66/SUMIFS(Raw_Plan!$F$2:$F$120,Raw_Plan!$A$2:$A$120,$A66,Raw_Plan!$E$2:$E$120,$E66))</f>
        <v/>
      </c>
    </row>
    <row r="67">
      <c r="A67" t="inlineStr">
        <is>
          <t>W01</t>
        </is>
      </c>
      <c r="B67" t="inlineStr">
        <is>
          <t>Kutch Wind Farm</t>
        </is>
      </c>
      <c r="C67" t="inlineStr">
        <is>
          <t>Gujarat</t>
        </is>
      </c>
      <c r="D67" t="inlineStr">
        <is>
          <t>Wind</t>
        </is>
      </c>
      <c r="E67" t="inlineStr">
        <is>
          <t>2026-06</t>
        </is>
      </c>
      <c r="F67" s="11" t="n">
        <v>7753</v>
      </c>
      <c r="G67" s="12" t="n">
        <v>279.11</v>
      </c>
      <c r="H67" s="11" t="n">
        <v>327</v>
      </c>
      <c r="I67" s="11" t="n">
        <v>8</v>
      </c>
      <c r="J67" s="11">
        <f>$F67-SUMIFS(Raw_Plan!$F$2:$F$120,Raw_Plan!$A$2:$A$120,$A67,Raw_Plan!$E$2:$E$120,$E67)</f>
        <v/>
      </c>
      <c r="K67" s="13">
        <f>IF(SUMIFS(Raw_Plan!$F$2:$F$120,Raw_Plan!$A$2:$A$120,$A67,Raw_Plan!$E$2:$E$120,$E67)=0,"",$F67/SUMIFS(Raw_Plan!$F$2:$F$120,Raw_Plan!$A$2:$A$120,$A67,Raw_Plan!$E$2:$E$120,$E67))</f>
        <v/>
      </c>
      <c r="L67" s="13">
        <f>IF(SUMIFS(Raw_Plan!$F$2:$F$120,Raw_Plan!$A$2:$A$120,$A67,Raw_Plan!$E$2:$E$120,$E67)=0,"",$H67/SUMIFS(Raw_Plan!$F$2:$F$120,Raw_Plan!$A$2:$A$120,$A67,Raw_Plan!$E$2:$E$120,$E67))</f>
        <v/>
      </c>
    </row>
    <row r="68">
      <c r="A68" t="inlineStr">
        <is>
          <t>W01</t>
        </is>
      </c>
      <c r="B68" t="inlineStr">
        <is>
          <t>Kutch Wind Farm</t>
        </is>
      </c>
      <c r="C68" t="inlineStr">
        <is>
          <t>Gujarat</t>
        </is>
      </c>
      <c r="D68" t="inlineStr">
        <is>
          <t>Wind</t>
        </is>
      </c>
      <c r="E68" t="inlineStr">
        <is>
          <t>2026-07</t>
        </is>
      </c>
      <c r="F68" s="11" t="n">
        <v>7295</v>
      </c>
      <c r="G68" s="12" t="n">
        <v>262.62</v>
      </c>
      <c r="H68" s="11" t="n">
        <v>1527</v>
      </c>
      <c r="I68" s="11" t="n">
        <v>21</v>
      </c>
      <c r="J68" s="11">
        <f>$F68-SUMIFS(Raw_Plan!$F$2:$F$120,Raw_Plan!$A$2:$A$120,$A68,Raw_Plan!$E$2:$E$120,$E68)</f>
        <v/>
      </c>
      <c r="K68" s="13">
        <f>IF(SUMIFS(Raw_Plan!$F$2:$F$120,Raw_Plan!$A$2:$A$120,$A68,Raw_Plan!$E$2:$E$120,$E68)=0,"",$F68/SUMIFS(Raw_Plan!$F$2:$F$120,Raw_Plan!$A$2:$A$120,$A68,Raw_Plan!$E$2:$E$120,$E68))</f>
        <v/>
      </c>
      <c r="L68" s="13">
        <f>IF(SUMIFS(Raw_Plan!$F$2:$F$120,Raw_Plan!$A$2:$A$120,$A68,Raw_Plan!$E$2:$E$120,$E68)=0,"",$H68/SUMIFS(Raw_Plan!$F$2:$F$120,Raw_Plan!$A$2:$A$120,$A68,Raw_Plan!$E$2:$E$120,$E68))</f>
        <v/>
      </c>
    </row>
    <row r="69">
      <c r="A69" t="inlineStr">
        <is>
          <t>W01</t>
        </is>
      </c>
      <c r="B69" t="inlineStr">
        <is>
          <t>Kutch Wind Farm</t>
        </is>
      </c>
      <c r="C69" t="inlineStr">
        <is>
          <t>Gujarat</t>
        </is>
      </c>
      <c r="D69" t="inlineStr">
        <is>
          <t>Wind</t>
        </is>
      </c>
      <c r="E69" t="inlineStr">
        <is>
          <t>2026-08</t>
        </is>
      </c>
      <c r="F69" s="11" t="n">
        <v>7614</v>
      </c>
      <c r="G69" s="12" t="n">
        <v>274.1</v>
      </c>
      <c r="H69" s="11" t="n">
        <v>198</v>
      </c>
      <c r="I69" s="11" t="n">
        <v>37</v>
      </c>
      <c r="J69" s="11">
        <f>$F69-SUMIFS(Raw_Plan!$F$2:$F$120,Raw_Plan!$A$2:$A$120,$A69,Raw_Plan!$E$2:$E$120,$E69)</f>
        <v/>
      </c>
      <c r="K69" s="13">
        <f>IF(SUMIFS(Raw_Plan!$F$2:$F$120,Raw_Plan!$A$2:$A$120,$A69,Raw_Plan!$E$2:$E$120,$E69)=0,"",$F69/SUMIFS(Raw_Plan!$F$2:$F$120,Raw_Plan!$A$2:$A$120,$A69,Raw_Plan!$E$2:$E$120,$E69))</f>
        <v/>
      </c>
      <c r="L69" s="13">
        <f>IF(SUMIFS(Raw_Plan!$F$2:$F$120,Raw_Plan!$A$2:$A$120,$A69,Raw_Plan!$E$2:$E$120,$E69)=0,"",$H69/SUMIFS(Raw_Plan!$F$2:$F$120,Raw_Plan!$A$2:$A$120,$A69,Raw_Plan!$E$2:$E$120,$E69))</f>
        <v/>
      </c>
    </row>
    <row r="70">
      <c r="A70" t="inlineStr">
        <is>
          <t>W01</t>
        </is>
      </c>
      <c r="B70" t="inlineStr">
        <is>
          <t>Kutch Wind Farm</t>
        </is>
      </c>
      <c r="C70" t="inlineStr">
        <is>
          <t>Gujarat</t>
        </is>
      </c>
      <c r="D70" t="inlineStr">
        <is>
          <t>Wind</t>
        </is>
      </c>
      <c r="E70" t="inlineStr">
        <is>
          <t>2026-09</t>
        </is>
      </c>
      <c r="F70" s="11" t="n">
        <v>6814</v>
      </c>
      <c r="G70" s="12" t="n">
        <v>245.3</v>
      </c>
      <c r="H70" s="11" t="n">
        <v>285</v>
      </c>
      <c r="I70" s="11" t="n">
        <v>35</v>
      </c>
      <c r="J70" s="11">
        <f>$F70-SUMIFS(Raw_Plan!$F$2:$F$120,Raw_Plan!$A$2:$A$120,$A70,Raw_Plan!$E$2:$E$120,$E70)</f>
        <v/>
      </c>
      <c r="K70" s="13">
        <f>IF(SUMIFS(Raw_Plan!$F$2:$F$120,Raw_Plan!$A$2:$A$120,$A70,Raw_Plan!$E$2:$E$120,$E70)=0,"",$F70/SUMIFS(Raw_Plan!$F$2:$F$120,Raw_Plan!$A$2:$A$120,$A70,Raw_Plan!$E$2:$E$120,$E70))</f>
        <v/>
      </c>
      <c r="L70" s="13">
        <f>IF(SUMIFS(Raw_Plan!$F$2:$F$120,Raw_Plan!$A$2:$A$120,$A70,Raw_Plan!$E$2:$E$120,$E70)=0,"",$H70/SUMIFS(Raw_Plan!$F$2:$F$120,Raw_Plan!$A$2:$A$120,$A70,Raw_Plan!$E$2:$E$120,$E70))</f>
        <v/>
      </c>
    </row>
    <row r="71">
      <c r="A71" t="inlineStr">
        <is>
          <t>W01</t>
        </is>
      </c>
      <c r="B71" t="inlineStr">
        <is>
          <t>Kutch Wind Farm</t>
        </is>
      </c>
      <c r="C71" t="inlineStr">
        <is>
          <t>Gujarat</t>
        </is>
      </c>
      <c r="D71" t="inlineStr">
        <is>
          <t>Wind</t>
        </is>
      </c>
      <c r="E71" t="inlineStr">
        <is>
          <t>2026-10</t>
        </is>
      </c>
      <c r="F71" s="11" t="n">
        <v>6850</v>
      </c>
      <c r="G71" s="12" t="n">
        <v>246.6</v>
      </c>
      <c r="H71" s="11" t="n">
        <v>362</v>
      </c>
      <c r="I71" s="11" t="n">
        <v>6</v>
      </c>
      <c r="J71" s="11">
        <f>$F71-SUMIFS(Raw_Plan!$F$2:$F$120,Raw_Plan!$A$2:$A$120,$A71,Raw_Plan!$E$2:$E$120,$E71)</f>
        <v/>
      </c>
      <c r="K71" s="13">
        <f>IF(SUMIFS(Raw_Plan!$F$2:$F$120,Raw_Plan!$A$2:$A$120,$A71,Raw_Plan!$E$2:$E$120,$E71)=0,"",$F71/SUMIFS(Raw_Plan!$F$2:$F$120,Raw_Plan!$A$2:$A$120,$A71,Raw_Plan!$E$2:$E$120,$E71))</f>
        <v/>
      </c>
      <c r="L71" s="13">
        <f>IF(SUMIFS(Raw_Plan!$F$2:$F$120,Raw_Plan!$A$2:$A$120,$A71,Raw_Plan!$E$2:$E$120,$E71)=0,"",$H71/SUMIFS(Raw_Plan!$F$2:$F$120,Raw_Plan!$A$2:$A$120,$A71,Raw_Plan!$E$2:$E$120,$E71))</f>
        <v/>
      </c>
    </row>
    <row r="72">
      <c r="A72" t="inlineStr">
        <is>
          <t>W02</t>
        </is>
      </c>
      <c r="B72" t="inlineStr">
        <is>
          <t>Tirunelveli Wind Farm</t>
        </is>
      </c>
      <c r="C72" t="inlineStr">
        <is>
          <t>Tamil Nadu</t>
        </is>
      </c>
      <c r="D72" t="inlineStr">
        <is>
          <t>Wind</t>
        </is>
      </c>
      <c r="E72" t="inlineStr">
        <is>
          <t>2026-04</t>
        </is>
      </c>
      <c r="F72" s="11" t="n">
        <v>5292</v>
      </c>
      <c r="G72" s="12" t="n">
        <v>198.45</v>
      </c>
      <c r="H72" s="11" t="n">
        <v>184</v>
      </c>
      <c r="I72" s="11" t="n">
        <v>16</v>
      </c>
      <c r="J72" s="11">
        <f>$F72-SUMIFS(Raw_Plan!$F$2:$F$120,Raw_Plan!$A$2:$A$120,$A72,Raw_Plan!$E$2:$E$120,$E72)</f>
        <v/>
      </c>
      <c r="K72" s="13">
        <f>IF(SUMIFS(Raw_Plan!$F$2:$F$120,Raw_Plan!$A$2:$A$120,$A72,Raw_Plan!$E$2:$E$120,$E72)=0,"",$F72/SUMIFS(Raw_Plan!$F$2:$F$120,Raw_Plan!$A$2:$A$120,$A72,Raw_Plan!$E$2:$E$120,$E72))</f>
        <v/>
      </c>
      <c r="L72" s="13">
        <f>IF(SUMIFS(Raw_Plan!$F$2:$F$120,Raw_Plan!$A$2:$A$120,$A72,Raw_Plan!$E$2:$E$120,$E72)=0,"",$H72/SUMIFS(Raw_Plan!$F$2:$F$120,Raw_Plan!$A$2:$A$120,$A72,Raw_Plan!$E$2:$E$120,$E72))</f>
        <v/>
      </c>
    </row>
    <row r="73">
      <c r="A73" t="inlineStr">
        <is>
          <t>W02</t>
        </is>
      </c>
      <c r="B73" t="inlineStr">
        <is>
          <t>Tirunelveli Wind Farm</t>
        </is>
      </c>
      <c r="C73" t="inlineStr">
        <is>
          <t>Tamil Nadu</t>
        </is>
      </c>
      <c r="D73" t="inlineStr">
        <is>
          <t>Wind</t>
        </is>
      </c>
      <c r="E73" t="inlineStr">
        <is>
          <t>2026-05</t>
        </is>
      </c>
      <c r="F73" s="11" t="n">
        <v>6226</v>
      </c>
      <c r="G73" s="12" t="n">
        <v>233.47</v>
      </c>
      <c r="H73" s="11" t="n">
        <v>202</v>
      </c>
      <c r="I73" s="11" t="n">
        <v>35</v>
      </c>
      <c r="J73" s="11">
        <f>$F73-SUMIFS(Raw_Plan!$F$2:$F$120,Raw_Plan!$A$2:$A$120,$A73,Raw_Plan!$E$2:$E$120,$E73)</f>
        <v/>
      </c>
      <c r="K73" s="13">
        <f>IF(SUMIFS(Raw_Plan!$F$2:$F$120,Raw_Plan!$A$2:$A$120,$A73,Raw_Plan!$E$2:$E$120,$E73)=0,"",$F73/SUMIFS(Raw_Plan!$F$2:$F$120,Raw_Plan!$A$2:$A$120,$A73,Raw_Plan!$E$2:$E$120,$E73))</f>
        <v/>
      </c>
      <c r="L73" s="13">
        <f>IF(SUMIFS(Raw_Plan!$F$2:$F$120,Raw_Plan!$A$2:$A$120,$A73,Raw_Plan!$E$2:$E$120,$E73)=0,"",$H73/SUMIFS(Raw_Plan!$F$2:$F$120,Raw_Plan!$A$2:$A$120,$A73,Raw_Plan!$E$2:$E$120,$E73))</f>
        <v/>
      </c>
    </row>
    <row r="74">
      <c r="A74" t="inlineStr">
        <is>
          <t>W02</t>
        </is>
      </c>
      <c r="B74" t="inlineStr">
        <is>
          <t>Tirunelveli Wind Farm</t>
        </is>
      </c>
      <c r="C74" t="inlineStr">
        <is>
          <t>Tamil Nadu</t>
        </is>
      </c>
      <c r="D74" t="inlineStr">
        <is>
          <t>Wind</t>
        </is>
      </c>
      <c r="E74" t="inlineStr">
        <is>
          <t>2026-06</t>
        </is>
      </c>
      <c r="F74" s="11" t="n">
        <v>6214</v>
      </c>
      <c r="G74" s="12" t="n">
        <v>233.03</v>
      </c>
      <c r="H74" s="11" t="n">
        <v>253</v>
      </c>
      <c r="I74" s="11" t="n">
        <v>10</v>
      </c>
      <c r="J74" s="11">
        <f>$F74-SUMIFS(Raw_Plan!$F$2:$F$120,Raw_Plan!$A$2:$A$120,$A74,Raw_Plan!$E$2:$E$120,$E74)</f>
        <v/>
      </c>
      <c r="K74" s="13">
        <f>IF(SUMIFS(Raw_Plan!$F$2:$F$120,Raw_Plan!$A$2:$A$120,$A74,Raw_Plan!$E$2:$E$120,$E74)=0,"",$F74/SUMIFS(Raw_Plan!$F$2:$F$120,Raw_Plan!$A$2:$A$120,$A74,Raw_Plan!$E$2:$E$120,$E74))</f>
        <v/>
      </c>
      <c r="L74" s="13">
        <f>IF(SUMIFS(Raw_Plan!$F$2:$F$120,Raw_Plan!$A$2:$A$120,$A74,Raw_Plan!$E$2:$E$120,$E74)=0,"",$H74/SUMIFS(Raw_Plan!$F$2:$F$120,Raw_Plan!$A$2:$A$120,$A74,Raw_Plan!$E$2:$E$120,$E74))</f>
        <v/>
      </c>
    </row>
    <row r="75">
      <c r="A75" t="inlineStr">
        <is>
          <t>W02</t>
        </is>
      </c>
      <c r="B75" t="inlineStr">
        <is>
          <t>Tirunelveli Wind Farm</t>
        </is>
      </c>
      <c r="C75" t="inlineStr">
        <is>
          <t>Tamil Nadu</t>
        </is>
      </c>
      <c r="D75" t="inlineStr">
        <is>
          <t>Wind</t>
        </is>
      </c>
      <c r="E75" t="inlineStr">
        <is>
          <t>2026-07</t>
        </is>
      </c>
      <c r="F75" s="11" t="n">
        <v>6503</v>
      </c>
      <c r="G75" s="12" t="n">
        <v>243.86</v>
      </c>
      <c r="H75" s="11" t="n">
        <v>375</v>
      </c>
      <c r="I75" s="11" t="n">
        <v>28</v>
      </c>
      <c r="J75" s="11">
        <f>$F75-SUMIFS(Raw_Plan!$F$2:$F$120,Raw_Plan!$A$2:$A$120,$A75,Raw_Plan!$E$2:$E$120,$E75)</f>
        <v/>
      </c>
      <c r="K75" s="13">
        <f>IF(SUMIFS(Raw_Plan!$F$2:$F$120,Raw_Plan!$A$2:$A$120,$A75,Raw_Plan!$E$2:$E$120,$E75)=0,"",$F75/SUMIFS(Raw_Plan!$F$2:$F$120,Raw_Plan!$A$2:$A$120,$A75,Raw_Plan!$E$2:$E$120,$E75))</f>
        <v/>
      </c>
      <c r="L75" s="13">
        <f>IF(SUMIFS(Raw_Plan!$F$2:$F$120,Raw_Plan!$A$2:$A$120,$A75,Raw_Plan!$E$2:$E$120,$E75)=0,"",$H75/SUMIFS(Raw_Plan!$F$2:$F$120,Raw_Plan!$A$2:$A$120,$A75,Raw_Plan!$E$2:$E$120,$E75))</f>
        <v/>
      </c>
    </row>
    <row r="76">
      <c r="A76" t="inlineStr">
        <is>
          <t>W02</t>
        </is>
      </c>
      <c r="B76" t="inlineStr">
        <is>
          <t>Tirunelveli Wind Farm</t>
        </is>
      </c>
      <c r="C76" t="inlineStr">
        <is>
          <t>Tamil Nadu</t>
        </is>
      </c>
      <c r="D76" t="inlineStr">
        <is>
          <t>Wind</t>
        </is>
      </c>
      <c r="E76" t="inlineStr">
        <is>
          <t>2026-08</t>
        </is>
      </c>
      <c r="F76" s="11" t="n">
        <v>7068</v>
      </c>
      <c r="G76" s="12" t="n">
        <v>265.05</v>
      </c>
      <c r="H76" s="11" t="n">
        <v>303</v>
      </c>
      <c r="I76" s="11" t="n">
        <v>1</v>
      </c>
      <c r="J76" s="11">
        <f>$F76-SUMIFS(Raw_Plan!$F$2:$F$120,Raw_Plan!$A$2:$A$120,$A76,Raw_Plan!$E$2:$E$120,$E76)</f>
        <v/>
      </c>
      <c r="K76" s="13">
        <f>IF(SUMIFS(Raw_Plan!$F$2:$F$120,Raw_Plan!$A$2:$A$120,$A76,Raw_Plan!$E$2:$E$120,$E76)=0,"",$F76/SUMIFS(Raw_Plan!$F$2:$F$120,Raw_Plan!$A$2:$A$120,$A76,Raw_Plan!$E$2:$E$120,$E76))</f>
        <v/>
      </c>
      <c r="L76" s="13">
        <f>IF(SUMIFS(Raw_Plan!$F$2:$F$120,Raw_Plan!$A$2:$A$120,$A76,Raw_Plan!$E$2:$E$120,$E76)=0,"",$H76/SUMIFS(Raw_Plan!$F$2:$F$120,Raw_Plan!$A$2:$A$120,$A76,Raw_Plan!$E$2:$E$120,$E76))</f>
        <v/>
      </c>
    </row>
    <row r="77">
      <c r="A77" t="inlineStr">
        <is>
          <t>W02</t>
        </is>
      </c>
      <c r="B77" t="inlineStr">
        <is>
          <t>Tirunelveli Wind Farm</t>
        </is>
      </c>
      <c r="C77" t="inlineStr">
        <is>
          <t>Tamil Nadu</t>
        </is>
      </c>
      <c r="D77" t="inlineStr">
        <is>
          <t>Wind</t>
        </is>
      </c>
      <c r="E77" t="inlineStr">
        <is>
          <t>2026-09</t>
        </is>
      </c>
      <c r="F77" s="11" t="n">
        <v>5821</v>
      </c>
      <c r="G77" s="12" t="n">
        <v>218.29</v>
      </c>
      <c r="H77" s="11" t="n">
        <v>279</v>
      </c>
      <c r="I77" s="11" t="n">
        <v>28</v>
      </c>
      <c r="J77" s="11">
        <f>$F77-SUMIFS(Raw_Plan!$F$2:$F$120,Raw_Plan!$A$2:$A$120,$A77,Raw_Plan!$E$2:$E$120,$E77)</f>
        <v/>
      </c>
      <c r="K77" s="13">
        <f>IF(SUMIFS(Raw_Plan!$F$2:$F$120,Raw_Plan!$A$2:$A$120,$A77,Raw_Plan!$E$2:$E$120,$E77)=0,"",$F77/SUMIFS(Raw_Plan!$F$2:$F$120,Raw_Plan!$A$2:$A$120,$A77,Raw_Plan!$E$2:$E$120,$E77))</f>
        <v/>
      </c>
      <c r="L77" s="13">
        <f>IF(SUMIFS(Raw_Plan!$F$2:$F$120,Raw_Plan!$A$2:$A$120,$A77,Raw_Plan!$E$2:$E$120,$E77)=0,"",$H77/SUMIFS(Raw_Plan!$F$2:$F$120,Raw_Plan!$A$2:$A$120,$A77,Raw_Plan!$E$2:$E$120,$E77))</f>
        <v/>
      </c>
    </row>
    <row r="78">
      <c r="A78" t="inlineStr">
        <is>
          <t>W02</t>
        </is>
      </c>
      <c r="B78" t="inlineStr">
        <is>
          <t>Tirunelveli Wind Farm</t>
        </is>
      </c>
      <c r="C78" t="inlineStr">
        <is>
          <t>Tamil Nadu</t>
        </is>
      </c>
      <c r="D78" t="inlineStr">
        <is>
          <t>Wind</t>
        </is>
      </c>
      <c r="E78" t="inlineStr">
        <is>
          <t>2026-10</t>
        </is>
      </c>
      <c r="F78" s="11" t="n">
        <v>4961</v>
      </c>
      <c r="G78" s="12" t="n">
        <v>186.04</v>
      </c>
      <c r="H78" s="11" t="n">
        <v>84</v>
      </c>
      <c r="I78" s="11" t="n">
        <v>9</v>
      </c>
      <c r="J78" s="11">
        <f>$F78-SUMIFS(Raw_Plan!$F$2:$F$120,Raw_Plan!$A$2:$A$120,$A78,Raw_Plan!$E$2:$E$120,$E78)</f>
        <v/>
      </c>
      <c r="K78" s="13">
        <f>IF(SUMIFS(Raw_Plan!$F$2:$F$120,Raw_Plan!$A$2:$A$120,$A78,Raw_Plan!$E$2:$E$120,$E78)=0,"",$F78/SUMIFS(Raw_Plan!$F$2:$F$120,Raw_Plan!$A$2:$A$120,$A78,Raw_Plan!$E$2:$E$120,$E78))</f>
        <v/>
      </c>
      <c r="L78" s="13">
        <f>IF(SUMIFS(Raw_Plan!$F$2:$F$120,Raw_Plan!$A$2:$A$120,$A78,Raw_Plan!$E$2:$E$120,$E78)=0,"",$H78/SUMIFS(Raw_Plan!$F$2:$F$120,Raw_Plan!$A$2:$A$120,$A78,Raw_Plan!$E$2:$E$120,$E78))</f>
        <v/>
      </c>
    </row>
    <row r="79">
      <c r="A79" t="inlineStr">
        <is>
          <t>W03</t>
        </is>
      </c>
      <c r="B79" t="inlineStr">
        <is>
          <t>Satara Wind Farm</t>
        </is>
      </c>
      <c r="C79" t="inlineStr">
        <is>
          <t>Maharashtra</t>
        </is>
      </c>
      <c r="D79" t="inlineStr">
        <is>
          <t>Wind</t>
        </is>
      </c>
      <c r="E79" t="inlineStr">
        <is>
          <t>2026-04</t>
        </is>
      </c>
      <c r="F79" s="11" t="n">
        <v>3879</v>
      </c>
      <c r="G79" s="12" t="n">
        <v>149.34</v>
      </c>
      <c r="H79" s="11" t="n">
        <v>86</v>
      </c>
      <c r="I79" s="11" t="n">
        <v>6</v>
      </c>
      <c r="J79" s="11">
        <f>$F79-SUMIFS(Raw_Plan!$F$2:$F$120,Raw_Plan!$A$2:$A$120,$A79,Raw_Plan!$E$2:$E$120,$E79)</f>
        <v/>
      </c>
      <c r="K79" s="13">
        <f>IF(SUMIFS(Raw_Plan!$F$2:$F$120,Raw_Plan!$A$2:$A$120,$A79,Raw_Plan!$E$2:$E$120,$E79)=0,"",$F79/SUMIFS(Raw_Plan!$F$2:$F$120,Raw_Plan!$A$2:$A$120,$A79,Raw_Plan!$E$2:$E$120,$E79))</f>
        <v/>
      </c>
      <c r="L79" s="13">
        <f>IF(SUMIFS(Raw_Plan!$F$2:$F$120,Raw_Plan!$A$2:$A$120,$A79,Raw_Plan!$E$2:$E$120,$E79)=0,"",$H79/SUMIFS(Raw_Plan!$F$2:$F$120,Raw_Plan!$A$2:$A$120,$A79,Raw_Plan!$E$2:$E$120,$E79))</f>
        <v/>
      </c>
    </row>
    <row r="80">
      <c r="A80" t="inlineStr">
        <is>
          <t>W03</t>
        </is>
      </c>
      <c r="B80" t="inlineStr">
        <is>
          <t>Satara Wind Farm</t>
        </is>
      </c>
      <c r="C80" t="inlineStr">
        <is>
          <t>Maharashtra</t>
        </is>
      </c>
      <c r="D80" t="inlineStr">
        <is>
          <t>Wind</t>
        </is>
      </c>
      <c r="E80" t="inlineStr">
        <is>
          <t>2026-05</t>
        </is>
      </c>
      <c r="F80" s="11" t="n">
        <v>4291</v>
      </c>
      <c r="G80" s="12" t="n">
        <v>165.2</v>
      </c>
      <c r="H80" s="11" t="n">
        <v>138</v>
      </c>
      <c r="I80" s="11" t="n">
        <v>29</v>
      </c>
      <c r="J80" s="11">
        <f>$F80-SUMIFS(Raw_Plan!$F$2:$F$120,Raw_Plan!$A$2:$A$120,$A80,Raw_Plan!$E$2:$E$120,$E80)</f>
        <v/>
      </c>
      <c r="K80" s="13">
        <f>IF(SUMIFS(Raw_Plan!$F$2:$F$120,Raw_Plan!$A$2:$A$120,$A80,Raw_Plan!$E$2:$E$120,$E80)=0,"",$F80/SUMIFS(Raw_Plan!$F$2:$F$120,Raw_Plan!$A$2:$A$120,$A80,Raw_Plan!$E$2:$E$120,$E80))</f>
        <v/>
      </c>
      <c r="L80" s="13">
        <f>IF(SUMIFS(Raw_Plan!$F$2:$F$120,Raw_Plan!$A$2:$A$120,$A80,Raw_Plan!$E$2:$E$120,$E80)=0,"",$H80/SUMIFS(Raw_Plan!$F$2:$F$120,Raw_Plan!$A$2:$A$120,$A80,Raw_Plan!$E$2:$E$120,$E80))</f>
        <v/>
      </c>
    </row>
    <row r="81">
      <c r="A81" t="inlineStr">
        <is>
          <t>W03</t>
        </is>
      </c>
      <c r="B81" t="inlineStr">
        <is>
          <t>Satara Wind Farm</t>
        </is>
      </c>
      <c r="C81" t="inlineStr">
        <is>
          <t>Maharashtra</t>
        </is>
      </c>
      <c r="D81" t="inlineStr">
        <is>
          <t>Wind</t>
        </is>
      </c>
      <c r="E81" t="inlineStr">
        <is>
          <t>2026-06</t>
        </is>
      </c>
      <c r="F81" s="11" t="n">
        <v>5293</v>
      </c>
      <c r="G81" s="12" t="n">
        <v>203.78</v>
      </c>
      <c r="H81" s="11" t="n">
        <v>135</v>
      </c>
      <c r="I81" s="11" t="n">
        <v>25</v>
      </c>
      <c r="J81" s="11">
        <f>$F81-SUMIFS(Raw_Plan!$F$2:$F$120,Raw_Plan!$A$2:$A$120,$A81,Raw_Plan!$E$2:$E$120,$E81)</f>
        <v/>
      </c>
      <c r="K81" s="13">
        <f>IF(SUMIFS(Raw_Plan!$F$2:$F$120,Raw_Plan!$A$2:$A$120,$A81,Raw_Plan!$E$2:$E$120,$E81)=0,"",$F81/SUMIFS(Raw_Plan!$F$2:$F$120,Raw_Plan!$A$2:$A$120,$A81,Raw_Plan!$E$2:$E$120,$E81))</f>
        <v/>
      </c>
      <c r="L81" s="13">
        <f>IF(SUMIFS(Raw_Plan!$F$2:$F$120,Raw_Plan!$A$2:$A$120,$A81,Raw_Plan!$E$2:$E$120,$E81)=0,"",$H81/SUMIFS(Raw_Plan!$F$2:$F$120,Raw_Plan!$A$2:$A$120,$A81,Raw_Plan!$E$2:$E$120,$E81))</f>
        <v/>
      </c>
    </row>
    <row r="82">
      <c r="A82" t="inlineStr">
        <is>
          <t>W03</t>
        </is>
      </c>
      <c r="B82" t="inlineStr">
        <is>
          <t>Satara Wind Farm</t>
        </is>
      </c>
      <c r="C82" t="inlineStr">
        <is>
          <t>Maharashtra</t>
        </is>
      </c>
      <c r="D82" t="inlineStr">
        <is>
          <t>Wind</t>
        </is>
      </c>
      <c r="E82" t="inlineStr">
        <is>
          <t>2026-07</t>
        </is>
      </c>
      <c r="F82" s="11" t="n">
        <v>5349</v>
      </c>
      <c r="G82" s="12" t="n">
        <v>205.94</v>
      </c>
      <c r="H82" s="11" t="n">
        <v>68</v>
      </c>
      <c r="I82" s="11" t="n">
        <v>6</v>
      </c>
      <c r="J82" s="11">
        <f>$F82-SUMIFS(Raw_Plan!$F$2:$F$120,Raw_Plan!$A$2:$A$120,$A82,Raw_Plan!$E$2:$E$120,$E82)</f>
        <v/>
      </c>
      <c r="K82" s="13">
        <f>IF(SUMIFS(Raw_Plan!$F$2:$F$120,Raw_Plan!$A$2:$A$120,$A82,Raw_Plan!$E$2:$E$120,$E82)=0,"",$F82/SUMIFS(Raw_Plan!$F$2:$F$120,Raw_Plan!$A$2:$A$120,$A82,Raw_Plan!$E$2:$E$120,$E82))</f>
        <v/>
      </c>
      <c r="L82" s="13">
        <f>IF(SUMIFS(Raw_Plan!$F$2:$F$120,Raw_Plan!$A$2:$A$120,$A82,Raw_Plan!$E$2:$E$120,$E82)=0,"",$H82/SUMIFS(Raw_Plan!$F$2:$F$120,Raw_Plan!$A$2:$A$120,$A82,Raw_Plan!$E$2:$E$120,$E82))</f>
        <v/>
      </c>
    </row>
    <row r="83">
      <c r="A83" t="inlineStr">
        <is>
          <t>W03</t>
        </is>
      </c>
      <c r="B83" t="inlineStr">
        <is>
          <t>Satara Wind Farm</t>
        </is>
      </c>
      <c r="C83" t="inlineStr">
        <is>
          <t>Maharashtra</t>
        </is>
      </c>
      <c r="D83" t="inlineStr">
        <is>
          <t>Wind</t>
        </is>
      </c>
      <c r="E83" t="inlineStr">
        <is>
          <t>2026-08</t>
        </is>
      </c>
      <c r="F83" s="11" t="n">
        <v>5269</v>
      </c>
      <c r="G83" s="12" t="n">
        <v>202.86</v>
      </c>
      <c r="H83" s="11" t="n">
        <v>314</v>
      </c>
      <c r="I83" s="11" t="n">
        <v>36</v>
      </c>
      <c r="J83" s="11">
        <f>$F83-SUMIFS(Raw_Plan!$F$2:$F$120,Raw_Plan!$A$2:$A$120,$A83,Raw_Plan!$E$2:$E$120,$E83)</f>
        <v/>
      </c>
      <c r="K83" s="13">
        <f>IF(SUMIFS(Raw_Plan!$F$2:$F$120,Raw_Plan!$A$2:$A$120,$A83,Raw_Plan!$E$2:$E$120,$E83)=0,"",$F83/SUMIFS(Raw_Plan!$F$2:$F$120,Raw_Plan!$A$2:$A$120,$A83,Raw_Plan!$E$2:$E$120,$E83))</f>
        <v/>
      </c>
      <c r="L83" s="13">
        <f>IF(SUMIFS(Raw_Plan!$F$2:$F$120,Raw_Plan!$A$2:$A$120,$A83,Raw_Plan!$E$2:$E$120,$E83)=0,"",$H83/SUMIFS(Raw_Plan!$F$2:$F$120,Raw_Plan!$A$2:$A$120,$A83,Raw_Plan!$E$2:$E$120,$E83))</f>
        <v/>
      </c>
    </row>
    <row r="84">
      <c r="A84" t="inlineStr">
        <is>
          <t>W03</t>
        </is>
      </c>
      <c r="B84" t="inlineStr">
        <is>
          <t>Satara Wind Farm</t>
        </is>
      </c>
      <c r="C84" t="inlineStr">
        <is>
          <t>Maharashtra</t>
        </is>
      </c>
      <c r="D84" t="inlineStr">
        <is>
          <t>Wind</t>
        </is>
      </c>
      <c r="E84" t="inlineStr">
        <is>
          <t>2026-09</t>
        </is>
      </c>
      <c r="F84" s="11" t="n">
        <v>4861</v>
      </c>
      <c r="G84" s="12" t="n">
        <v>187.15</v>
      </c>
      <c r="H84" s="11" t="n">
        <v>67</v>
      </c>
      <c r="I84" s="11" t="n">
        <v>40</v>
      </c>
      <c r="J84" s="11">
        <f>$F84-SUMIFS(Raw_Plan!$F$2:$F$120,Raw_Plan!$A$2:$A$120,$A84,Raw_Plan!$E$2:$E$120,$E84)</f>
        <v/>
      </c>
      <c r="K84" s="13">
        <f>IF(SUMIFS(Raw_Plan!$F$2:$F$120,Raw_Plan!$A$2:$A$120,$A84,Raw_Plan!$E$2:$E$120,$E84)=0,"",$F84/SUMIFS(Raw_Plan!$F$2:$F$120,Raw_Plan!$A$2:$A$120,$A84,Raw_Plan!$E$2:$E$120,$E84))</f>
        <v/>
      </c>
      <c r="L84" s="13">
        <f>IF(SUMIFS(Raw_Plan!$F$2:$F$120,Raw_Plan!$A$2:$A$120,$A84,Raw_Plan!$E$2:$E$120,$E84)=0,"",$H84/SUMIFS(Raw_Plan!$F$2:$F$120,Raw_Plan!$A$2:$A$120,$A84,Raw_Plan!$E$2:$E$120,$E84))</f>
        <v/>
      </c>
    </row>
    <row r="85">
      <c r="A85" t="inlineStr">
        <is>
          <t>W03</t>
        </is>
      </c>
      <c r="B85" t="inlineStr">
        <is>
          <t>Satara Wind Farm</t>
        </is>
      </c>
      <c r="C85" t="inlineStr">
        <is>
          <t>Maharashtra</t>
        </is>
      </c>
      <c r="D85" t="inlineStr">
        <is>
          <t>Wind</t>
        </is>
      </c>
      <c r="E85" t="inlineStr">
        <is>
          <t>2026-10</t>
        </is>
      </c>
      <c r="F85" s="11" t="n">
        <v>4308</v>
      </c>
      <c r="G85" s="12" t="n">
        <v>165.86</v>
      </c>
      <c r="H85" s="11" t="n">
        <v>71</v>
      </c>
      <c r="I85" s="11" t="n">
        <v>10</v>
      </c>
      <c r="J85" s="11">
        <f>$F85-SUMIFS(Raw_Plan!$F$2:$F$120,Raw_Plan!$A$2:$A$120,$A85,Raw_Plan!$E$2:$E$120,$E85)</f>
        <v/>
      </c>
      <c r="K85" s="13">
        <f>IF(SUMIFS(Raw_Plan!$F$2:$F$120,Raw_Plan!$A$2:$A$120,$A85,Raw_Plan!$E$2:$E$120,$E85)=0,"",$F85/SUMIFS(Raw_Plan!$F$2:$F$120,Raw_Plan!$A$2:$A$120,$A85,Raw_Plan!$E$2:$E$120,$E85))</f>
        <v/>
      </c>
      <c r="L85" s="13">
        <f>IF(SUMIFS(Raw_Plan!$F$2:$F$120,Raw_Plan!$A$2:$A$120,$A85,Raw_Plan!$E$2:$E$120,$E85)=0,"",$H85/SUMIFS(Raw_Plan!$F$2:$F$120,Raw_Plan!$A$2:$A$120,$A85,Raw_Plan!$E$2:$E$120,$E85))</f>
        <v/>
      </c>
    </row>
    <row r="86">
      <c r="A86" t="inlineStr">
        <is>
          <t>W04</t>
        </is>
      </c>
      <c r="B86" t="inlineStr">
        <is>
          <t>Chitradurga Wind Farm</t>
        </is>
      </c>
      <c r="C86" t="inlineStr">
        <is>
          <t>Karnataka</t>
        </is>
      </c>
      <c r="D86" t="inlineStr">
        <is>
          <t>Wind</t>
        </is>
      </c>
      <c r="E86" t="inlineStr">
        <is>
          <t>2026-04</t>
        </is>
      </c>
      <c r="F86" s="11" t="n">
        <v>2848</v>
      </c>
      <c r="G86" s="12" t="n">
        <v>105.38</v>
      </c>
      <c r="H86" s="11" t="n">
        <v>152</v>
      </c>
      <c r="I86" s="11" t="n">
        <v>40</v>
      </c>
      <c r="J86" s="11">
        <f>$F86-SUMIFS(Raw_Plan!$F$2:$F$120,Raw_Plan!$A$2:$A$120,$A86,Raw_Plan!$E$2:$E$120,$E86)</f>
        <v/>
      </c>
      <c r="K86" s="13">
        <f>IF(SUMIFS(Raw_Plan!$F$2:$F$120,Raw_Plan!$A$2:$A$120,$A86,Raw_Plan!$E$2:$E$120,$E86)=0,"",$F86/SUMIFS(Raw_Plan!$F$2:$F$120,Raw_Plan!$A$2:$A$120,$A86,Raw_Plan!$E$2:$E$120,$E86))</f>
        <v/>
      </c>
      <c r="L86" s="13">
        <f>IF(SUMIFS(Raw_Plan!$F$2:$F$120,Raw_Plan!$A$2:$A$120,$A86,Raw_Plan!$E$2:$E$120,$E86)=0,"",$H86/SUMIFS(Raw_Plan!$F$2:$F$120,Raw_Plan!$A$2:$A$120,$A86,Raw_Plan!$E$2:$E$120,$E86))</f>
        <v/>
      </c>
    </row>
    <row r="87">
      <c r="A87" t="inlineStr">
        <is>
          <t>W04</t>
        </is>
      </c>
      <c r="B87" t="inlineStr">
        <is>
          <t>Chitradurga Wind Farm</t>
        </is>
      </c>
      <c r="C87" t="inlineStr">
        <is>
          <t>Karnataka</t>
        </is>
      </c>
      <c r="D87" t="inlineStr">
        <is>
          <t>Wind</t>
        </is>
      </c>
      <c r="E87" t="inlineStr">
        <is>
          <t>2026-05</t>
        </is>
      </c>
      <c r="F87" s="11" t="n">
        <v>3017</v>
      </c>
      <c r="G87" s="12" t="n">
        <v>111.63</v>
      </c>
      <c r="H87" s="11" t="n">
        <v>114</v>
      </c>
      <c r="I87" s="11" t="n">
        <v>7</v>
      </c>
      <c r="J87" s="11">
        <f>$F87-SUMIFS(Raw_Plan!$F$2:$F$120,Raw_Plan!$A$2:$A$120,$A87,Raw_Plan!$E$2:$E$120,$E87)</f>
        <v/>
      </c>
      <c r="K87" s="13">
        <f>IF(SUMIFS(Raw_Plan!$F$2:$F$120,Raw_Plan!$A$2:$A$120,$A87,Raw_Plan!$E$2:$E$120,$E87)=0,"",$F87/SUMIFS(Raw_Plan!$F$2:$F$120,Raw_Plan!$A$2:$A$120,$A87,Raw_Plan!$E$2:$E$120,$E87))</f>
        <v/>
      </c>
      <c r="L87" s="13">
        <f>IF(SUMIFS(Raw_Plan!$F$2:$F$120,Raw_Plan!$A$2:$A$120,$A87,Raw_Plan!$E$2:$E$120,$E87)=0,"",$H87/SUMIFS(Raw_Plan!$F$2:$F$120,Raw_Plan!$A$2:$A$120,$A87,Raw_Plan!$E$2:$E$120,$E87))</f>
        <v/>
      </c>
    </row>
    <row r="88">
      <c r="A88" t="inlineStr">
        <is>
          <t>W04</t>
        </is>
      </c>
      <c r="B88" t="inlineStr">
        <is>
          <t>Chitradurga Wind Farm</t>
        </is>
      </c>
      <c r="C88" t="inlineStr">
        <is>
          <t>Karnataka</t>
        </is>
      </c>
      <c r="D88" t="inlineStr">
        <is>
          <t>Wind</t>
        </is>
      </c>
      <c r="E88" t="inlineStr">
        <is>
          <t>2026-06</t>
        </is>
      </c>
      <c r="F88" s="11" t="n">
        <v>3911</v>
      </c>
      <c r="G88" s="12" t="n">
        <v>144.71</v>
      </c>
      <c r="H88" s="11" t="n">
        <v>140</v>
      </c>
      <c r="I88" s="11" t="n">
        <v>23</v>
      </c>
      <c r="J88" s="11">
        <f>$F88-SUMIFS(Raw_Plan!$F$2:$F$120,Raw_Plan!$A$2:$A$120,$A88,Raw_Plan!$E$2:$E$120,$E88)</f>
        <v/>
      </c>
      <c r="K88" s="13">
        <f>IF(SUMIFS(Raw_Plan!$F$2:$F$120,Raw_Plan!$A$2:$A$120,$A88,Raw_Plan!$E$2:$E$120,$E88)=0,"",$F88/SUMIFS(Raw_Plan!$F$2:$F$120,Raw_Plan!$A$2:$A$120,$A88,Raw_Plan!$E$2:$E$120,$E88))</f>
        <v/>
      </c>
      <c r="L88" s="13">
        <f>IF(SUMIFS(Raw_Plan!$F$2:$F$120,Raw_Plan!$A$2:$A$120,$A88,Raw_Plan!$E$2:$E$120,$E88)=0,"",$H88/SUMIFS(Raw_Plan!$F$2:$F$120,Raw_Plan!$A$2:$A$120,$A88,Raw_Plan!$E$2:$E$120,$E88))</f>
        <v/>
      </c>
    </row>
    <row r="89">
      <c r="A89" t="inlineStr">
        <is>
          <t>W04</t>
        </is>
      </c>
      <c r="B89" t="inlineStr">
        <is>
          <t>Chitradurga Wind Farm</t>
        </is>
      </c>
      <c r="C89" t="inlineStr">
        <is>
          <t>Karnataka</t>
        </is>
      </c>
      <c r="D89" t="inlineStr">
        <is>
          <t>Wind</t>
        </is>
      </c>
      <c r="E89" t="inlineStr">
        <is>
          <t>2026-07</t>
        </is>
      </c>
      <c r="F89" s="11" t="n">
        <v>4445</v>
      </c>
      <c r="G89" s="12" t="n">
        <v>164.47</v>
      </c>
      <c r="H89" s="11" t="n">
        <v>233</v>
      </c>
      <c r="I89" s="11" t="n">
        <v>34</v>
      </c>
      <c r="J89" s="11">
        <f>$F89-SUMIFS(Raw_Plan!$F$2:$F$120,Raw_Plan!$A$2:$A$120,$A89,Raw_Plan!$E$2:$E$120,$E89)</f>
        <v/>
      </c>
      <c r="K89" s="13">
        <f>IF(SUMIFS(Raw_Plan!$F$2:$F$120,Raw_Plan!$A$2:$A$120,$A89,Raw_Plan!$E$2:$E$120,$E89)=0,"",$F89/SUMIFS(Raw_Plan!$F$2:$F$120,Raw_Plan!$A$2:$A$120,$A89,Raw_Plan!$E$2:$E$120,$E89))</f>
        <v/>
      </c>
      <c r="L89" s="13">
        <f>IF(SUMIFS(Raw_Plan!$F$2:$F$120,Raw_Plan!$A$2:$A$120,$A89,Raw_Plan!$E$2:$E$120,$E89)=0,"",$H89/SUMIFS(Raw_Plan!$F$2:$F$120,Raw_Plan!$A$2:$A$120,$A89,Raw_Plan!$E$2:$E$120,$E89))</f>
        <v/>
      </c>
    </row>
    <row r="90">
      <c r="A90" t="inlineStr">
        <is>
          <t>W04</t>
        </is>
      </c>
      <c r="B90" t="inlineStr">
        <is>
          <t>Chitradurga Wind Farm</t>
        </is>
      </c>
      <c r="C90" t="inlineStr">
        <is>
          <t>Karnataka</t>
        </is>
      </c>
      <c r="D90" t="inlineStr">
        <is>
          <t>Wind</t>
        </is>
      </c>
      <c r="E90" t="inlineStr">
        <is>
          <t>2026-08</t>
        </is>
      </c>
      <c r="F90" s="11" t="n">
        <v>3894</v>
      </c>
      <c r="G90" s="12" t="n">
        <v>144.08</v>
      </c>
      <c r="H90" s="11" t="n">
        <v>194</v>
      </c>
      <c r="I90" s="11" t="n">
        <v>14</v>
      </c>
      <c r="J90" s="11">
        <f>$F90-SUMIFS(Raw_Plan!$F$2:$F$120,Raw_Plan!$A$2:$A$120,$A90,Raw_Plan!$E$2:$E$120,$E90)</f>
        <v/>
      </c>
      <c r="K90" s="13">
        <f>IF(SUMIFS(Raw_Plan!$F$2:$F$120,Raw_Plan!$A$2:$A$120,$A90,Raw_Plan!$E$2:$E$120,$E90)=0,"",$F90/SUMIFS(Raw_Plan!$F$2:$F$120,Raw_Plan!$A$2:$A$120,$A90,Raw_Plan!$E$2:$E$120,$E90))</f>
        <v/>
      </c>
      <c r="L90" s="13">
        <f>IF(SUMIFS(Raw_Plan!$F$2:$F$120,Raw_Plan!$A$2:$A$120,$A90,Raw_Plan!$E$2:$E$120,$E90)=0,"",$H90/SUMIFS(Raw_Plan!$F$2:$F$120,Raw_Plan!$A$2:$A$120,$A90,Raw_Plan!$E$2:$E$120,$E90))</f>
        <v/>
      </c>
    </row>
    <row r="91">
      <c r="A91" t="inlineStr">
        <is>
          <t>W04</t>
        </is>
      </c>
      <c r="B91" t="inlineStr">
        <is>
          <t>Chitradurga Wind Farm</t>
        </is>
      </c>
      <c r="C91" t="inlineStr">
        <is>
          <t>Karnataka</t>
        </is>
      </c>
      <c r="D91" t="inlineStr">
        <is>
          <t>Wind</t>
        </is>
      </c>
      <c r="E91" t="inlineStr">
        <is>
          <t>2026-09</t>
        </is>
      </c>
      <c r="F91" s="11" t="n">
        <v>3179</v>
      </c>
      <c r="G91" s="12" t="n">
        <v>117.62</v>
      </c>
      <c r="H91" s="11" t="n">
        <v>192</v>
      </c>
      <c r="I91" s="11" t="n">
        <v>38</v>
      </c>
      <c r="J91" s="11">
        <f>$F91-SUMIFS(Raw_Plan!$F$2:$F$120,Raw_Plan!$A$2:$A$120,$A91,Raw_Plan!$E$2:$E$120,$E91)</f>
        <v/>
      </c>
      <c r="K91" s="13">
        <f>IF(SUMIFS(Raw_Plan!$F$2:$F$120,Raw_Plan!$A$2:$A$120,$A91,Raw_Plan!$E$2:$E$120,$E91)=0,"",$F91/SUMIFS(Raw_Plan!$F$2:$F$120,Raw_Plan!$A$2:$A$120,$A91,Raw_Plan!$E$2:$E$120,$E91))</f>
        <v/>
      </c>
      <c r="L91" s="13">
        <f>IF(SUMIFS(Raw_Plan!$F$2:$F$120,Raw_Plan!$A$2:$A$120,$A91,Raw_Plan!$E$2:$E$120,$E91)=0,"",$H91/SUMIFS(Raw_Plan!$F$2:$F$120,Raw_Plan!$A$2:$A$120,$A91,Raw_Plan!$E$2:$E$120,$E91))</f>
        <v/>
      </c>
    </row>
    <row r="92">
      <c r="A92" t="inlineStr">
        <is>
          <t>W04</t>
        </is>
      </c>
      <c r="B92" t="inlineStr">
        <is>
          <t>Chitradurga Wind Farm</t>
        </is>
      </c>
      <c r="C92" t="inlineStr">
        <is>
          <t>Karnataka</t>
        </is>
      </c>
      <c r="D92" t="inlineStr">
        <is>
          <t>Wind</t>
        </is>
      </c>
      <c r="E92" t="inlineStr">
        <is>
          <t>2026-10</t>
        </is>
      </c>
      <c r="F92" s="11" t="n">
        <v>3261</v>
      </c>
      <c r="G92" s="12" t="n">
        <v>120.66</v>
      </c>
      <c r="H92" s="11" t="n">
        <v>77</v>
      </c>
      <c r="I92" s="11" t="n">
        <v>34</v>
      </c>
      <c r="J92" s="11">
        <f>$F92-SUMIFS(Raw_Plan!$F$2:$F$120,Raw_Plan!$A$2:$A$120,$A92,Raw_Plan!$E$2:$E$120,$E92)</f>
        <v/>
      </c>
      <c r="K92" s="13">
        <f>IF(SUMIFS(Raw_Plan!$F$2:$F$120,Raw_Plan!$A$2:$A$120,$A92,Raw_Plan!$E$2:$E$120,$E92)=0,"",$F92/SUMIFS(Raw_Plan!$F$2:$F$120,Raw_Plan!$A$2:$A$120,$A92,Raw_Plan!$E$2:$E$120,$E92))</f>
        <v/>
      </c>
      <c r="L92" s="13">
        <f>IF(SUMIFS(Raw_Plan!$F$2:$F$120,Raw_Plan!$A$2:$A$120,$A92,Raw_Plan!$E$2:$E$120,$E92)=0,"",$H92/SUMIFS(Raw_Plan!$F$2:$F$120,Raw_Plan!$A$2:$A$120,$A92,Raw_Plan!$E$2:$E$120,$E92))</f>
        <v/>
      </c>
    </row>
    <row r="93">
      <c r="A93" t="inlineStr">
        <is>
          <t>H01</t>
        </is>
      </c>
      <c r="B93" t="inlineStr">
        <is>
          <t>Bikaner Hybrid Park</t>
        </is>
      </c>
      <c r="C93" t="inlineStr">
        <is>
          <t>Rajasthan</t>
        </is>
      </c>
      <c r="D93" t="inlineStr">
        <is>
          <t>Hybrid</t>
        </is>
      </c>
      <c r="E93" t="inlineStr">
        <is>
          <t>2026-04</t>
        </is>
      </c>
      <c r="F93" s="11" t="n">
        <v>10715</v>
      </c>
      <c r="G93" s="12" t="n">
        <v>337.52</v>
      </c>
      <c r="H93" s="11" t="n">
        <v>517</v>
      </c>
      <c r="I93" s="11" t="n">
        <v>21</v>
      </c>
      <c r="J93" s="11">
        <f>$F93-SUMIFS(Raw_Plan!$F$2:$F$120,Raw_Plan!$A$2:$A$120,$A93,Raw_Plan!$E$2:$E$120,$E93)</f>
        <v/>
      </c>
      <c r="K93" s="13">
        <f>IF(SUMIFS(Raw_Plan!$F$2:$F$120,Raw_Plan!$A$2:$A$120,$A93,Raw_Plan!$E$2:$E$120,$E93)=0,"",$F93/SUMIFS(Raw_Plan!$F$2:$F$120,Raw_Plan!$A$2:$A$120,$A93,Raw_Plan!$E$2:$E$120,$E93))</f>
        <v/>
      </c>
      <c r="L93" s="13">
        <f>IF(SUMIFS(Raw_Plan!$F$2:$F$120,Raw_Plan!$A$2:$A$120,$A93,Raw_Plan!$E$2:$E$120,$E93)=0,"",$H93/SUMIFS(Raw_Plan!$F$2:$F$120,Raw_Plan!$A$2:$A$120,$A93,Raw_Plan!$E$2:$E$120,$E93))</f>
        <v/>
      </c>
    </row>
    <row r="94">
      <c r="A94" t="inlineStr">
        <is>
          <t>H01</t>
        </is>
      </c>
      <c r="B94" t="inlineStr">
        <is>
          <t>Bikaner Hybrid Park</t>
        </is>
      </c>
      <c r="C94" t="inlineStr">
        <is>
          <t>Rajasthan</t>
        </is>
      </c>
      <c r="D94" t="inlineStr">
        <is>
          <t>Hybrid</t>
        </is>
      </c>
      <c r="E94" t="inlineStr">
        <is>
          <t>2026-05</t>
        </is>
      </c>
      <c r="F94" s="11" t="n">
        <v>12282</v>
      </c>
      <c r="G94" s="12" t="n">
        <v>386.88</v>
      </c>
      <c r="H94" s="11" t="n">
        <v>121</v>
      </c>
      <c r="I94" s="11" t="n">
        <v>9</v>
      </c>
      <c r="J94" s="11">
        <f>$F94-SUMIFS(Raw_Plan!$F$2:$F$120,Raw_Plan!$A$2:$A$120,$A94,Raw_Plan!$E$2:$E$120,$E94)</f>
        <v/>
      </c>
      <c r="K94" s="13">
        <f>IF(SUMIFS(Raw_Plan!$F$2:$F$120,Raw_Plan!$A$2:$A$120,$A94,Raw_Plan!$E$2:$E$120,$E94)=0,"",$F94/SUMIFS(Raw_Plan!$F$2:$F$120,Raw_Plan!$A$2:$A$120,$A94,Raw_Plan!$E$2:$E$120,$E94))</f>
        <v/>
      </c>
      <c r="L94" s="13">
        <f>IF(SUMIFS(Raw_Plan!$F$2:$F$120,Raw_Plan!$A$2:$A$120,$A94,Raw_Plan!$E$2:$E$120,$E94)=0,"",$H94/SUMIFS(Raw_Plan!$F$2:$F$120,Raw_Plan!$A$2:$A$120,$A94,Raw_Plan!$E$2:$E$120,$E94))</f>
        <v/>
      </c>
    </row>
    <row r="95">
      <c r="A95" t="inlineStr">
        <is>
          <t>H01</t>
        </is>
      </c>
      <c r="B95" t="inlineStr">
        <is>
          <t>Bikaner Hybrid Park</t>
        </is>
      </c>
      <c r="C95" t="inlineStr">
        <is>
          <t>Rajasthan</t>
        </is>
      </c>
      <c r="D95" t="inlineStr">
        <is>
          <t>Hybrid</t>
        </is>
      </c>
      <c r="E95" t="inlineStr">
        <is>
          <t>2026-06</t>
        </is>
      </c>
      <c r="F95" s="11" t="n">
        <v>10620</v>
      </c>
      <c r="G95" s="12" t="n">
        <v>334.53</v>
      </c>
      <c r="H95" s="11" t="n">
        <v>653</v>
      </c>
      <c r="I95" s="11" t="n">
        <v>27</v>
      </c>
      <c r="J95" s="11">
        <f>$F95-SUMIFS(Raw_Plan!$F$2:$F$120,Raw_Plan!$A$2:$A$120,$A95,Raw_Plan!$E$2:$E$120,$E95)</f>
        <v/>
      </c>
      <c r="K95" s="13">
        <f>IF(SUMIFS(Raw_Plan!$F$2:$F$120,Raw_Plan!$A$2:$A$120,$A95,Raw_Plan!$E$2:$E$120,$E95)=0,"",$F95/SUMIFS(Raw_Plan!$F$2:$F$120,Raw_Plan!$A$2:$A$120,$A95,Raw_Plan!$E$2:$E$120,$E95))</f>
        <v/>
      </c>
      <c r="L95" s="13">
        <f>IF(SUMIFS(Raw_Plan!$F$2:$F$120,Raw_Plan!$A$2:$A$120,$A95,Raw_Plan!$E$2:$E$120,$E95)=0,"",$H95/SUMIFS(Raw_Plan!$F$2:$F$120,Raw_Plan!$A$2:$A$120,$A95,Raw_Plan!$E$2:$E$120,$E95))</f>
        <v/>
      </c>
    </row>
    <row r="96">
      <c r="A96" t="inlineStr">
        <is>
          <t>H01</t>
        </is>
      </c>
      <c r="B96" t="inlineStr">
        <is>
          <t>Bikaner Hybrid Park</t>
        </is>
      </c>
      <c r="C96" t="inlineStr">
        <is>
          <t>Rajasthan</t>
        </is>
      </c>
      <c r="D96" t="inlineStr">
        <is>
          <t>Hybrid</t>
        </is>
      </c>
      <c r="E96" t="inlineStr">
        <is>
          <t>2026-07</t>
        </is>
      </c>
      <c r="F96" s="11" t="n">
        <v>12149</v>
      </c>
      <c r="G96" s="12" t="n">
        <v>382.69</v>
      </c>
      <c r="H96" s="11" t="n">
        <v>62</v>
      </c>
      <c r="I96" s="11" t="n">
        <v>34</v>
      </c>
      <c r="J96" s="11">
        <f>$F96-SUMIFS(Raw_Plan!$F$2:$F$120,Raw_Plan!$A$2:$A$120,$A96,Raw_Plan!$E$2:$E$120,$E96)</f>
        <v/>
      </c>
      <c r="K96" s="13">
        <f>IF(SUMIFS(Raw_Plan!$F$2:$F$120,Raw_Plan!$A$2:$A$120,$A96,Raw_Plan!$E$2:$E$120,$E96)=0,"",$F96/SUMIFS(Raw_Plan!$F$2:$F$120,Raw_Plan!$A$2:$A$120,$A96,Raw_Plan!$E$2:$E$120,$E96))</f>
        <v/>
      </c>
      <c r="L96" s="13">
        <f>IF(SUMIFS(Raw_Plan!$F$2:$F$120,Raw_Plan!$A$2:$A$120,$A96,Raw_Plan!$E$2:$E$120,$E96)=0,"",$H96/SUMIFS(Raw_Plan!$F$2:$F$120,Raw_Plan!$A$2:$A$120,$A96,Raw_Plan!$E$2:$E$120,$E96))</f>
        <v/>
      </c>
    </row>
    <row r="97">
      <c r="A97" t="inlineStr">
        <is>
          <t>H01</t>
        </is>
      </c>
      <c r="B97" t="inlineStr">
        <is>
          <t>Bikaner Hybrid Park</t>
        </is>
      </c>
      <c r="C97" t="inlineStr">
        <is>
          <t>Rajasthan</t>
        </is>
      </c>
      <c r="D97" t="inlineStr">
        <is>
          <t>Hybrid</t>
        </is>
      </c>
      <c r="E97" t="inlineStr">
        <is>
          <t>2026-08</t>
        </is>
      </c>
      <c r="F97" s="11" t="n">
        <v>11438</v>
      </c>
      <c r="G97" s="12" t="n">
        <v>360.3</v>
      </c>
      <c r="H97" s="11" t="n">
        <v>60</v>
      </c>
      <c r="I97" s="11" t="n">
        <v>11</v>
      </c>
      <c r="J97" s="11">
        <f>$F97-SUMIFS(Raw_Plan!$F$2:$F$120,Raw_Plan!$A$2:$A$120,$A97,Raw_Plan!$E$2:$E$120,$E97)</f>
        <v/>
      </c>
      <c r="K97" s="13">
        <f>IF(SUMIFS(Raw_Plan!$F$2:$F$120,Raw_Plan!$A$2:$A$120,$A97,Raw_Plan!$E$2:$E$120,$E97)=0,"",$F97/SUMIFS(Raw_Plan!$F$2:$F$120,Raw_Plan!$A$2:$A$120,$A97,Raw_Plan!$E$2:$E$120,$E97))</f>
        <v/>
      </c>
      <c r="L97" s="13">
        <f>IF(SUMIFS(Raw_Plan!$F$2:$F$120,Raw_Plan!$A$2:$A$120,$A97,Raw_Plan!$E$2:$E$120,$E97)=0,"",$H97/SUMIFS(Raw_Plan!$F$2:$F$120,Raw_Plan!$A$2:$A$120,$A97,Raw_Plan!$E$2:$E$120,$E97))</f>
        <v/>
      </c>
    </row>
    <row r="98">
      <c r="A98" t="inlineStr">
        <is>
          <t>H01</t>
        </is>
      </c>
      <c r="B98" t="inlineStr">
        <is>
          <t>Bikaner Hybrid Park</t>
        </is>
      </c>
      <c r="C98" t="inlineStr">
        <is>
          <t>Rajasthan</t>
        </is>
      </c>
      <c r="D98" t="inlineStr">
        <is>
          <t>Hybrid</t>
        </is>
      </c>
      <c r="E98" t="inlineStr">
        <is>
          <t>2026-09</t>
        </is>
      </c>
      <c r="F98" s="11" t="n">
        <v>12212</v>
      </c>
      <c r="G98" s="12" t="n">
        <v>384.68</v>
      </c>
      <c r="H98" s="11" t="n">
        <v>327</v>
      </c>
      <c r="I98" s="11" t="n">
        <v>25</v>
      </c>
      <c r="J98" s="11">
        <f>$F98-SUMIFS(Raw_Plan!$F$2:$F$120,Raw_Plan!$A$2:$A$120,$A98,Raw_Plan!$E$2:$E$120,$E98)</f>
        <v/>
      </c>
      <c r="K98" s="13">
        <f>IF(SUMIFS(Raw_Plan!$F$2:$F$120,Raw_Plan!$A$2:$A$120,$A98,Raw_Plan!$E$2:$E$120,$E98)=0,"",$F98/SUMIFS(Raw_Plan!$F$2:$F$120,Raw_Plan!$A$2:$A$120,$A98,Raw_Plan!$E$2:$E$120,$E98))</f>
        <v/>
      </c>
      <c r="L98" s="13">
        <f>IF(SUMIFS(Raw_Plan!$F$2:$F$120,Raw_Plan!$A$2:$A$120,$A98,Raw_Plan!$E$2:$E$120,$E98)=0,"",$H98/SUMIFS(Raw_Plan!$F$2:$F$120,Raw_Plan!$A$2:$A$120,$A98,Raw_Plan!$E$2:$E$120,$E98))</f>
        <v/>
      </c>
    </row>
    <row r="99">
      <c r="A99" t="inlineStr">
        <is>
          <t>H01</t>
        </is>
      </c>
      <c r="B99" t="inlineStr">
        <is>
          <t>Bikaner Hybrid Park</t>
        </is>
      </c>
      <c r="C99" t="inlineStr">
        <is>
          <t>Rajasthan</t>
        </is>
      </c>
      <c r="D99" t="inlineStr">
        <is>
          <t>Hybrid</t>
        </is>
      </c>
      <c r="E99" t="inlineStr">
        <is>
          <t>2026-10</t>
        </is>
      </c>
      <c r="F99" s="11" t="n">
        <v>11281</v>
      </c>
      <c r="G99" s="12" t="n">
        <v>355.35</v>
      </c>
      <c r="H99" s="11" t="n">
        <v>464</v>
      </c>
      <c r="I99" s="11" t="n">
        <v>14</v>
      </c>
      <c r="J99" s="11">
        <f>$F99-SUMIFS(Raw_Plan!$F$2:$F$120,Raw_Plan!$A$2:$A$120,$A99,Raw_Plan!$E$2:$E$120,$E99)</f>
        <v/>
      </c>
      <c r="K99" s="13">
        <f>IF(SUMIFS(Raw_Plan!$F$2:$F$120,Raw_Plan!$A$2:$A$120,$A99,Raw_Plan!$E$2:$E$120,$E99)=0,"",$F99/SUMIFS(Raw_Plan!$F$2:$F$120,Raw_Plan!$A$2:$A$120,$A99,Raw_Plan!$E$2:$E$120,$E99))</f>
        <v/>
      </c>
      <c r="L99" s="13">
        <f>IF(SUMIFS(Raw_Plan!$F$2:$F$120,Raw_Plan!$A$2:$A$120,$A99,Raw_Plan!$E$2:$E$120,$E99)=0,"",$H99/SUMIFS(Raw_Plan!$F$2:$F$120,Raw_Plan!$A$2:$A$120,$A99,Raw_Plan!$E$2:$E$120,$E99))</f>
        <v/>
      </c>
    </row>
    <row r="100">
      <c r="A100" t="inlineStr">
        <is>
          <t>H02</t>
        </is>
      </c>
      <c r="B100" t="inlineStr">
        <is>
          <t>Kutch Hybrid Park</t>
        </is>
      </c>
      <c r="C100" t="inlineStr">
        <is>
          <t>Gujarat</t>
        </is>
      </c>
      <c r="D100" t="inlineStr">
        <is>
          <t>Hybrid</t>
        </is>
      </c>
      <c r="E100" t="inlineStr">
        <is>
          <t>2026-04</t>
        </is>
      </c>
      <c r="F100" s="11" t="n">
        <v>7136</v>
      </c>
      <c r="G100" s="12" t="n">
        <v>221.22</v>
      </c>
      <c r="H100" s="11" t="n">
        <v>52</v>
      </c>
      <c r="I100" s="11" t="n">
        <v>14</v>
      </c>
      <c r="J100" s="11">
        <f>$F100-SUMIFS(Raw_Plan!$F$2:$F$120,Raw_Plan!$A$2:$A$120,$A100,Raw_Plan!$E$2:$E$120,$E100)</f>
        <v/>
      </c>
      <c r="K100" s="13">
        <f>IF(SUMIFS(Raw_Plan!$F$2:$F$120,Raw_Plan!$A$2:$A$120,$A100,Raw_Plan!$E$2:$E$120,$E100)=0,"",$F100/SUMIFS(Raw_Plan!$F$2:$F$120,Raw_Plan!$A$2:$A$120,$A100,Raw_Plan!$E$2:$E$120,$E100))</f>
        <v/>
      </c>
      <c r="L100" s="13">
        <f>IF(SUMIFS(Raw_Plan!$F$2:$F$120,Raw_Plan!$A$2:$A$120,$A100,Raw_Plan!$E$2:$E$120,$E100)=0,"",$H100/SUMIFS(Raw_Plan!$F$2:$F$120,Raw_Plan!$A$2:$A$120,$A100,Raw_Plan!$E$2:$E$120,$E100))</f>
        <v/>
      </c>
    </row>
    <row r="101">
      <c r="A101" t="inlineStr">
        <is>
          <t>H02</t>
        </is>
      </c>
      <c r="B101" t="inlineStr">
        <is>
          <t>Kutch Hybrid Park</t>
        </is>
      </c>
      <c r="C101" t="inlineStr">
        <is>
          <t>Gujarat</t>
        </is>
      </c>
      <c r="D101" t="inlineStr">
        <is>
          <t>Hybrid</t>
        </is>
      </c>
      <c r="E101" t="inlineStr">
        <is>
          <t>2026-05</t>
        </is>
      </c>
      <c r="F101" s="11" t="n">
        <v>8260</v>
      </c>
      <c r="G101" s="12" t="n">
        <v>256.06</v>
      </c>
      <c r="H101" s="11" t="n">
        <v>281</v>
      </c>
      <c r="I101" s="11" t="n">
        <v>15</v>
      </c>
      <c r="J101" s="11">
        <f>$F101-SUMIFS(Raw_Plan!$F$2:$F$120,Raw_Plan!$A$2:$A$120,$A101,Raw_Plan!$E$2:$E$120,$E101)</f>
        <v/>
      </c>
      <c r="K101" s="13">
        <f>IF(SUMIFS(Raw_Plan!$F$2:$F$120,Raw_Plan!$A$2:$A$120,$A101,Raw_Plan!$E$2:$E$120,$E101)=0,"",$F101/SUMIFS(Raw_Plan!$F$2:$F$120,Raw_Plan!$A$2:$A$120,$A101,Raw_Plan!$E$2:$E$120,$E101))</f>
        <v/>
      </c>
      <c r="L101" s="13">
        <f>IF(SUMIFS(Raw_Plan!$F$2:$F$120,Raw_Plan!$A$2:$A$120,$A101,Raw_Plan!$E$2:$E$120,$E101)=0,"",$H101/SUMIFS(Raw_Plan!$F$2:$F$120,Raw_Plan!$A$2:$A$120,$A101,Raw_Plan!$E$2:$E$120,$E101))</f>
        <v/>
      </c>
    </row>
    <row r="102">
      <c r="A102" t="inlineStr">
        <is>
          <t>H02</t>
        </is>
      </c>
      <c r="B102" t="inlineStr">
        <is>
          <t>Kutch Hybrid Park</t>
        </is>
      </c>
      <c r="C102" t="inlineStr">
        <is>
          <t>Gujarat</t>
        </is>
      </c>
      <c r="D102" t="inlineStr">
        <is>
          <t>Hybrid</t>
        </is>
      </c>
      <c r="E102" t="inlineStr">
        <is>
          <t>2026-06</t>
        </is>
      </c>
      <c r="F102" s="11" t="n">
        <v>7951</v>
      </c>
      <c r="G102" s="12" t="n">
        <v>246.48</v>
      </c>
      <c r="H102" s="11" t="n">
        <v>411</v>
      </c>
      <c r="I102" s="11" t="n">
        <v>39</v>
      </c>
      <c r="J102" s="11">
        <f>$F102-SUMIFS(Raw_Plan!$F$2:$F$120,Raw_Plan!$A$2:$A$120,$A102,Raw_Plan!$E$2:$E$120,$E102)</f>
        <v/>
      </c>
      <c r="K102" s="13">
        <f>IF(SUMIFS(Raw_Plan!$F$2:$F$120,Raw_Plan!$A$2:$A$120,$A102,Raw_Plan!$E$2:$E$120,$E102)=0,"",$F102/SUMIFS(Raw_Plan!$F$2:$F$120,Raw_Plan!$A$2:$A$120,$A102,Raw_Plan!$E$2:$E$120,$E102))</f>
        <v/>
      </c>
      <c r="L102" s="13">
        <f>IF(SUMIFS(Raw_Plan!$F$2:$F$120,Raw_Plan!$A$2:$A$120,$A102,Raw_Plan!$E$2:$E$120,$E102)=0,"",$H102/SUMIFS(Raw_Plan!$F$2:$F$120,Raw_Plan!$A$2:$A$120,$A102,Raw_Plan!$E$2:$E$120,$E102))</f>
        <v/>
      </c>
    </row>
    <row r="103">
      <c r="A103" t="inlineStr">
        <is>
          <t>H02</t>
        </is>
      </c>
      <c r="B103" t="inlineStr">
        <is>
          <t>Kutch Hybrid Park</t>
        </is>
      </c>
      <c r="C103" t="inlineStr">
        <is>
          <t>Gujarat</t>
        </is>
      </c>
      <c r="D103" t="inlineStr">
        <is>
          <t>Hybrid</t>
        </is>
      </c>
      <c r="E103" t="inlineStr">
        <is>
          <t>2026-07</t>
        </is>
      </c>
      <c r="F103" s="11" t="n">
        <v>8558</v>
      </c>
      <c r="G103" s="12" t="n">
        <v>265.3</v>
      </c>
      <c r="H103" s="11" t="n">
        <v>342</v>
      </c>
      <c r="I103" s="11" t="n">
        <v>28</v>
      </c>
      <c r="J103" s="11">
        <f>$F103-SUMIFS(Raw_Plan!$F$2:$F$120,Raw_Plan!$A$2:$A$120,$A103,Raw_Plan!$E$2:$E$120,$E103)</f>
        <v/>
      </c>
      <c r="K103" s="13">
        <f>IF(SUMIFS(Raw_Plan!$F$2:$F$120,Raw_Plan!$A$2:$A$120,$A103,Raw_Plan!$E$2:$E$120,$E103)=0,"",$F103/SUMIFS(Raw_Plan!$F$2:$F$120,Raw_Plan!$A$2:$A$120,$A103,Raw_Plan!$E$2:$E$120,$E103))</f>
        <v/>
      </c>
      <c r="L103" s="13">
        <f>IF(SUMIFS(Raw_Plan!$F$2:$F$120,Raw_Plan!$A$2:$A$120,$A103,Raw_Plan!$E$2:$E$120,$E103)=0,"",$H103/SUMIFS(Raw_Plan!$F$2:$F$120,Raw_Plan!$A$2:$A$120,$A103,Raw_Plan!$E$2:$E$120,$E103))</f>
        <v/>
      </c>
    </row>
    <row r="104">
      <c r="A104" t="inlineStr">
        <is>
          <t>H02</t>
        </is>
      </c>
      <c r="B104" t="inlineStr">
        <is>
          <t>Kutch Hybrid Park</t>
        </is>
      </c>
      <c r="C104" t="inlineStr">
        <is>
          <t>Gujarat</t>
        </is>
      </c>
      <c r="D104" t="inlineStr">
        <is>
          <t>Hybrid</t>
        </is>
      </c>
      <c r="E104" t="inlineStr">
        <is>
          <t>2026-08</t>
        </is>
      </c>
      <c r="F104" s="11" t="n">
        <v>7553</v>
      </c>
      <c r="G104" s="12" t="n">
        <v>234.14</v>
      </c>
      <c r="H104" s="11" t="n">
        <v>104</v>
      </c>
      <c r="I104" s="11" t="n">
        <v>34</v>
      </c>
      <c r="J104" s="11">
        <f>$F104-SUMIFS(Raw_Plan!$F$2:$F$120,Raw_Plan!$A$2:$A$120,$A104,Raw_Plan!$E$2:$E$120,$E104)</f>
        <v/>
      </c>
      <c r="K104" s="13">
        <f>IF(SUMIFS(Raw_Plan!$F$2:$F$120,Raw_Plan!$A$2:$A$120,$A104,Raw_Plan!$E$2:$E$120,$E104)=0,"",$F104/SUMIFS(Raw_Plan!$F$2:$F$120,Raw_Plan!$A$2:$A$120,$A104,Raw_Plan!$E$2:$E$120,$E104))</f>
        <v/>
      </c>
      <c r="L104" s="13">
        <f>IF(SUMIFS(Raw_Plan!$F$2:$F$120,Raw_Plan!$A$2:$A$120,$A104,Raw_Plan!$E$2:$E$120,$E104)=0,"",$H104/SUMIFS(Raw_Plan!$F$2:$F$120,Raw_Plan!$A$2:$A$120,$A104,Raw_Plan!$E$2:$E$120,$E104))</f>
        <v/>
      </c>
    </row>
    <row r="105">
      <c r="A105" t="inlineStr">
        <is>
          <t>H02</t>
        </is>
      </c>
      <c r="B105" t="inlineStr">
        <is>
          <t>Kutch Hybrid Park</t>
        </is>
      </c>
      <c r="C105" t="inlineStr">
        <is>
          <t>Gujarat</t>
        </is>
      </c>
      <c r="D105" t="inlineStr">
        <is>
          <t>Hybrid</t>
        </is>
      </c>
      <c r="E105" t="inlineStr">
        <is>
          <t>2026-09</t>
        </is>
      </c>
      <c r="F105" s="11" t="n">
        <v>8033</v>
      </c>
      <c r="G105" s="12" t="n">
        <v>249.02</v>
      </c>
      <c r="H105" s="11" t="n">
        <v>140</v>
      </c>
      <c r="I105" s="11" t="n">
        <v>35</v>
      </c>
      <c r="J105" s="11">
        <f>$F105-SUMIFS(Raw_Plan!$F$2:$F$120,Raw_Plan!$A$2:$A$120,$A105,Raw_Plan!$E$2:$E$120,$E105)</f>
        <v/>
      </c>
      <c r="K105" s="13">
        <f>IF(SUMIFS(Raw_Plan!$F$2:$F$120,Raw_Plan!$A$2:$A$120,$A105,Raw_Plan!$E$2:$E$120,$E105)=0,"",$F105/SUMIFS(Raw_Plan!$F$2:$F$120,Raw_Plan!$A$2:$A$120,$A105,Raw_Plan!$E$2:$E$120,$E105))</f>
        <v/>
      </c>
      <c r="L105" s="13">
        <f>IF(SUMIFS(Raw_Plan!$F$2:$F$120,Raw_Plan!$A$2:$A$120,$A105,Raw_Plan!$E$2:$E$120,$E105)=0,"",$H105/SUMIFS(Raw_Plan!$F$2:$F$120,Raw_Plan!$A$2:$A$120,$A105,Raw_Plan!$E$2:$E$120,$E105))</f>
        <v/>
      </c>
    </row>
    <row r="106">
      <c r="A106" t="inlineStr">
        <is>
          <t>H02</t>
        </is>
      </c>
      <c r="B106" t="inlineStr">
        <is>
          <t>Kutch Hybrid Park</t>
        </is>
      </c>
      <c r="C106" t="inlineStr">
        <is>
          <t>Gujarat</t>
        </is>
      </c>
      <c r="D106" t="inlineStr">
        <is>
          <t>Hybrid</t>
        </is>
      </c>
      <c r="E106" t="inlineStr">
        <is>
          <t>2026-10</t>
        </is>
      </c>
      <c r="F106" s="11" t="n">
        <v>7181</v>
      </c>
      <c r="G106" s="12" t="n">
        <v>222.61</v>
      </c>
      <c r="H106" s="11" t="n">
        <v>209</v>
      </c>
      <c r="I106" s="11" t="n">
        <v>20</v>
      </c>
      <c r="J106" s="11">
        <f>$F106-SUMIFS(Raw_Plan!$F$2:$F$120,Raw_Plan!$A$2:$A$120,$A106,Raw_Plan!$E$2:$E$120,$E106)</f>
        <v/>
      </c>
      <c r="K106" s="13">
        <f>IF(SUMIFS(Raw_Plan!$F$2:$F$120,Raw_Plan!$A$2:$A$120,$A106,Raw_Plan!$E$2:$E$120,$E106)=0,"",$F106/SUMIFS(Raw_Plan!$F$2:$F$120,Raw_Plan!$A$2:$A$120,$A106,Raw_Plan!$E$2:$E$120,$E106))</f>
        <v/>
      </c>
      <c r="L106" s="13">
        <f>IF(SUMIFS(Raw_Plan!$F$2:$F$120,Raw_Plan!$A$2:$A$120,$A106,Raw_Plan!$E$2:$E$120,$E106)=0,"",$H106/SUMIFS(Raw_Plan!$F$2:$F$120,Raw_Plan!$A$2:$A$120,$A106,Raw_Plan!$E$2:$E$120,$E106))</f>
        <v/>
      </c>
    </row>
    <row r="107">
      <c r="A107" t="inlineStr">
        <is>
          <t>R01</t>
        </is>
      </c>
      <c r="B107" t="inlineStr">
        <is>
          <t>Dubai Rooftop Solar</t>
        </is>
      </c>
      <c r="C107" t="inlineStr">
        <is>
          <t>UAE</t>
        </is>
      </c>
      <c r="D107" t="inlineStr">
        <is>
          <t>Rooftop</t>
        </is>
      </c>
      <c r="E107" t="inlineStr">
        <is>
          <t>2026-04</t>
        </is>
      </c>
      <c r="F107" s="11" t="n">
        <v>245</v>
      </c>
      <c r="G107" s="12" t="n">
        <v>8.33</v>
      </c>
      <c r="H107" s="11" t="n">
        <v>7</v>
      </c>
      <c r="I107" s="11" t="n">
        <v>17</v>
      </c>
      <c r="J107" s="11">
        <f>$F107-SUMIFS(Raw_Plan!$F$2:$F$120,Raw_Plan!$A$2:$A$120,$A107,Raw_Plan!$E$2:$E$120,$E107)</f>
        <v/>
      </c>
      <c r="K107" s="13">
        <f>IF(SUMIFS(Raw_Plan!$F$2:$F$120,Raw_Plan!$A$2:$A$120,$A107,Raw_Plan!$E$2:$E$120,$E107)=0,"",$F107/SUMIFS(Raw_Plan!$F$2:$F$120,Raw_Plan!$A$2:$A$120,$A107,Raw_Plan!$E$2:$E$120,$E107))</f>
        <v/>
      </c>
      <c r="L107" s="13">
        <f>IF(SUMIFS(Raw_Plan!$F$2:$F$120,Raw_Plan!$A$2:$A$120,$A107,Raw_Plan!$E$2:$E$120,$E107)=0,"",$H107/SUMIFS(Raw_Plan!$F$2:$F$120,Raw_Plan!$A$2:$A$120,$A107,Raw_Plan!$E$2:$E$120,$E107))</f>
        <v/>
      </c>
    </row>
    <row r="108">
      <c r="A108" t="inlineStr">
        <is>
          <t>R01</t>
        </is>
      </c>
      <c r="B108" t="inlineStr">
        <is>
          <t>Dubai Rooftop Solar</t>
        </is>
      </c>
      <c r="C108" t="inlineStr">
        <is>
          <t>UAE</t>
        </is>
      </c>
      <c r="D108" t="inlineStr">
        <is>
          <t>Rooftop</t>
        </is>
      </c>
      <c r="E108" t="inlineStr">
        <is>
          <t>2026-05</t>
        </is>
      </c>
      <c r="F108" s="11" t="n">
        <v>239</v>
      </c>
      <c r="G108" s="12" t="n">
        <v>8.130000000000001</v>
      </c>
      <c r="H108" s="11" t="n">
        <v>0</v>
      </c>
      <c r="I108" s="11" t="n">
        <v>31</v>
      </c>
      <c r="J108" s="11">
        <f>$F108-SUMIFS(Raw_Plan!$F$2:$F$120,Raw_Plan!$A$2:$A$120,$A108,Raw_Plan!$E$2:$E$120,$E108)</f>
        <v/>
      </c>
      <c r="K108" s="13">
        <f>IF(SUMIFS(Raw_Plan!$F$2:$F$120,Raw_Plan!$A$2:$A$120,$A108,Raw_Plan!$E$2:$E$120,$E108)=0,"",$F108/SUMIFS(Raw_Plan!$F$2:$F$120,Raw_Plan!$A$2:$A$120,$A108,Raw_Plan!$E$2:$E$120,$E108))</f>
        <v/>
      </c>
      <c r="L108" s="13">
        <f>IF(SUMIFS(Raw_Plan!$F$2:$F$120,Raw_Plan!$A$2:$A$120,$A108,Raw_Plan!$E$2:$E$120,$E108)=0,"",$H108/SUMIFS(Raw_Plan!$F$2:$F$120,Raw_Plan!$A$2:$A$120,$A108,Raw_Plan!$E$2:$E$120,$E108))</f>
        <v/>
      </c>
    </row>
    <row r="109">
      <c r="A109" t="inlineStr">
        <is>
          <t>R01</t>
        </is>
      </c>
      <c r="B109" t="inlineStr">
        <is>
          <t>Dubai Rooftop Solar</t>
        </is>
      </c>
      <c r="C109" t="inlineStr">
        <is>
          <t>UAE</t>
        </is>
      </c>
      <c r="D109" t="inlineStr">
        <is>
          <t>Rooftop</t>
        </is>
      </c>
      <c r="E109" t="inlineStr">
        <is>
          <t>2026-06</t>
        </is>
      </c>
      <c r="F109" s="11" t="n">
        <v>251</v>
      </c>
      <c r="G109" s="12" t="n">
        <v>8.529999999999999</v>
      </c>
      <c r="H109" s="11" t="n">
        <v>14</v>
      </c>
      <c r="I109" s="11" t="n">
        <v>38</v>
      </c>
      <c r="J109" s="11">
        <f>$F109-SUMIFS(Raw_Plan!$F$2:$F$120,Raw_Plan!$A$2:$A$120,$A109,Raw_Plan!$E$2:$E$120,$E109)</f>
        <v/>
      </c>
      <c r="K109" s="13">
        <f>IF(SUMIFS(Raw_Plan!$F$2:$F$120,Raw_Plan!$A$2:$A$120,$A109,Raw_Plan!$E$2:$E$120,$E109)=0,"",$F109/SUMIFS(Raw_Plan!$F$2:$F$120,Raw_Plan!$A$2:$A$120,$A109,Raw_Plan!$E$2:$E$120,$E109))</f>
        <v/>
      </c>
      <c r="L109" s="13">
        <f>IF(SUMIFS(Raw_Plan!$F$2:$F$120,Raw_Plan!$A$2:$A$120,$A109,Raw_Plan!$E$2:$E$120,$E109)=0,"",$H109/SUMIFS(Raw_Plan!$F$2:$F$120,Raw_Plan!$A$2:$A$120,$A109,Raw_Plan!$E$2:$E$120,$E109))</f>
        <v/>
      </c>
    </row>
    <row r="110">
      <c r="A110" t="inlineStr">
        <is>
          <t>R01</t>
        </is>
      </c>
      <c r="B110" t="inlineStr">
        <is>
          <t>Dubai Rooftop Solar</t>
        </is>
      </c>
      <c r="C110" t="inlineStr">
        <is>
          <t>UAE</t>
        </is>
      </c>
      <c r="D110" t="inlineStr">
        <is>
          <t>Rooftop</t>
        </is>
      </c>
      <c r="E110" t="inlineStr">
        <is>
          <t>2026-07</t>
        </is>
      </c>
      <c r="F110" s="11" t="n">
        <v>205</v>
      </c>
      <c r="G110" s="12" t="n">
        <v>6.97</v>
      </c>
      <c r="H110" s="11" t="n">
        <v>11</v>
      </c>
      <c r="I110" s="11" t="n">
        <v>31</v>
      </c>
      <c r="J110" s="11">
        <f>$F110-SUMIFS(Raw_Plan!$F$2:$F$120,Raw_Plan!$A$2:$A$120,$A110,Raw_Plan!$E$2:$E$120,$E110)</f>
        <v/>
      </c>
      <c r="K110" s="13">
        <f>IF(SUMIFS(Raw_Plan!$F$2:$F$120,Raw_Plan!$A$2:$A$120,$A110,Raw_Plan!$E$2:$E$120,$E110)=0,"",$F110/SUMIFS(Raw_Plan!$F$2:$F$120,Raw_Plan!$A$2:$A$120,$A110,Raw_Plan!$E$2:$E$120,$E110))</f>
        <v/>
      </c>
      <c r="L110" s="13">
        <f>IF(SUMIFS(Raw_Plan!$F$2:$F$120,Raw_Plan!$A$2:$A$120,$A110,Raw_Plan!$E$2:$E$120,$E110)=0,"",$H110/SUMIFS(Raw_Plan!$F$2:$F$120,Raw_Plan!$A$2:$A$120,$A110,Raw_Plan!$E$2:$E$120,$E110))</f>
        <v/>
      </c>
    </row>
    <row r="111">
      <c r="A111" t="inlineStr">
        <is>
          <t>R01</t>
        </is>
      </c>
      <c r="B111" t="inlineStr">
        <is>
          <t>Dubai Rooftop Solar</t>
        </is>
      </c>
      <c r="C111" t="inlineStr">
        <is>
          <t>UAE</t>
        </is>
      </c>
      <c r="D111" t="inlineStr">
        <is>
          <t>Rooftop</t>
        </is>
      </c>
      <c r="E111" t="inlineStr">
        <is>
          <t>2026-08</t>
        </is>
      </c>
      <c r="F111" s="11" t="n">
        <v>223</v>
      </c>
      <c r="G111" s="12" t="n">
        <v>7.58</v>
      </c>
      <c r="H111" s="11" t="n">
        <v>2</v>
      </c>
      <c r="I111" s="11" t="n">
        <v>24</v>
      </c>
      <c r="J111" s="11">
        <f>$F111-SUMIFS(Raw_Plan!$F$2:$F$120,Raw_Plan!$A$2:$A$120,$A111,Raw_Plan!$E$2:$E$120,$E111)</f>
        <v/>
      </c>
      <c r="K111" s="13">
        <f>IF(SUMIFS(Raw_Plan!$F$2:$F$120,Raw_Plan!$A$2:$A$120,$A111,Raw_Plan!$E$2:$E$120,$E111)=0,"",$F111/SUMIFS(Raw_Plan!$F$2:$F$120,Raw_Plan!$A$2:$A$120,$A111,Raw_Plan!$E$2:$E$120,$E111))</f>
        <v/>
      </c>
      <c r="L111" s="13">
        <f>IF(SUMIFS(Raw_Plan!$F$2:$F$120,Raw_Plan!$A$2:$A$120,$A111,Raw_Plan!$E$2:$E$120,$E111)=0,"",$H111/SUMIFS(Raw_Plan!$F$2:$F$120,Raw_Plan!$A$2:$A$120,$A111,Raw_Plan!$E$2:$E$120,$E111))</f>
        <v/>
      </c>
    </row>
    <row r="112">
      <c r="A112" t="inlineStr">
        <is>
          <t>R01</t>
        </is>
      </c>
      <c r="B112" t="inlineStr">
        <is>
          <t>Dubai Rooftop Solar</t>
        </is>
      </c>
      <c r="C112" t="inlineStr">
        <is>
          <t>UAE</t>
        </is>
      </c>
      <c r="D112" t="inlineStr">
        <is>
          <t>Rooftop</t>
        </is>
      </c>
      <c r="E112" t="inlineStr">
        <is>
          <t>2026-09</t>
        </is>
      </c>
      <c r="F112" s="11" t="n">
        <v>260</v>
      </c>
      <c r="G112" s="12" t="n">
        <v>8.84</v>
      </c>
      <c r="H112" s="11" t="n">
        <v>8</v>
      </c>
      <c r="I112" s="11" t="n">
        <v>14</v>
      </c>
      <c r="J112" s="11">
        <f>$F112-SUMIFS(Raw_Plan!$F$2:$F$120,Raw_Plan!$A$2:$A$120,$A112,Raw_Plan!$E$2:$E$120,$E112)</f>
        <v/>
      </c>
      <c r="K112" s="13">
        <f>IF(SUMIFS(Raw_Plan!$F$2:$F$120,Raw_Plan!$A$2:$A$120,$A112,Raw_Plan!$E$2:$E$120,$E112)=0,"",$F112/SUMIFS(Raw_Plan!$F$2:$F$120,Raw_Plan!$A$2:$A$120,$A112,Raw_Plan!$E$2:$E$120,$E112))</f>
        <v/>
      </c>
      <c r="L112" s="13">
        <f>IF(SUMIFS(Raw_Plan!$F$2:$F$120,Raw_Plan!$A$2:$A$120,$A112,Raw_Plan!$E$2:$E$120,$E112)=0,"",$H112/SUMIFS(Raw_Plan!$F$2:$F$120,Raw_Plan!$A$2:$A$120,$A112,Raw_Plan!$E$2:$E$120,$E112))</f>
        <v/>
      </c>
    </row>
    <row r="113">
      <c r="A113" t="inlineStr">
        <is>
          <t>R01</t>
        </is>
      </c>
      <c r="B113" t="inlineStr">
        <is>
          <t>Dubai Rooftop Solar</t>
        </is>
      </c>
      <c r="C113" t="inlineStr">
        <is>
          <t>UAE</t>
        </is>
      </c>
      <c r="D113" t="inlineStr">
        <is>
          <t>Rooftop</t>
        </is>
      </c>
      <c r="E113" t="inlineStr">
        <is>
          <t>2026-10</t>
        </is>
      </c>
      <c r="F113" s="11" t="n">
        <v>244</v>
      </c>
      <c r="G113" s="12" t="n">
        <v>8.300000000000001</v>
      </c>
      <c r="H113" s="11" t="n">
        <v>0</v>
      </c>
      <c r="I113" s="11" t="n">
        <v>12</v>
      </c>
      <c r="J113" s="11">
        <f>$F113-SUMIFS(Raw_Plan!$F$2:$F$120,Raw_Plan!$A$2:$A$120,$A113,Raw_Plan!$E$2:$E$120,$E113)</f>
        <v/>
      </c>
      <c r="K113" s="13">
        <f>IF(SUMIFS(Raw_Plan!$F$2:$F$120,Raw_Plan!$A$2:$A$120,$A113,Raw_Plan!$E$2:$E$120,$E113)=0,"",$F113/SUMIFS(Raw_Plan!$F$2:$F$120,Raw_Plan!$A$2:$A$120,$A113,Raw_Plan!$E$2:$E$120,$E113))</f>
        <v/>
      </c>
      <c r="L113" s="13">
        <f>IF(SUMIFS(Raw_Plan!$F$2:$F$120,Raw_Plan!$A$2:$A$120,$A113,Raw_Plan!$E$2:$E$120,$E113)=0,"",$H113/SUMIFS(Raw_Plan!$F$2:$F$120,Raw_Plan!$A$2:$A$120,$A113,Raw_Plan!$E$2:$E$120,$E113))</f>
        <v/>
      </c>
    </row>
    <row r="114">
      <c r="A114" t="inlineStr">
        <is>
          <t>R02</t>
        </is>
      </c>
      <c r="B114" t="inlineStr">
        <is>
          <t>Singapore Rooftop Solar</t>
        </is>
      </c>
      <c r="C114" t="inlineStr">
        <is>
          <t>Singapore</t>
        </is>
      </c>
      <c r="D114" t="inlineStr">
        <is>
          <t>Rooftop</t>
        </is>
      </c>
      <c r="E114" t="inlineStr">
        <is>
          <t>2026-04</t>
        </is>
      </c>
      <c r="F114" s="11" t="n">
        <v>172</v>
      </c>
      <c r="G114" s="12" t="n">
        <v>6.02</v>
      </c>
      <c r="H114" s="11" t="n">
        <v>7</v>
      </c>
      <c r="I114" s="11" t="n">
        <v>19</v>
      </c>
      <c r="J114" s="11">
        <f>$F114-SUMIFS(Raw_Plan!$F$2:$F$120,Raw_Plan!$A$2:$A$120,$A114,Raw_Plan!$E$2:$E$120,$E114)</f>
        <v/>
      </c>
      <c r="K114" s="13">
        <f>IF(SUMIFS(Raw_Plan!$F$2:$F$120,Raw_Plan!$A$2:$A$120,$A114,Raw_Plan!$E$2:$E$120,$E114)=0,"",$F114/SUMIFS(Raw_Plan!$F$2:$F$120,Raw_Plan!$A$2:$A$120,$A114,Raw_Plan!$E$2:$E$120,$E114))</f>
        <v/>
      </c>
      <c r="L114" s="13">
        <f>IF(SUMIFS(Raw_Plan!$F$2:$F$120,Raw_Plan!$A$2:$A$120,$A114,Raw_Plan!$E$2:$E$120,$E114)=0,"",$H114/SUMIFS(Raw_Plan!$F$2:$F$120,Raw_Plan!$A$2:$A$120,$A114,Raw_Plan!$E$2:$E$120,$E114))</f>
        <v/>
      </c>
    </row>
    <row r="115">
      <c r="A115" t="inlineStr">
        <is>
          <t>R02</t>
        </is>
      </c>
      <c r="B115" t="inlineStr">
        <is>
          <t>Singapore Rooftop Solar</t>
        </is>
      </c>
      <c r="C115" t="inlineStr">
        <is>
          <t>Singapore</t>
        </is>
      </c>
      <c r="D115" t="inlineStr">
        <is>
          <t>Rooftop</t>
        </is>
      </c>
      <c r="E115" t="inlineStr">
        <is>
          <t>2026-05</t>
        </is>
      </c>
      <c r="F115" s="11" t="n">
        <v>205</v>
      </c>
      <c r="G115" s="12" t="n">
        <v>7.17</v>
      </c>
      <c r="H115" s="11" t="n">
        <v>5</v>
      </c>
      <c r="I115" s="11" t="n">
        <v>6</v>
      </c>
      <c r="J115" s="11">
        <f>$F115-SUMIFS(Raw_Plan!$F$2:$F$120,Raw_Plan!$A$2:$A$120,$A115,Raw_Plan!$E$2:$E$120,$E115)</f>
        <v/>
      </c>
      <c r="K115" s="13">
        <f>IF(SUMIFS(Raw_Plan!$F$2:$F$120,Raw_Plan!$A$2:$A$120,$A115,Raw_Plan!$E$2:$E$120,$E115)=0,"",$F115/SUMIFS(Raw_Plan!$F$2:$F$120,Raw_Plan!$A$2:$A$120,$A115,Raw_Plan!$E$2:$E$120,$E115))</f>
        <v/>
      </c>
      <c r="L115" s="13">
        <f>IF(SUMIFS(Raw_Plan!$F$2:$F$120,Raw_Plan!$A$2:$A$120,$A115,Raw_Plan!$E$2:$E$120,$E115)=0,"",$H115/SUMIFS(Raw_Plan!$F$2:$F$120,Raw_Plan!$A$2:$A$120,$A115,Raw_Plan!$E$2:$E$120,$E115))</f>
        <v/>
      </c>
    </row>
    <row r="116">
      <c r="A116" t="inlineStr">
        <is>
          <t>R02</t>
        </is>
      </c>
      <c r="B116" t="inlineStr">
        <is>
          <t>Singapore Rooftop Solar</t>
        </is>
      </c>
      <c r="C116" t="inlineStr">
        <is>
          <t>Singapore</t>
        </is>
      </c>
      <c r="D116" t="inlineStr">
        <is>
          <t>Rooftop</t>
        </is>
      </c>
      <c r="E116" t="inlineStr">
        <is>
          <t>2026-06</t>
        </is>
      </c>
      <c r="F116" s="11" t="n">
        <v>181</v>
      </c>
      <c r="G116" s="12" t="n">
        <v>6.33</v>
      </c>
      <c r="H116" s="11" t="n">
        <v>2</v>
      </c>
      <c r="I116" s="11" t="n">
        <v>29</v>
      </c>
      <c r="J116" s="11">
        <f>$F116-SUMIFS(Raw_Plan!$F$2:$F$120,Raw_Plan!$A$2:$A$120,$A116,Raw_Plan!$E$2:$E$120,$E116)</f>
        <v/>
      </c>
      <c r="K116" s="13">
        <f>IF(SUMIFS(Raw_Plan!$F$2:$F$120,Raw_Plan!$A$2:$A$120,$A116,Raw_Plan!$E$2:$E$120,$E116)=0,"",$F116/SUMIFS(Raw_Plan!$F$2:$F$120,Raw_Plan!$A$2:$A$120,$A116,Raw_Plan!$E$2:$E$120,$E116))</f>
        <v/>
      </c>
      <c r="L116" s="13">
        <f>IF(SUMIFS(Raw_Plan!$F$2:$F$120,Raw_Plan!$A$2:$A$120,$A116,Raw_Plan!$E$2:$E$120,$E116)=0,"",$H116/SUMIFS(Raw_Plan!$F$2:$F$120,Raw_Plan!$A$2:$A$120,$A116,Raw_Plan!$E$2:$E$120,$E116))</f>
        <v/>
      </c>
    </row>
    <row r="117">
      <c r="A117" t="inlineStr">
        <is>
          <t>R02</t>
        </is>
      </c>
      <c r="B117" t="inlineStr">
        <is>
          <t>Singapore Rooftop Solar</t>
        </is>
      </c>
      <c r="C117" t="inlineStr">
        <is>
          <t>Singapore</t>
        </is>
      </c>
      <c r="D117" t="inlineStr">
        <is>
          <t>Rooftop</t>
        </is>
      </c>
      <c r="E117" t="inlineStr">
        <is>
          <t>2026-07</t>
        </is>
      </c>
      <c r="F117" s="11" t="n">
        <v>169</v>
      </c>
      <c r="G117" s="12" t="n">
        <v>5.92</v>
      </c>
      <c r="H117" s="11" t="n">
        <v>3</v>
      </c>
      <c r="I117" s="11" t="n">
        <v>23</v>
      </c>
      <c r="J117" s="11">
        <f>$F117-SUMIFS(Raw_Plan!$F$2:$F$120,Raw_Plan!$A$2:$A$120,$A117,Raw_Plan!$E$2:$E$120,$E117)</f>
        <v/>
      </c>
      <c r="K117" s="13">
        <f>IF(SUMIFS(Raw_Plan!$F$2:$F$120,Raw_Plan!$A$2:$A$120,$A117,Raw_Plan!$E$2:$E$120,$E117)=0,"",$F117/SUMIFS(Raw_Plan!$F$2:$F$120,Raw_Plan!$A$2:$A$120,$A117,Raw_Plan!$E$2:$E$120,$E117))</f>
        <v/>
      </c>
      <c r="L117" s="13">
        <f>IF(SUMIFS(Raw_Plan!$F$2:$F$120,Raw_Plan!$A$2:$A$120,$A117,Raw_Plan!$E$2:$E$120,$E117)=0,"",$H117/SUMIFS(Raw_Plan!$F$2:$F$120,Raw_Plan!$A$2:$A$120,$A117,Raw_Plan!$E$2:$E$120,$E117))</f>
        <v/>
      </c>
    </row>
    <row r="118">
      <c r="A118" t="inlineStr">
        <is>
          <t>R02</t>
        </is>
      </c>
      <c r="B118" t="inlineStr">
        <is>
          <t>Singapore Rooftop Solar</t>
        </is>
      </c>
      <c r="C118" t="inlineStr">
        <is>
          <t>Singapore</t>
        </is>
      </c>
      <c r="D118" t="inlineStr">
        <is>
          <t>Rooftop</t>
        </is>
      </c>
      <c r="E118" t="inlineStr">
        <is>
          <t>2026-08</t>
        </is>
      </c>
      <c r="F118" s="11" t="n">
        <v>167</v>
      </c>
      <c r="G118" s="12" t="n">
        <v>5.84</v>
      </c>
      <c r="H118" s="11" t="n">
        <v>6</v>
      </c>
      <c r="I118" s="11" t="n">
        <v>35</v>
      </c>
      <c r="J118" s="11">
        <f>$F118-SUMIFS(Raw_Plan!$F$2:$F$120,Raw_Plan!$A$2:$A$120,$A118,Raw_Plan!$E$2:$E$120,$E118)</f>
        <v/>
      </c>
      <c r="K118" s="13">
        <f>IF(SUMIFS(Raw_Plan!$F$2:$F$120,Raw_Plan!$A$2:$A$120,$A118,Raw_Plan!$E$2:$E$120,$E118)=0,"",$F118/SUMIFS(Raw_Plan!$F$2:$F$120,Raw_Plan!$A$2:$A$120,$A118,Raw_Plan!$E$2:$E$120,$E118))</f>
        <v/>
      </c>
      <c r="L118" s="13">
        <f>IF(SUMIFS(Raw_Plan!$F$2:$F$120,Raw_Plan!$A$2:$A$120,$A118,Raw_Plan!$E$2:$E$120,$E118)=0,"",$H118/SUMIFS(Raw_Plan!$F$2:$F$120,Raw_Plan!$A$2:$A$120,$A118,Raw_Plan!$E$2:$E$120,$E118))</f>
        <v/>
      </c>
    </row>
    <row r="119">
      <c r="A119" t="inlineStr">
        <is>
          <t>R02</t>
        </is>
      </c>
      <c r="B119" t="inlineStr">
        <is>
          <t>Singapore Rooftop Solar</t>
        </is>
      </c>
      <c r="C119" t="inlineStr">
        <is>
          <t>Singapore</t>
        </is>
      </c>
      <c r="D119" t="inlineStr">
        <is>
          <t>Rooftop</t>
        </is>
      </c>
      <c r="E119" t="inlineStr">
        <is>
          <t>2026-09</t>
        </is>
      </c>
      <c r="F119" s="11" t="n">
        <v>196</v>
      </c>
      <c r="G119" s="12" t="n">
        <v>6.86</v>
      </c>
      <c r="H119" s="11" t="n">
        <v>1</v>
      </c>
      <c r="I119" s="11" t="n">
        <v>15</v>
      </c>
      <c r="J119" s="11">
        <f>$F119-SUMIFS(Raw_Plan!$F$2:$F$120,Raw_Plan!$A$2:$A$120,$A119,Raw_Plan!$E$2:$E$120,$E119)</f>
        <v/>
      </c>
      <c r="K119" s="13">
        <f>IF(SUMIFS(Raw_Plan!$F$2:$F$120,Raw_Plan!$A$2:$A$120,$A119,Raw_Plan!$E$2:$E$120,$E119)=0,"",$F119/SUMIFS(Raw_Plan!$F$2:$F$120,Raw_Plan!$A$2:$A$120,$A119,Raw_Plan!$E$2:$E$120,$E119))</f>
        <v/>
      </c>
      <c r="L119" s="13">
        <f>IF(SUMIFS(Raw_Plan!$F$2:$F$120,Raw_Plan!$A$2:$A$120,$A119,Raw_Plan!$E$2:$E$120,$E119)=0,"",$H119/SUMIFS(Raw_Plan!$F$2:$F$120,Raw_Plan!$A$2:$A$120,$A119,Raw_Plan!$E$2:$E$120,$E119))</f>
        <v/>
      </c>
    </row>
    <row r="120">
      <c r="A120" t="inlineStr">
        <is>
          <t>R02</t>
        </is>
      </c>
      <c r="B120" t="inlineStr">
        <is>
          <t>Singapore Rooftop Solar</t>
        </is>
      </c>
      <c r="C120" t="inlineStr">
        <is>
          <t>Singapore</t>
        </is>
      </c>
      <c r="D120" t="inlineStr">
        <is>
          <t>Rooftop</t>
        </is>
      </c>
      <c r="E120" t="inlineStr">
        <is>
          <t>2026-10</t>
        </is>
      </c>
      <c r="F120" s="11" t="n">
        <v>206</v>
      </c>
      <c r="G120" s="12" t="n">
        <v>7.21</v>
      </c>
      <c r="H120" s="11" t="n">
        <v>8</v>
      </c>
      <c r="I120" s="11" t="n">
        <v>21</v>
      </c>
      <c r="J120" s="11">
        <f>$F120-SUMIFS(Raw_Plan!$F$2:$F$120,Raw_Plan!$A$2:$A$120,$A120,Raw_Plan!$E$2:$E$120,$E120)</f>
        <v/>
      </c>
      <c r="K120" s="13">
        <f>IF(SUMIFS(Raw_Plan!$F$2:$F$120,Raw_Plan!$A$2:$A$120,$A120,Raw_Plan!$E$2:$E$120,$E120)=0,"",$F120/SUMIFS(Raw_Plan!$F$2:$F$120,Raw_Plan!$A$2:$A$120,$A120,Raw_Plan!$E$2:$E$120,$E120))</f>
        <v/>
      </c>
      <c r="L120" s="13">
        <f>IF(SUMIFS(Raw_Plan!$F$2:$F$120,Raw_Plan!$A$2:$A$120,$A120,Raw_Plan!$E$2:$E$120,$E120)=0,"",$H120/SUMIFS(Raw_Plan!$F$2:$F$120,Raw_Plan!$A$2:$A$120,$A120,Raw_Plan!$E$2:$E$120,$E120))</f>
        <v/>
      </c>
    </row>
  </sheetData>
  <autoFilter ref="A1:L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12" customWidth="1" min="4" max="4"/>
    <col width="13" customWidth="1" min="5" max="5"/>
    <col width="14" customWidth="1" min="6" max="6"/>
    <col width="19" customWidth="1" min="7" max="7"/>
    <col width="18" customWidth="1" min="8" max="8"/>
    <col width="20" customWidth="1" min="9" max="9"/>
    <col width="15" customWidth="1" min="10" max="10"/>
    <col width="12" customWidth="1" min="11" max="11"/>
    <col width="14" customWidth="1" min="12" max="12"/>
  </cols>
  <sheetData>
    <row r="1">
      <c r="A1" s="10" t="inlineStr">
        <is>
          <t>Month</t>
        </is>
      </c>
      <c r="B1" s="10" t="inlineStr">
        <is>
          <t>Days</t>
        </is>
      </c>
      <c r="C1" s="10" t="inlineStr">
        <is>
          <t>PlannedMWh</t>
        </is>
      </c>
      <c r="D1" s="10" t="inlineStr">
        <is>
          <t>ActualMWh</t>
        </is>
      </c>
      <c r="E1" s="10" t="inlineStr">
        <is>
          <t>VarianceMWh</t>
        </is>
      </c>
      <c r="F1" s="10" t="inlineStr">
        <is>
          <t>AchievementPct</t>
        </is>
      </c>
      <c r="G1" s="10" t="inlineStr">
        <is>
          <t>PlannedRevenueLakh</t>
        </is>
      </c>
      <c r="H1" s="10" t="inlineStr">
        <is>
          <t>ActualRevenueLakh</t>
        </is>
      </c>
      <c r="I1" s="10" t="inlineStr">
        <is>
          <t>RevenueAchievementPct</t>
        </is>
      </c>
      <c r="J1" s="10" t="inlineStr">
        <is>
          <t>CurtailmentMWh</t>
        </is>
      </c>
      <c r="K1" s="10" t="inlineStr">
        <is>
          <t>OutageHours</t>
        </is>
      </c>
      <c r="L1" s="10" t="inlineStr">
        <is>
          <t>AvailabilityPct</t>
        </is>
      </c>
    </row>
    <row r="2">
      <c r="A2" t="inlineStr">
        <is>
          <t>2026-04</t>
        </is>
      </c>
      <c r="B2" t="n">
        <v>30</v>
      </c>
      <c r="C2" s="11">
        <f>SUMIFS(Raw_Plan!$F$2:$F$120,Raw_Plan!$E$2:$E$120,$A2)</f>
        <v/>
      </c>
      <c r="D2" s="11">
        <f>SUMIFS(Raw_Actual!$F$2:$F$120,Raw_Actual!$E$2:$E$120,$A2)</f>
        <v/>
      </c>
      <c r="E2" s="11">
        <f>$D2-$C2</f>
        <v/>
      </c>
      <c r="F2" s="13">
        <f>IF($C2=0,"",$D2/$C2)</f>
        <v/>
      </c>
      <c r="G2" s="12">
        <f>SUMIFS(Raw_Plan!$G$2:$G$120,Raw_Plan!$E$2:$E$120,$A2)</f>
        <v/>
      </c>
      <c r="H2" s="12">
        <f>SUMIFS(Raw_Actual!$G$2:$G$120,Raw_Actual!$E$2:$E$120,$A2)</f>
        <v/>
      </c>
      <c r="I2" s="13">
        <f>IF($G2=0,"",$H2/$G2)</f>
        <v/>
      </c>
      <c r="J2" s="11">
        <f>SUMIFS(Raw_Actual!$H$2:$H$120,Raw_Actual!$E$2:$E$120,$A2)</f>
        <v/>
      </c>
      <c r="K2" s="11">
        <f>SUMIFS(Raw_Actual!$I$2:$I$120,Raw_Actual!$E$2:$E$120,$A2)</f>
        <v/>
      </c>
      <c r="L2" s="13">
        <f>1-$K2/(COUNTA(Sites!$A$2:$A$18)*$B2*24)</f>
        <v/>
      </c>
    </row>
    <row r="3">
      <c r="A3" t="inlineStr">
        <is>
          <t>2026-05</t>
        </is>
      </c>
      <c r="B3" t="n">
        <v>31</v>
      </c>
      <c r="C3" s="11">
        <f>SUMIFS(Raw_Plan!$F$2:$F$120,Raw_Plan!$E$2:$E$120,$A3)</f>
        <v/>
      </c>
      <c r="D3" s="11">
        <f>SUMIFS(Raw_Actual!$F$2:$F$120,Raw_Actual!$E$2:$E$120,$A3)</f>
        <v/>
      </c>
      <c r="E3" s="11">
        <f>$D3-$C3</f>
        <v/>
      </c>
      <c r="F3" s="13">
        <f>IF($C3=0,"",$D3/$C3)</f>
        <v/>
      </c>
      <c r="G3" s="12">
        <f>SUMIFS(Raw_Plan!$G$2:$G$120,Raw_Plan!$E$2:$E$120,$A3)</f>
        <v/>
      </c>
      <c r="H3" s="12">
        <f>SUMIFS(Raw_Actual!$G$2:$G$120,Raw_Actual!$E$2:$E$120,$A3)</f>
        <v/>
      </c>
      <c r="I3" s="13">
        <f>IF($G3=0,"",$H3/$G3)</f>
        <v/>
      </c>
      <c r="J3" s="11">
        <f>SUMIFS(Raw_Actual!$H$2:$H$120,Raw_Actual!$E$2:$E$120,$A3)</f>
        <v/>
      </c>
      <c r="K3" s="11">
        <f>SUMIFS(Raw_Actual!$I$2:$I$120,Raw_Actual!$E$2:$E$120,$A3)</f>
        <v/>
      </c>
      <c r="L3" s="13">
        <f>1-$K3/(COUNTA(Sites!$A$2:$A$18)*$B3*24)</f>
        <v/>
      </c>
    </row>
    <row r="4">
      <c r="A4" t="inlineStr">
        <is>
          <t>2026-06</t>
        </is>
      </c>
      <c r="B4" t="n">
        <v>30</v>
      </c>
      <c r="C4" s="11">
        <f>SUMIFS(Raw_Plan!$F$2:$F$120,Raw_Plan!$E$2:$E$120,$A4)</f>
        <v/>
      </c>
      <c r="D4" s="11">
        <f>SUMIFS(Raw_Actual!$F$2:$F$120,Raw_Actual!$E$2:$E$120,$A4)</f>
        <v/>
      </c>
      <c r="E4" s="11">
        <f>$D4-$C4</f>
        <v/>
      </c>
      <c r="F4" s="13">
        <f>IF($C4=0,"",$D4/$C4)</f>
        <v/>
      </c>
      <c r="G4" s="12">
        <f>SUMIFS(Raw_Plan!$G$2:$G$120,Raw_Plan!$E$2:$E$120,$A4)</f>
        <v/>
      </c>
      <c r="H4" s="12">
        <f>SUMIFS(Raw_Actual!$G$2:$G$120,Raw_Actual!$E$2:$E$120,$A4)</f>
        <v/>
      </c>
      <c r="I4" s="13">
        <f>IF($G4=0,"",$H4/$G4)</f>
        <v/>
      </c>
      <c r="J4" s="11">
        <f>SUMIFS(Raw_Actual!$H$2:$H$120,Raw_Actual!$E$2:$E$120,$A4)</f>
        <v/>
      </c>
      <c r="K4" s="11">
        <f>SUMIFS(Raw_Actual!$I$2:$I$120,Raw_Actual!$E$2:$E$120,$A4)</f>
        <v/>
      </c>
      <c r="L4" s="13">
        <f>1-$K4/(COUNTA(Sites!$A$2:$A$18)*$B4*24)</f>
        <v/>
      </c>
    </row>
    <row r="5">
      <c r="A5" t="inlineStr">
        <is>
          <t>2026-07</t>
        </is>
      </c>
      <c r="B5" t="n">
        <v>31</v>
      </c>
      <c r="C5" s="11">
        <f>SUMIFS(Raw_Plan!$F$2:$F$120,Raw_Plan!$E$2:$E$120,$A5)</f>
        <v/>
      </c>
      <c r="D5" s="11">
        <f>SUMIFS(Raw_Actual!$F$2:$F$120,Raw_Actual!$E$2:$E$120,$A5)</f>
        <v/>
      </c>
      <c r="E5" s="11">
        <f>$D5-$C5</f>
        <v/>
      </c>
      <c r="F5" s="13">
        <f>IF($C5=0,"",$D5/$C5)</f>
        <v/>
      </c>
      <c r="G5" s="12">
        <f>SUMIFS(Raw_Plan!$G$2:$G$120,Raw_Plan!$E$2:$E$120,$A5)</f>
        <v/>
      </c>
      <c r="H5" s="12">
        <f>SUMIFS(Raw_Actual!$G$2:$G$120,Raw_Actual!$E$2:$E$120,$A5)</f>
        <v/>
      </c>
      <c r="I5" s="13">
        <f>IF($G5=0,"",$H5/$G5)</f>
        <v/>
      </c>
      <c r="J5" s="11">
        <f>SUMIFS(Raw_Actual!$H$2:$H$120,Raw_Actual!$E$2:$E$120,$A5)</f>
        <v/>
      </c>
      <c r="K5" s="11">
        <f>SUMIFS(Raw_Actual!$I$2:$I$120,Raw_Actual!$E$2:$E$120,$A5)</f>
        <v/>
      </c>
      <c r="L5" s="13">
        <f>1-$K5/(COUNTA(Sites!$A$2:$A$18)*$B5*24)</f>
        <v/>
      </c>
    </row>
    <row r="6">
      <c r="A6" t="inlineStr">
        <is>
          <t>2026-08</t>
        </is>
      </c>
      <c r="B6" t="n">
        <v>31</v>
      </c>
      <c r="C6" s="11">
        <f>SUMIFS(Raw_Plan!$F$2:$F$120,Raw_Plan!$E$2:$E$120,$A6)</f>
        <v/>
      </c>
      <c r="D6" s="11">
        <f>SUMIFS(Raw_Actual!$F$2:$F$120,Raw_Actual!$E$2:$E$120,$A6)</f>
        <v/>
      </c>
      <c r="E6" s="11">
        <f>$D6-$C6</f>
        <v/>
      </c>
      <c r="F6" s="13">
        <f>IF($C6=0,"",$D6/$C6)</f>
        <v/>
      </c>
      <c r="G6" s="12">
        <f>SUMIFS(Raw_Plan!$G$2:$G$120,Raw_Plan!$E$2:$E$120,$A6)</f>
        <v/>
      </c>
      <c r="H6" s="12">
        <f>SUMIFS(Raw_Actual!$G$2:$G$120,Raw_Actual!$E$2:$E$120,$A6)</f>
        <v/>
      </c>
      <c r="I6" s="13">
        <f>IF($G6=0,"",$H6/$G6)</f>
        <v/>
      </c>
      <c r="J6" s="11">
        <f>SUMIFS(Raw_Actual!$H$2:$H$120,Raw_Actual!$E$2:$E$120,$A6)</f>
        <v/>
      </c>
      <c r="K6" s="11">
        <f>SUMIFS(Raw_Actual!$I$2:$I$120,Raw_Actual!$E$2:$E$120,$A6)</f>
        <v/>
      </c>
      <c r="L6" s="13">
        <f>1-$K6/(COUNTA(Sites!$A$2:$A$18)*$B6*24)</f>
        <v/>
      </c>
    </row>
    <row r="7">
      <c r="A7" t="inlineStr">
        <is>
          <t>2026-09</t>
        </is>
      </c>
      <c r="B7" t="n">
        <v>30</v>
      </c>
      <c r="C7" s="11">
        <f>SUMIFS(Raw_Plan!$F$2:$F$120,Raw_Plan!$E$2:$E$120,$A7)</f>
        <v/>
      </c>
      <c r="D7" s="11">
        <f>SUMIFS(Raw_Actual!$F$2:$F$120,Raw_Actual!$E$2:$E$120,$A7)</f>
        <v/>
      </c>
      <c r="E7" s="11">
        <f>$D7-$C7</f>
        <v/>
      </c>
      <c r="F7" s="13">
        <f>IF($C7=0,"",$D7/$C7)</f>
        <v/>
      </c>
      <c r="G7" s="12">
        <f>SUMIFS(Raw_Plan!$G$2:$G$120,Raw_Plan!$E$2:$E$120,$A7)</f>
        <v/>
      </c>
      <c r="H7" s="12">
        <f>SUMIFS(Raw_Actual!$G$2:$G$120,Raw_Actual!$E$2:$E$120,$A7)</f>
        <v/>
      </c>
      <c r="I7" s="13">
        <f>IF($G7=0,"",$H7/$G7)</f>
        <v/>
      </c>
      <c r="J7" s="11">
        <f>SUMIFS(Raw_Actual!$H$2:$H$120,Raw_Actual!$E$2:$E$120,$A7)</f>
        <v/>
      </c>
      <c r="K7" s="11">
        <f>SUMIFS(Raw_Actual!$I$2:$I$120,Raw_Actual!$E$2:$E$120,$A7)</f>
        <v/>
      </c>
      <c r="L7" s="13">
        <f>1-$K7/(COUNTA(Sites!$A$2:$A$18)*$B7*24)</f>
        <v/>
      </c>
    </row>
    <row r="8">
      <c r="A8" t="inlineStr">
        <is>
          <t>2026-10</t>
        </is>
      </c>
      <c r="B8" t="n">
        <v>31</v>
      </c>
      <c r="C8" s="11">
        <f>SUMIFS(Raw_Plan!$F$2:$F$120,Raw_Plan!$E$2:$E$120,$A8)</f>
        <v/>
      </c>
      <c r="D8" s="11">
        <f>SUMIFS(Raw_Actual!$F$2:$F$120,Raw_Actual!$E$2:$E$120,$A8)</f>
        <v/>
      </c>
      <c r="E8" s="11">
        <f>$D8-$C8</f>
        <v/>
      </c>
      <c r="F8" s="13">
        <f>IF($C8=0,"",$D8/$C8)</f>
        <v/>
      </c>
      <c r="G8" s="12">
        <f>SUMIFS(Raw_Plan!$G$2:$G$120,Raw_Plan!$E$2:$E$120,$A8)</f>
        <v/>
      </c>
      <c r="H8" s="12">
        <f>SUMIFS(Raw_Actual!$G$2:$G$120,Raw_Actual!$E$2:$E$120,$A8)</f>
        <v/>
      </c>
      <c r="I8" s="13">
        <f>IF($G8=0,"",$H8/$G8)</f>
        <v/>
      </c>
      <c r="J8" s="11">
        <f>SUMIFS(Raw_Actual!$H$2:$H$120,Raw_Actual!$E$2:$E$120,$A8)</f>
        <v/>
      </c>
      <c r="K8" s="11">
        <f>SUMIFS(Raw_Actual!$I$2:$I$120,Raw_Actual!$E$2:$E$120,$A8)</f>
        <v/>
      </c>
      <c r="L8" s="13">
        <f>1-$K8/(COUNTA(Sites!$A$2:$A$18)*$B8*24)</f>
        <v/>
      </c>
    </row>
    <row r="9">
      <c r="A9" s="14" t="inlineStr">
        <is>
          <t>TOTAL</t>
        </is>
      </c>
      <c r="B9" s="14">
        <f>SUM($B$2:$B$8)</f>
        <v/>
      </c>
      <c r="C9" s="15">
        <f>SUM($C$2:$C$8)</f>
        <v/>
      </c>
      <c r="D9" s="15">
        <f>SUM($D$2:$D$8)</f>
        <v/>
      </c>
      <c r="E9" s="15">
        <f>SUM($E$2:$E$8)</f>
        <v/>
      </c>
      <c r="F9" s="16">
        <f>IF($C$9=0,"",$D$9/$C$9)</f>
        <v/>
      </c>
      <c r="G9" s="17">
        <f>SUM($G$2:$G$8)</f>
        <v/>
      </c>
      <c r="H9" s="17">
        <f>SUM($H$2:$H$8)</f>
        <v/>
      </c>
      <c r="I9" s="16">
        <f>IF($G$9=0,"",$H$9/$G$9)</f>
        <v/>
      </c>
      <c r="J9" s="15">
        <f>SUM($J$2:$J$8)</f>
        <v/>
      </c>
      <c r="K9" s="15">
        <f>SUM($K$2:$K$8)</f>
        <v/>
      </c>
      <c r="L9" s="16">
        <f>1-$K$9/(COUNTA(Sites!$A$2:$A$18)*$B$9*24)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3" customWidth="1" min="3" max="3"/>
    <col width="12" customWidth="1" min="4" max="4"/>
    <col width="14" customWidth="1" min="5" max="5"/>
    <col width="19" customWidth="1" min="6" max="6"/>
    <col width="18" customWidth="1" min="7" max="7"/>
    <col width="20" customWidth="1" min="8" max="8"/>
    <col width="15" customWidth="1" min="9" max="9"/>
    <col width="12" customWidth="1" min="10" max="10"/>
  </cols>
  <sheetData>
    <row r="1">
      <c r="A1" s="10" t="inlineStr">
        <is>
          <t>State</t>
        </is>
      </c>
      <c r="B1" s="10" t="inlineStr">
        <is>
          <t>Sites</t>
        </is>
      </c>
      <c r="C1" s="10" t="inlineStr">
        <is>
          <t>PlannedMWh</t>
        </is>
      </c>
      <c r="D1" s="10" t="inlineStr">
        <is>
          <t>ActualMWh</t>
        </is>
      </c>
      <c r="E1" s="10" t="inlineStr">
        <is>
          <t>AchievementPct</t>
        </is>
      </c>
      <c r="F1" s="10" t="inlineStr">
        <is>
          <t>PlannedRevenueLakh</t>
        </is>
      </c>
      <c r="G1" s="10" t="inlineStr">
        <is>
          <t>ActualRevenueLakh</t>
        </is>
      </c>
      <c r="H1" s="10" t="inlineStr">
        <is>
          <t>RevenueAchievementPct</t>
        </is>
      </c>
      <c r="I1" s="10" t="inlineStr">
        <is>
          <t>CurtailmentMWh</t>
        </is>
      </c>
      <c r="J1" s="10" t="inlineStr">
        <is>
          <t>OutageHours</t>
        </is>
      </c>
    </row>
    <row r="2">
      <c r="A2" t="inlineStr">
        <is>
          <t>Rajasthan</t>
        </is>
      </c>
      <c r="B2">
        <f>COUNTIF(Sites!$C$2:$C$18,$A2)</f>
        <v/>
      </c>
      <c r="C2" s="11">
        <f>SUMIFS(Raw_Plan!$F$2:$F$120,Raw_Plan!$C$2:$C$120,$A2)</f>
        <v/>
      </c>
      <c r="D2" s="11">
        <f>SUMIFS(Raw_Actual!$F$2:$F$120,Raw_Actual!$C$2:$C$120,$A2)</f>
        <v/>
      </c>
      <c r="E2" s="13">
        <f>IF($C2=0,"",$D2/$C2)</f>
        <v/>
      </c>
      <c r="F2" s="12">
        <f>SUMIFS(Raw_Plan!$G$2:$G$120,Raw_Plan!$C$2:$C$120,$A2)</f>
        <v/>
      </c>
      <c r="G2" s="12">
        <f>SUMIFS(Raw_Actual!$G$2:$G$120,Raw_Actual!$C$2:$C$120,$A2)</f>
        <v/>
      </c>
      <c r="H2" s="13">
        <f>IF($F2=0,"",$G2/$F2)</f>
        <v/>
      </c>
      <c r="I2" s="11">
        <f>SUMIFS(Raw_Actual!$H$2:$H$120,Raw_Actual!$C$2:$C$120,$A2)</f>
        <v/>
      </c>
      <c r="J2" s="11">
        <f>SUMIFS(Raw_Actual!$I$2:$I$120,Raw_Actual!$C$2:$C$120,$A2)</f>
        <v/>
      </c>
    </row>
    <row r="3">
      <c r="A3" t="inlineStr">
        <is>
          <t>Gujarat</t>
        </is>
      </c>
      <c r="B3">
        <f>COUNTIF(Sites!$C$2:$C$18,$A3)</f>
        <v/>
      </c>
      <c r="C3" s="11">
        <f>SUMIFS(Raw_Plan!$F$2:$F$120,Raw_Plan!$C$2:$C$120,$A3)</f>
        <v/>
      </c>
      <c r="D3" s="11">
        <f>SUMIFS(Raw_Actual!$F$2:$F$120,Raw_Actual!$C$2:$C$120,$A3)</f>
        <v/>
      </c>
      <c r="E3" s="13">
        <f>IF($C3=0,"",$D3/$C3)</f>
        <v/>
      </c>
      <c r="F3" s="12">
        <f>SUMIFS(Raw_Plan!$G$2:$G$120,Raw_Plan!$C$2:$C$120,$A3)</f>
        <v/>
      </c>
      <c r="G3" s="12">
        <f>SUMIFS(Raw_Actual!$G$2:$G$120,Raw_Actual!$C$2:$C$120,$A3)</f>
        <v/>
      </c>
      <c r="H3" s="13">
        <f>IF($F3=0,"",$G3/$F3)</f>
        <v/>
      </c>
      <c r="I3" s="11">
        <f>SUMIFS(Raw_Actual!$H$2:$H$120,Raw_Actual!$C$2:$C$120,$A3)</f>
        <v/>
      </c>
      <c r="J3" s="11">
        <f>SUMIFS(Raw_Actual!$I$2:$I$120,Raw_Actual!$C$2:$C$120,$A3)</f>
        <v/>
      </c>
    </row>
    <row r="4">
      <c r="A4" t="inlineStr">
        <is>
          <t>Maharashtra</t>
        </is>
      </c>
      <c r="B4">
        <f>COUNTIF(Sites!$C$2:$C$18,$A4)</f>
        <v/>
      </c>
      <c r="C4" s="11">
        <f>SUMIFS(Raw_Plan!$F$2:$F$120,Raw_Plan!$C$2:$C$120,$A4)</f>
        <v/>
      </c>
      <c r="D4" s="11">
        <f>SUMIFS(Raw_Actual!$F$2:$F$120,Raw_Actual!$C$2:$C$120,$A4)</f>
        <v/>
      </c>
      <c r="E4" s="13">
        <f>IF($C4=0,"",$D4/$C4)</f>
        <v/>
      </c>
      <c r="F4" s="12">
        <f>SUMIFS(Raw_Plan!$G$2:$G$120,Raw_Plan!$C$2:$C$120,$A4)</f>
        <v/>
      </c>
      <c r="G4" s="12">
        <f>SUMIFS(Raw_Actual!$G$2:$G$120,Raw_Actual!$C$2:$C$120,$A4)</f>
        <v/>
      </c>
      <c r="H4" s="13">
        <f>IF($F4=0,"",$G4/$F4)</f>
        <v/>
      </c>
      <c r="I4" s="11">
        <f>SUMIFS(Raw_Actual!$H$2:$H$120,Raw_Actual!$C$2:$C$120,$A4)</f>
        <v/>
      </c>
      <c r="J4" s="11">
        <f>SUMIFS(Raw_Actual!$I$2:$I$120,Raw_Actual!$C$2:$C$120,$A4)</f>
        <v/>
      </c>
    </row>
    <row r="5">
      <c r="A5" t="inlineStr">
        <is>
          <t>Karnataka</t>
        </is>
      </c>
      <c r="B5">
        <f>COUNTIF(Sites!$C$2:$C$18,$A5)</f>
        <v/>
      </c>
      <c r="C5" s="11">
        <f>SUMIFS(Raw_Plan!$F$2:$F$120,Raw_Plan!$C$2:$C$120,$A5)</f>
        <v/>
      </c>
      <c r="D5" s="11">
        <f>SUMIFS(Raw_Actual!$F$2:$F$120,Raw_Actual!$C$2:$C$120,$A5)</f>
        <v/>
      </c>
      <c r="E5" s="13">
        <f>IF($C5=0,"",$D5/$C5)</f>
        <v/>
      </c>
      <c r="F5" s="12">
        <f>SUMIFS(Raw_Plan!$G$2:$G$120,Raw_Plan!$C$2:$C$120,$A5)</f>
        <v/>
      </c>
      <c r="G5" s="12">
        <f>SUMIFS(Raw_Actual!$G$2:$G$120,Raw_Actual!$C$2:$C$120,$A5)</f>
        <v/>
      </c>
      <c r="H5" s="13">
        <f>IF($F5=0,"",$G5/$F5)</f>
        <v/>
      </c>
      <c r="I5" s="11">
        <f>SUMIFS(Raw_Actual!$H$2:$H$120,Raw_Actual!$C$2:$C$120,$A5)</f>
        <v/>
      </c>
      <c r="J5" s="11">
        <f>SUMIFS(Raw_Actual!$I$2:$I$120,Raw_Actual!$C$2:$C$120,$A5)</f>
        <v/>
      </c>
    </row>
    <row r="6">
      <c r="A6" t="inlineStr">
        <is>
          <t>Tamil Nadu</t>
        </is>
      </c>
      <c r="B6">
        <f>COUNTIF(Sites!$C$2:$C$18,$A6)</f>
        <v/>
      </c>
      <c r="C6" s="11">
        <f>SUMIFS(Raw_Plan!$F$2:$F$120,Raw_Plan!$C$2:$C$120,$A6)</f>
        <v/>
      </c>
      <c r="D6" s="11">
        <f>SUMIFS(Raw_Actual!$F$2:$F$120,Raw_Actual!$C$2:$C$120,$A6)</f>
        <v/>
      </c>
      <c r="E6" s="13">
        <f>IF($C6=0,"",$D6/$C6)</f>
        <v/>
      </c>
      <c r="F6" s="12">
        <f>SUMIFS(Raw_Plan!$G$2:$G$120,Raw_Plan!$C$2:$C$120,$A6)</f>
        <v/>
      </c>
      <c r="G6" s="12">
        <f>SUMIFS(Raw_Actual!$G$2:$G$120,Raw_Actual!$C$2:$C$120,$A6)</f>
        <v/>
      </c>
      <c r="H6" s="13">
        <f>IF($F6=0,"",$G6/$F6)</f>
        <v/>
      </c>
      <c r="I6" s="11">
        <f>SUMIFS(Raw_Actual!$H$2:$H$120,Raw_Actual!$C$2:$C$120,$A6)</f>
        <v/>
      </c>
      <c r="J6" s="11">
        <f>SUMIFS(Raw_Actual!$I$2:$I$120,Raw_Actual!$C$2:$C$120,$A6)</f>
        <v/>
      </c>
    </row>
    <row r="7">
      <c r="A7" t="inlineStr">
        <is>
          <t>Telangana</t>
        </is>
      </c>
      <c r="B7">
        <f>COUNTIF(Sites!$C$2:$C$18,$A7)</f>
        <v/>
      </c>
      <c r="C7" s="11">
        <f>SUMIFS(Raw_Plan!$F$2:$F$120,Raw_Plan!$C$2:$C$120,$A7)</f>
        <v/>
      </c>
      <c r="D7" s="11">
        <f>SUMIFS(Raw_Actual!$F$2:$F$120,Raw_Actual!$C$2:$C$120,$A7)</f>
        <v/>
      </c>
      <c r="E7" s="13">
        <f>IF($C7=0,"",$D7/$C7)</f>
        <v/>
      </c>
      <c r="F7" s="12">
        <f>SUMIFS(Raw_Plan!$G$2:$G$120,Raw_Plan!$C$2:$C$120,$A7)</f>
        <v/>
      </c>
      <c r="G7" s="12">
        <f>SUMIFS(Raw_Actual!$G$2:$G$120,Raw_Actual!$C$2:$C$120,$A7)</f>
        <v/>
      </c>
      <c r="H7" s="13">
        <f>IF($F7=0,"",$G7/$F7)</f>
        <v/>
      </c>
      <c r="I7" s="11">
        <f>SUMIFS(Raw_Actual!$H$2:$H$120,Raw_Actual!$C$2:$C$120,$A7)</f>
        <v/>
      </c>
      <c r="J7" s="11">
        <f>SUMIFS(Raw_Actual!$I$2:$I$120,Raw_Actual!$C$2:$C$120,$A7)</f>
        <v/>
      </c>
    </row>
    <row r="8">
      <c r="A8" t="inlineStr">
        <is>
          <t>Andhra Pradesh</t>
        </is>
      </c>
      <c r="B8">
        <f>COUNTIF(Sites!$C$2:$C$18,$A8)</f>
        <v/>
      </c>
      <c r="C8" s="11">
        <f>SUMIFS(Raw_Plan!$F$2:$F$120,Raw_Plan!$C$2:$C$120,$A8)</f>
        <v/>
      </c>
      <c r="D8" s="11">
        <f>SUMIFS(Raw_Actual!$F$2:$F$120,Raw_Actual!$C$2:$C$120,$A8)</f>
        <v/>
      </c>
      <c r="E8" s="13">
        <f>IF($C8=0,"",$D8/$C8)</f>
        <v/>
      </c>
      <c r="F8" s="12">
        <f>SUMIFS(Raw_Plan!$G$2:$G$120,Raw_Plan!$C$2:$C$120,$A8)</f>
        <v/>
      </c>
      <c r="G8" s="12">
        <f>SUMIFS(Raw_Actual!$G$2:$G$120,Raw_Actual!$C$2:$C$120,$A8)</f>
        <v/>
      </c>
      <c r="H8" s="13">
        <f>IF($F8=0,"",$G8/$F8)</f>
        <v/>
      </c>
      <c r="I8" s="11">
        <f>SUMIFS(Raw_Actual!$H$2:$H$120,Raw_Actual!$C$2:$C$120,$A8)</f>
        <v/>
      </c>
      <c r="J8" s="11">
        <f>SUMIFS(Raw_Actual!$I$2:$I$120,Raw_Actual!$C$2:$C$120,$A8)</f>
        <v/>
      </c>
    </row>
    <row r="9">
      <c r="A9" t="inlineStr">
        <is>
          <t>Madhya Pradesh</t>
        </is>
      </c>
      <c r="B9">
        <f>COUNTIF(Sites!$C$2:$C$18,$A9)</f>
        <v/>
      </c>
      <c r="C9" s="11">
        <f>SUMIFS(Raw_Plan!$F$2:$F$120,Raw_Plan!$C$2:$C$120,$A9)</f>
        <v/>
      </c>
      <c r="D9" s="11">
        <f>SUMIFS(Raw_Actual!$F$2:$F$120,Raw_Actual!$C$2:$C$120,$A9)</f>
        <v/>
      </c>
      <c r="E9" s="13">
        <f>IF($C9=0,"",$D9/$C9)</f>
        <v/>
      </c>
      <c r="F9" s="12">
        <f>SUMIFS(Raw_Plan!$G$2:$G$120,Raw_Plan!$C$2:$C$120,$A9)</f>
        <v/>
      </c>
      <c r="G9" s="12">
        <f>SUMIFS(Raw_Actual!$G$2:$G$120,Raw_Actual!$C$2:$C$120,$A9)</f>
        <v/>
      </c>
      <c r="H9" s="13">
        <f>IF($F9=0,"",$G9/$F9)</f>
        <v/>
      </c>
      <c r="I9" s="11">
        <f>SUMIFS(Raw_Actual!$H$2:$H$120,Raw_Actual!$C$2:$C$120,$A9)</f>
        <v/>
      </c>
      <c r="J9" s="11">
        <f>SUMIFS(Raw_Actual!$I$2:$I$120,Raw_Actual!$C$2:$C$120,$A9)</f>
        <v/>
      </c>
    </row>
    <row r="10">
      <c r="A10" t="inlineStr">
        <is>
          <t>Uttar Pradesh</t>
        </is>
      </c>
      <c r="B10">
        <f>COUNTIF(Sites!$C$2:$C$18,$A10)</f>
        <v/>
      </c>
      <c r="C10" s="11">
        <f>SUMIFS(Raw_Plan!$F$2:$F$120,Raw_Plan!$C$2:$C$120,$A10)</f>
        <v/>
      </c>
      <c r="D10" s="11">
        <f>SUMIFS(Raw_Actual!$F$2:$F$120,Raw_Actual!$C$2:$C$120,$A10)</f>
        <v/>
      </c>
      <c r="E10" s="13">
        <f>IF($C10=0,"",$D10/$C10)</f>
        <v/>
      </c>
      <c r="F10" s="12">
        <f>SUMIFS(Raw_Plan!$G$2:$G$120,Raw_Plan!$C$2:$C$120,$A10)</f>
        <v/>
      </c>
      <c r="G10" s="12">
        <f>SUMIFS(Raw_Actual!$G$2:$G$120,Raw_Actual!$C$2:$C$120,$A10)</f>
        <v/>
      </c>
      <c r="H10" s="13">
        <f>IF($F10=0,"",$G10/$F10)</f>
        <v/>
      </c>
      <c r="I10" s="11">
        <f>SUMIFS(Raw_Actual!$H$2:$H$120,Raw_Actual!$C$2:$C$120,$A10)</f>
        <v/>
      </c>
      <c r="J10" s="11">
        <f>SUMIFS(Raw_Actual!$I$2:$I$120,Raw_Actual!$C$2:$C$120,$A10)</f>
        <v/>
      </c>
    </row>
    <row r="11">
      <c r="A11" t="inlineStr">
        <is>
          <t>UAE</t>
        </is>
      </c>
      <c r="B11">
        <f>COUNTIF(Sites!$C$2:$C$18,$A11)</f>
        <v/>
      </c>
      <c r="C11" s="11">
        <f>SUMIFS(Raw_Plan!$F$2:$F$120,Raw_Plan!$C$2:$C$120,$A11)</f>
        <v/>
      </c>
      <c r="D11" s="11">
        <f>SUMIFS(Raw_Actual!$F$2:$F$120,Raw_Actual!$C$2:$C$120,$A11)</f>
        <v/>
      </c>
      <c r="E11" s="13">
        <f>IF($C11=0,"",$D11/$C11)</f>
        <v/>
      </c>
      <c r="F11" s="12">
        <f>SUMIFS(Raw_Plan!$G$2:$G$120,Raw_Plan!$C$2:$C$120,$A11)</f>
        <v/>
      </c>
      <c r="G11" s="12">
        <f>SUMIFS(Raw_Actual!$G$2:$G$120,Raw_Actual!$C$2:$C$120,$A11)</f>
        <v/>
      </c>
      <c r="H11" s="13">
        <f>IF($F11=0,"",$G11/$F11)</f>
        <v/>
      </c>
      <c r="I11" s="11">
        <f>SUMIFS(Raw_Actual!$H$2:$H$120,Raw_Actual!$C$2:$C$120,$A11)</f>
        <v/>
      </c>
      <c r="J11" s="11">
        <f>SUMIFS(Raw_Actual!$I$2:$I$120,Raw_Actual!$C$2:$C$120,$A11)</f>
        <v/>
      </c>
    </row>
    <row r="12">
      <c r="A12" t="inlineStr">
        <is>
          <t>Singapore</t>
        </is>
      </c>
      <c r="B12">
        <f>COUNTIF(Sites!$C$2:$C$18,$A12)</f>
        <v/>
      </c>
      <c r="C12" s="11">
        <f>SUMIFS(Raw_Plan!$F$2:$F$120,Raw_Plan!$C$2:$C$120,$A12)</f>
        <v/>
      </c>
      <c r="D12" s="11">
        <f>SUMIFS(Raw_Actual!$F$2:$F$120,Raw_Actual!$C$2:$C$120,$A12)</f>
        <v/>
      </c>
      <c r="E12" s="13">
        <f>IF($C12=0,"",$D12/$C12)</f>
        <v/>
      </c>
      <c r="F12" s="12">
        <f>SUMIFS(Raw_Plan!$G$2:$G$120,Raw_Plan!$C$2:$C$120,$A12)</f>
        <v/>
      </c>
      <c r="G12" s="12">
        <f>SUMIFS(Raw_Actual!$G$2:$G$120,Raw_Actual!$C$2:$C$120,$A12)</f>
        <v/>
      </c>
      <c r="H12" s="13">
        <f>IF($F12=0,"",$G12/$F12)</f>
        <v/>
      </c>
      <c r="I12" s="11">
        <f>SUMIFS(Raw_Actual!$H$2:$H$120,Raw_Actual!$C$2:$C$120,$A12)</f>
        <v/>
      </c>
      <c r="J12" s="11">
        <f>SUMIFS(Raw_Actual!$I$2:$I$120,Raw_Actual!$C$2:$C$120,$A12)</f>
        <v/>
      </c>
    </row>
    <row r="13">
      <c r="A13" s="14" t="inlineStr">
        <is>
          <t>TOTAL</t>
        </is>
      </c>
      <c r="B13" s="14">
        <f>SUM($B$2:$B$12)</f>
        <v/>
      </c>
      <c r="C13" s="15">
        <f>SUM($C$2:$C$12)</f>
        <v/>
      </c>
      <c r="D13" s="15">
        <f>SUM($D$2:$D$12)</f>
        <v/>
      </c>
      <c r="E13" s="16">
        <f>IF($C13=0,"",$D13/$C13)</f>
        <v/>
      </c>
      <c r="F13" s="17">
        <f>SUM($F$2:$F$12)</f>
        <v/>
      </c>
      <c r="G13" s="17">
        <f>SUM($G$2:$G$12)</f>
        <v/>
      </c>
      <c r="H13" s="16">
        <f>IF($F13=0,"",$G13/$F13)</f>
        <v/>
      </c>
      <c r="I13" s="15">
        <f>SUM($I$2:$I$12)</f>
        <v/>
      </c>
      <c r="J13" s="15">
        <f>SUM($J$2:$J$12)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12" customWidth="1" min="4" max="4"/>
    <col width="14" customWidth="1" min="5" max="5"/>
    <col width="19" customWidth="1" min="6" max="6"/>
    <col width="18" customWidth="1" min="7" max="7"/>
    <col width="20" customWidth="1" min="8" max="8"/>
    <col width="15" customWidth="1" min="9" max="9"/>
    <col width="12" customWidth="1" min="10" max="10"/>
  </cols>
  <sheetData>
    <row r="1">
      <c r="A1" s="10" t="inlineStr">
        <is>
          <t>Technology</t>
        </is>
      </c>
      <c r="B1" s="10" t="inlineStr">
        <is>
          <t>Sites</t>
        </is>
      </c>
      <c r="C1" s="10" t="inlineStr">
        <is>
          <t>PlannedMWh</t>
        </is>
      </c>
      <c r="D1" s="10" t="inlineStr">
        <is>
          <t>ActualMWh</t>
        </is>
      </c>
      <c r="E1" s="10" t="inlineStr">
        <is>
          <t>AchievementPct</t>
        </is>
      </c>
      <c r="F1" s="10" t="inlineStr">
        <is>
          <t>PlannedRevenueLakh</t>
        </is>
      </c>
      <c r="G1" s="10" t="inlineStr">
        <is>
          <t>ActualRevenueLakh</t>
        </is>
      </c>
      <c r="H1" s="10" t="inlineStr">
        <is>
          <t>RevenueAchievementPct</t>
        </is>
      </c>
      <c r="I1" s="10" t="inlineStr">
        <is>
          <t>CurtailmentMWh</t>
        </is>
      </c>
      <c r="J1" s="10" t="inlineStr">
        <is>
          <t>OutageHours</t>
        </is>
      </c>
    </row>
    <row r="2">
      <c r="A2" t="inlineStr">
        <is>
          <t>Solar</t>
        </is>
      </c>
      <c r="B2">
        <f>COUNTIF(Sites!$D$2:$D$18,$A2)</f>
        <v/>
      </c>
      <c r="C2" s="11">
        <f>SUMIFS(Raw_Plan!$F$2:$F$120,Raw_Plan!$D$2:$D$120,$A2)</f>
        <v/>
      </c>
      <c r="D2" s="11">
        <f>SUMIFS(Raw_Actual!$F$2:$F$120,Raw_Actual!$D$2:$D$120,$A2)</f>
        <v/>
      </c>
      <c r="E2" s="13">
        <f>IF($C2=0,"",$D2/$C2)</f>
        <v/>
      </c>
      <c r="F2" s="12">
        <f>SUMIFS(Raw_Plan!$G$2:$G$120,Raw_Plan!$D$2:$D$120,$A2)</f>
        <v/>
      </c>
      <c r="G2" s="12">
        <f>SUMIFS(Raw_Actual!$G$2:$G$120,Raw_Actual!$D$2:$D$120,$A2)</f>
        <v/>
      </c>
      <c r="H2" s="13">
        <f>IF($F2=0,"",$G2/$F2)</f>
        <v/>
      </c>
      <c r="I2" s="11">
        <f>SUMIFS(Raw_Actual!$H$2:$H$120,Raw_Actual!$D$2:$D$120,$A2)</f>
        <v/>
      </c>
      <c r="J2" s="11">
        <f>SUMIFS(Raw_Actual!$I$2:$I$120,Raw_Actual!$D$2:$D$120,$A2)</f>
        <v/>
      </c>
    </row>
    <row r="3">
      <c r="A3" t="inlineStr">
        <is>
          <t>Wind</t>
        </is>
      </c>
      <c r="B3">
        <f>COUNTIF(Sites!$D$2:$D$18,$A3)</f>
        <v/>
      </c>
      <c r="C3" s="11">
        <f>SUMIFS(Raw_Plan!$F$2:$F$120,Raw_Plan!$D$2:$D$120,$A3)</f>
        <v/>
      </c>
      <c r="D3" s="11">
        <f>SUMIFS(Raw_Actual!$F$2:$F$120,Raw_Actual!$D$2:$D$120,$A3)</f>
        <v/>
      </c>
      <c r="E3" s="13">
        <f>IF($C3=0,"",$D3/$C3)</f>
        <v/>
      </c>
      <c r="F3" s="12">
        <f>SUMIFS(Raw_Plan!$G$2:$G$120,Raw_Plan!$D$2:$D$120,$A3)</f>
        <v/>
      </c>
      <c r="G3" s="12">
        <f>SUMIFS(Raw_Actual!$G$2:$G$120,Raw_Actual!$D$2:$D$120,$A3)</f>
        <v/>
      </c>
      <c r="H3" s="13">
        <f>IF($F3=0,"",$G3/$F3)</f>
        <v/>
      </c>
      <c r="I3" s="11">
        <f>SUMIFS(Raw_Actual!$H$2:$H$120,Raw_Actual!$D$2:$D$120,$A3)</f>
        <v/>
      </c>
      <c r="J3" s="11">
        <f>SUMIFS(Raw_Actual!$I$2:$I$120,Raw_Actual!$D$2:$D$120,$A3)</f>
        <v/>
      </c>
    </row>
    <row r="4">
      <c r="A4" t="inlineStr">
        <is>
          <t>Hybrid</t>
        </is>
      </c>
      <c r="B4">
        <f>COUNTIF(Sites!$D$2:$D$18,$A4)</f>
        <v/>
      </c>
      <c r="C4" s="11">
        <f>SUMIFS(Raw_Plan!$F$2:$F$120,Raw_Plan!$D$2:$D$120,$A4)</f>
        <v/>
      </c>
      <c r="D4" s="11">
        <f>SUMIFS(Raw_Actual!$F$2:$F$120,Raw_Actual!$D$2:$D$120,$A4)</f>
        <v/>
      </c>
      <c r="E4" s="13">
        <f>IF($C4=0,"",$D4/$C4)</f>
        <v/>
      </c>
      <c r="F4" s="12">
        <f>SUMIFS(Raw_Plan!$G$2:$G$120,Raw_Plan!$D$2:$D$120,$A4)</f>
        <v/>
      </c>
      <c r="G4" s="12">
        <f>SUMIFS(Raw_Actual!$G$2:$G$120,Raw_Actual!$D$2:$D$120,$A4)</f>
        <v/>
      </c>
      <c r="H4" s="13">
        <f>IF($F4=0,"",$G4/$F4)</f>
        <v/>
      </c>
      <c r="I4" s="11">
        <f>SUMIFS(Raw_Actual!$H$2:$H$120,Raw_Actual!$D$2:$D$120,$A4)</f>
        <v/>
      </c>
      <c r="J4" s="11">
        <f>SUMIFS(Raw_Actual!$I$2:$I$120,Raw_Actual!$D$2:$D$120,$A4)</f>
        <v/>
      </c>
    </row>
    <row r="5">
      <c r="A5" t="inlineStr">
        <is>
          <t>Rooftop</t>
        </is>
      </c>
      <c r="B5">
        <f>COUNTIF(Sites!$D$2:$D$18,$A5)</f>
        <v/>
      </c>
      <c r="C5" s="11">
        <f>SUMIFS(Raw_Plan!$F$2:$F$120,Raw_Plan!$D$2:$D$120,$A5)</f>
        <v/>
      </c>
      <c r="D5" s="11">
        <f>SUMIFS(Raw_Actual!$F$2:$F$120,Raw_Actual!$D$2:$D$120,$A5)</f>
        <v/>
      </c>
      <c r="E5" s="13">
        <f>IF($C5=0,"",$D5/$C5)</f>
        <v/>
      </c>
      <c r="F5" s="12">
        <f>SUMIFS(Raw_Plan!$G$2:$G$120,Raw_Plan!$D$2:$D$120,$A5)</f>
        <v/>
      </c>
      <c r="G5" s="12">
        <f>SUMIFS(Raw_Actual!$G$2:$G$120,Raw_Actual!$D$2:$D$120,$A5)</f>
        <v/>
      </c>
      <c r="H5" s="13">
        <f>IF($F5=0,"",$G5/$F5)</f>
        <v/>
      </c>
      <c r="I5" s="11">
        <f>SUMIFS(Raw_Actual!$H$2:$H$120,Raw_Actual!$D$2:$D$120,$A5)</f>
        <v/>
      </c>
      <c r="J5" s="11">
        <f>SUMIFS(Raw_Actual!$I$2:$I$120,Raw_Actual!$D$2:$D$120,$A5)</f>
        <v/>
      </c>
    </row>
    <row r="6">
      <c r="A6" s="14" t="inlineStr">
        <is>
          <t>TOTAL</t>
        </is>
      </c>
      <c r="B6" s="14">
        <f>SUM($B$2:$B$5)</f>
        <v/>
      </c>
      <c r="C6" s="15">
        <f>SUM($C$2:$C$5)</f>
        <v/>
      </c>
      <c r="D6" s="15">
        <f>SUM($D$2:$D$5)</f>
        <v/>
      </c>
      <c r="E6" s="16">
        <f>IF($C$6=0,"",$D$6/$C$6)</f>
        <v/>
      </c>
      <c r="F6" s="17">
        <f>SUM($F$2:$F$5)</f>
        <v/>
      </c>
      <c r="G6" s="17">
        <f>SUM($G$2:$G$5)</f>
        <v/>
      </c>
      <c r="H6" s="16">
        <f>IF($F$6=0,"",$G$6/$F$6)</f>
        <v/>
      </c>
      <c r="I6" s="15">
        <f>SUM($I$2:$I$5)</f>
        <v/>
      </c>
      <c r="J6" s="15">
        <f>SUM($J$2:$J$5)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0" customWidth="1" min="4" max="4"/>
    <col width="10" customWidth="1" min="5" max="5"/>
  </cols>
  <sheetData>
    <row r="1">
      <c r="A1" s="10" t="inlineStr">
        <is>
          <t>Check</t>
        </is>
      </c>
      <c r="B1" s="10" t="inlineStr">
        <is>
          <t>Expected</t>
        </is>
      </c>
      <c r="C1" s="10" t="inlineStr">
        <is>
          <t>Got</t>
        </is>
      </c>
      <c r="D1" s="10" t="inlineStr">
        <is>
          <t>Diff</t>
        </is>
      </c>
      <c r="E1" s="10" t="inlineStr">
        <is>
          <t>Status</t>
        </is>
      </c>
    </row>
    <row r="2">
      <c r="A2" t="inlineStr">
        <is>
          <t>Raw_Plan row count (sites x months)</t>
        </is>
      </c>
      <c r="B2" s="11" t="n">
        <v>119</v>
      </c>
      <c r="C2" s="11">
        <f>COUNTA(Raw_Plan!$A$2:$A$120)</f>
        <v/>
      </c>
      <c r="D2" s="11">
        <f>$C2-$B2</f>
        <v/>
      </c>
      <c r="E2">
        <f>IF($D2=0,"PASS","FAIL")</f>
        <v/>
      </c>
    </row>
    <row r="3">
      <c r="A3" t="inlineStr">
        <is>
          <t>Raw_Actual row count (sites x months)</t>
        </is>
      </c>
      <c r="B3" s="11" t="n">
        <v>119</v>
      </c>
      <c r="C3" s="11">
        <f>COUNTA(Raw_Actual!$A$2:$A$120)</f>
        <v/>
      </c>
      <c r="D3" s="11">
        <f>$C3-$B3</f>
        <v/>
      </c>
      <c r="E3">
        <f>IF($D3=0,"PASS","FAIL")</f>
        <v/>
      </c>
    </row>
    <row r="4">
      <c r="A4" t="inlineStr">
        <is>
          <t>Monthly planned total ties to Raw_Plan</t>
        </is>
      </c>
      <c r="B4" s="11">
        <f>SUM(Raw_Plan!$F$2:$F$120)</f>
        <v/>
      </c>
      <c r="C4" s="11">
        <f>SUM(Monthly!$C$2:$C$8)</f>
        <v/>
      </c>
      <c r="D4" s="11">
        <f>$C4-$B4</f>
        <v/>
      </c>
      <c r="E4">
        <f>IF($D4=0,"PASS","FAIL")</f>
        <v/>
      </c>
    </row>
    <row r="5">
      <c r="A5" t="inlineStr">
        <is>
          <t>Monthly actual total ties to Raw_Actual</t>
        </is>
      </c>
      <c r="B5" s="11">
        <f>SUM(Raw_Actual!$F$2:$F$120)</f>
        <v/>
      </c>
      <c r="C5" s="11">
        <f>SUM(Monthly!$D$2:$D$8)</f>
        <v/>
      </c>
      <c r="D5" s="11">
        <f>$C5-$B5</f>
        <v/>
      </c>
      <c r="E5">
        <f>IF($D5=0,"PASS","FAIL")</f>
        <v/>
      </c>
    </row>
    <row r="6">
      <c r="A6" t="inlineStr">
        <is>
          <t>State planned total ties to Raw_Plan</t>
        </is>
      </c>
      <c r="B6" s="11">
        <f>SUM(Raw_Plan!$F$2:$F$120)</f>
        <v/>
      </c>
      <c r="C6" s="11">
        <f>SUM(State!$C$2:$C$12)</f>
        <v/>
      </c>
      <c r="D6" s="11">
        <f>$C6-$B6</f>
        <v/>
      </c>
      <c r="E6">
        <f>IF($D6=0,"PASS","FAIL")</f>
        <v/>
      </c>
    </row>
    <row r="7">
      <c r="A7" t="inlineStr">
        <is>
          <t>Technology actual total ties to Raw_Actual</t>
        </is>
      </c>
      <c r="B7" s="11">
        <f>SUM(Raw_Actual!$F$2:$F$120)</f>
        <v/>
      </c>
      <c r="C7" s="11">
        <f>SUM(Technology!$D$2:$D$5)</f>
        <v/>
      </c>
      <c r="D7" s="11">
        <f>$C7-$B7</f>
        <v/>
      </c>
      <c r="E7">
        <f>IF($D7=0,"PASS","FAIL")</f>
        <v/>
      </c>
    </row>
    <row r="8">
      <c r="A8" t="inlineStr">
        <is>
          <t>Rows with negative actual generation</t>
        </is>
      </c>
      <c r="B8" s="11" t="n">
        <v>0</v>
      </c>
      <c r="C8" s="11">
        <f>COUNTIF(Raw_Actual!$F$2:$F$120,"&lt;0")</f>
        <v/>
      </c>
      <c r="D8" s="11">
        <f>$C8-$B8</f>
        <v/>
      </c>
      <c r="E8">
        <f>IF($D8=0,"PASS","FAIL")</f>
        <v/>
      </c>
    </row>
    <row r="9">
      <c r="A9" t="inlineStr">
        <is>
          <t>Achievement % outside 0-150%</t>
        </is>
      </c>
      <c r="B9" s="11" t="n">
        <v>0</v>
      </c>
      <c r="C9" s="11">
        <f>COUNTIF(Raw_Actual!$K$2:$K$120,"&gt;1.5")+COUNTIF(Raw_Actual!$K$2:$K$120,"&lt;0")</f>
        <v/>
      </c>
      <c r="D9" s="11">
        <f>$C9-$B9</f>
        <v/>
      </c>
      <c r="E9">
        <f>IF($D9=0,"PASS","FAIL")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2026-10-29T02:42:05+00:00Z</dcterms:created>
  <dcterms:modified xmlns:dcterms="http://purl.org/dc/terms/" xmlns:xsi="http://www.w3.org/2001/XMLSchema-instance" xsi:type="dcterms:W3CDTF">2026-10-29T02:42:05+00:00Z</dcterms:modified>
</cp:coreProperties>
</file>