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Income" sheetId="3" state="visible" r:id="rId3"/>
    <sheet xmlns:r="http://schemas.openxmlformats.org/officeDocument/2006/relationships" name="Raw_Expense" sheetId="4" state="visible" r:id="rId4"/>
    <sheet xmlns:r="http://schemas.openxmlformats.org/officeDocument/2006/relationships" name="Enterprise_Profit" sheetId="5" state="visible" r:id="rId5"/>
    <sheet xmlns:r="http://schemas.openxmlformats.org/officeDocument/2006/relationships" name="Income_Activity" sheetId="6" state="visible" r:id="rId6"/>
    <sheet xmlns:r="http://schemas.openxmlformats.org/officeDocument/2006/relationships" name="Expense_Category" sheetId="7" state="visible" r:id="rId7"/>
    <sheet xmlns:r="http://schemas.openxmlformats.org/officeDocument/2006/relationships" name="Checks" sheetId="8" state="visible" r:id="rId8"/>
  </sheets>
  <definedNames>
    <definedName name="_xlnm._FilterDatabase" localSheetId="2" hidden="1">'Raw_Income'!$A$1:$G$173</definedName>
    <definedName name="_xlnm._FilterDatabase" localSheetId="3" hidden="1">'Raw_Expense'!$A$1:$G$165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Enterprise</a:t>
            </a:r>
          </a:p>
        </rich>
      </tx>
    </title>
    <plotArea>
      <barChart>
        <barDir val="col"/>
        <grouping val="clustered"/>
        <ser>
          <idx val="0"/>
          <order val="0"/>
          <tx>
            <v>Profit</v>
          </tx>
          <spPr>
            <a:ln xmlns:a="http://schemas.openxmlformats.org/drawingml/2006/main">
              <a:prstDash val="solid"/>
            </a:ln>
          </spPr>
          <cat>
            <numRef>
              <f>'Enterprise_Profit'!$A$2:$A$6</f>
            </numRef>
          </cat>
          <val>
            <numRef>
              <f>'Enterprise_Profit'!$F$2:$F$6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v>Income</v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ser>
          <idx val="1"/>
          <order val="1"/>
          <tx>
            <v>Expense</v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'Dashboard'!$C$12:$C$15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v>Expenses</v>
          </tx>
          <spPr>
            <a:ln xmlns:a="http://schemas.openxmlformats.org/drawingml/2006/main">
              <a:prstDash val="solid"/>
            </a:ln>
          </spPr>
          <cat>
            <numRef>
              <f>'Expense_Category'!$A$2:$A$9</f>
            </numRef>
          </cat>
          <val>
            <numRef>
              <f>'Expense_Category'!$F$2:$F$9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FarmPulse — Farm Ops &amp; Finance Dashboard (SYNTHETIC DEMO)</t>
        </is>
      </c>
    </row>
    <row r="3">
      <c r="A3" t="inlineStr">
        <is>
          <t>Fictional farm data (seed 20261026). No client data is used anywhere.</t>
        </is>
      </c>
    </row>
    <row r="4">
      <c r="A4" t="inlineStr">
        <is>
          <t>Built around a real brief shape: one interactive dashboard from</t>
        </is>
      </c>
    </row>
    <row r="5">
      <c r="A5" t="inlineStr">
        <is>
          <t>Excel/CSV farm data — income by activity, expenses by category,</t>
        </is>
      </c>
    </row>
    <row r="6">
      <c r="A6" t="inlineStr">
        <is>
          <t>profit by enterprise over time, with drill-through to transactions.</t>
        </is>
      </c>
    </row>
    <row r="7">
      <c r="A7" t="inlineStr"/>
    </row>
    <row r="8">
      <c r="A8" t="inlineStr">
        <is>
          <t>HOW TO REFRESH: paste new income rows into Raw_Income and new</t>
        </is>
      </c>
    </row>
    <row r="9">
      <c r="A9" t="inlineStr">
        <is>
          <t>expense rows into Raw_Expense (same columns, rows 2-1000). Every</t>
        </is>
      </c>
    </row>
    <row r="10">
      <c r="A10" t="inlineStr">
        <is>
          <t>summary, KPI and chart updates by formula — nothing is pasted</t>
        </is>
      </c>
    </row>
    <row r="11">
      <c r="A11" t="inlineStr">
        <is>
          <t>as values. Keep the Quarter label format YYYY-Qn.</t>
        </is>
      </c>
    </row>
    <row r="12">
      <c r="A12" t="inlineStr"/>
    </row>
    <row r="13">
      <c r="A13" t="inlineStr">
        <is>
          <t>HOW TO FILTER / DRILL: use the AutoFilter on any Raw sheet column</t>
        </is>
      </c>
    </row>
    <row r="14">
      <c r="A14" t="inlineStr">
        <is>
          <t>(Season/Quarter, Enterprise, Paddock/Herd, Cost Centre) to drill</t>
        </is>
      </c>
    </row>
    <row r="15">
      <c r="A15" t="inlineStr">
        <is>
          <t>from a summary figure down to its transactions. The Dashboard</t>
        </is>
      </c>
    </row>
    <row r="16">
      <c r="A16" t="inlineStr">
        <is>
          <t>quarterly table is the overview; Raw sheets are the detail.</t>
        </is>
      </c>
    </row>
    <row r="17">
      <c r="A17" t="inlineStr"/>
    </row>
    <row r="18">
      <c r="A18" t="inlineStr">
        <is>
          <t>TRAFFIC LIGHTS: Enterprise_Profit Margin is green above 20%,</t>
        </is>
      </c>
    </row>
    <row r="19">
      <c r="A19" t="inlineStr">
        <is>
          <t>red below 0%. A negative enterprise margin means that enterprise</t>
        </is>
      </c>
    </row>
    <row r="20">
      <c r="A20" t="inlineStr">
        <is>
          <t>lost money over the four quarters — check its expense mix.</t>
        </is>
      </c>
    </row>
    <row r="21">
      <c r="A21" t="inlineStr"/>
    </row>
    <row r="22">
      <c r="A22" t="inlineStr">
        <is>
          <t>POWER BI PATH: the same model maps 1:1 to Power BI — see</t>
        </is>
      </c>
    </row>
    <row r="23">
      <c r="A23" t="inlineStr">
        <is>
          <t>powerbi/MEASURES.md for the DAX measures (Total Income,</t>
        </is>
      </c>
    </row>
    <row r="24">
      <c r="A24" t="inlineStr">
        <is>
          <t>Total Expenses, Net Profit, Margin %, profit by enterprise).</t>
        </is>
      </c>
    </row>
    <row r="25">
      <c r="A25" t="inlineStr">
        <is>
          <t>Import Raw_Income + Raw_Expense as two fact tables and the</t>
        </is>
      </c>
    </row>
    <row r="26">
      <c r="A26" t="inlineStr">
        <is>
          <t>measures reproduce this workbook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FarmPulse Dashboard — income, expenses &amp; profit by enterprise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Income</t>
        </is>
      </c>
      <c r="B4" s="3">
        <f>SUM(Raw_Income!$G$2:$G$1000)</f>
        <v/>
      </c>
    </row>
    <row r="5">
      <c r="A5" t="inlineStr">
        <is>
          <t>Total Expenses</t>
        </is>
      </c>
      <c r="B5" s="3">
        <f>SUM(Raw_Expense!$G$2:$G$1000)</f>
        <v/>
      </c>
    </row>
    <row r="6">
      <c r="A6" t="inlineStr">
        <is>
          <t>Net Profit</t>
        </is>
      </c>
      <c r="B6" s="3">
        <f>B4-B5</f>
        <v/>
      </c>
    </row>
    <row r="7">
      <c r="A7" t="inlineStr">
        <is>
          <t>Margin</t>
        </is>
      </c>
      <c r="B7" s="4">
        <f>IF(B4=0,0,B6/B4)</f>
        <v/>
      </c>
    </row>
    <row r="8">
      <c r="A8" t="inlineStr">
        <is>
          <t>Best Enterprise (profit)</t>
        </is>
      </c>
      <c r="B8">
        <f>INDEX(Enterprise_Profit!$A$2:$A$6,MATCH(MAX(Enterprise_Profit!$F$2:$F$6),Enterprise_Profit!$F$2:$F$6,0))</f>
        <v/>
      </c>
    </row>
    <row r="9">
      <c r="A9" t="inlineStr">
        <is>
          <t>Expense Ratio</t>
        </is>
      </c>
      <c r="B9" s="4">
        <f>IF(B4=0,0,B5/B4)</f>
        <v/>
      </c>
    </row>
    <row r="11">
      <c r="A11" s="2" t="inlineStr">
        <is>
          <t>Quarter</t>
        </is>
      </c>
      <c r="B11" s="2" t="inlineStr">
        <is>
          <t>Income</t>
        </is>
      </c>
      <c r="C11" s="2" t="inlineStr">
        <is>
          <t>Expense</t>
        </is>
      </c>
      <c r="D11" s="2" t="inlineStr">
        <is>
          <t>Profit</t>
        </is>
      </c>
    </row>
    <row r="12">
      <c r="A12" t="inlineStr">
        <is>
          <t>2025-Q3</t>
        </is>
      </c>
      <c r="B12" s="3">
        <f>SUMIFS(Raw_Income!$G$2:$G$1000,Raw_Income!$B$2:$B$1000,$A12)</f>
        <v/>
      </c>
      <c r="C12" s="3">
        <f>SUMIFS(Raw_Expense!$G$2:$G$1000,Raw_Expense!$B$2:$B$1000,$A12)</f>
        <v/>
      </c>
      <c r="D12" s="3">
        <f>B12-C12</f>
        <v/>
      </c>
    </row>
    <row r="13">
      <c r="A13" t="inlineStr">
        <is>
          <t>2025-Q4</t>
        </is>
      </c>
      <c r="B13" s="3">
        <f>SUMIFS(Raw_Income!$G$2:$G$1000,Raw_Income!$B$2:$B$1000,$A13)</f>
        <v/>
      </c>
      <c r="C13" s="3">
        <f>SUMIFS(Raw_Expense!$G$2:$G$1000,Raw_Expense!$B$2:$B$1000,$A13)</f>
        <v/>
      </c>
      <c r="D13" s="3">
        <f>B13-C13</f>
        <v/>
      </c>
    </row>
    <row r="14">
      <c r="A14" t="inlineStr">
        <is>
          <t>2026-Q1</t>
        </is>
      </c>
      <c r="B14" s="3">
        <f>SUMIFS(Raw_Income!$G$2:$G$1000,Raw_Income!$B$2:$B$1000,$A14)</f>
        <v/>
      </c>
      <c r="C14" s="3">
        <f>SUMIFS(Raw_Expense!$G$2:$G$1000,Raw_Expense!$B$2:$B$1000,$A14)</f>
        <v/>
      </c>
      <c r="D14" s="3">
        <f>B14-C14</f>
        <v/>
      </c>
    </row>
    <row r="15">
      <c r="A15" t="inlineStr">
        <is>
          <t>2026-Q2</t>
        </is>
      </c>
      <c r="B15" s="3">
        <f>SUMIFS(Raw_Income!$G$2:$G$1000,Raw_Income!$B$2:$B$1000,$A15)</f>
        <v/>
      </c>
      <c r="C15" s="3">
        <f>SUMIFS(Raw_Expense!$G$2:$G$1000,Raw_Expense!$B$2:$B$1000,$A15)</f>
        <v/>
      </c>
      <c r="D15" s="3">
        <f>B15-C15</f>
        <v/>
      </c>
    </row>
    <row r="16">
      <c r="A16" s="5" t="inlineStr">
        <is>
          <t>TOTAL</t>
        </is>
      </c>
      <c r="B16" s="6">
        <f>SUM(B12:B15)</f>
        <v/>
      </c>
      <c r="C16" s="6">
        <f>SUM(C12:C15)</f>
        <v/>
      </c>
      <c r="D16" s="6">
        <f>SUM(D12:D15)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Quarter</t>
        </is>
      </c>
      <c r="C1" s="2" t="inlineStr">
        <is>
          <t>Enterprise</t>
        </is>
      </c>
      <c r="D1" s="2" t="inlineStr">
        <is>
          <t>Activity</t>
        </is>
      </c>
      <c r="E1" s="2" t="inlineStr">
        <is>
          <t>Paddock/Herd</t>
        </is>
      </c>
      <c r="F1" s="2" t="inlineStr">
        <is>
          <t>Cost Centre</t>
        </is>
      </c>
      <c r="G1" s="2" t="inlineStr">
        <is>
          <t>Amount</t>
        </is>
      </c>
    </row>
    <row r="2">
      <c r="A2" t="inlineStr">
        <is>
          <t>2025-07-15</t>
        </is>
      </c>
      <c r="B2" t="inlineStr">
        <is>
          <t>2025-Q3</t>
        </is>
      </c>
      <c r="C2" t="inlineStr">
        <is>
          <t>Dairy</t>
        </is>
      </c>
      <c r="D2" t="inlineStr">
        <is>
          <t>Milk Sales</t>
        </is>
      </c>
      <c r="E2" t="inlineStr">
        <is>
          <t>Paddock B</t>
        </is>
      </c>
      <c r="F2" t="inlineStr">
        <is>
          <t>CC-200 Feed &amp; Vet</t>
        </is>
      </c>
      <c r="G2" s="3" t="n">
        <v>7854.72</v>
      </c>
    </row>
    <row r="3">
      <c r="A3" t="inlineStr">
        <is>
          <t>2025-11-21</t>
        </is>
      </c>
      <c r="B3" t="inlineStr">
        <is>
          <t>2025-Q4</t>
        </is>
      </c>
      <c r="C3" t="inlineStr">
        <is>
          <t>Dairy</t>
        </is>
      </c>
      <c r="D3" t="inlineStr">
        <is>
          <t>Calf Sales</t>
        </is>
      </c>
      <c r="E3" t="inlineStr">
        <is>
          <t>Herd 2</t>
        </is>
      </c>
      <c r="F3" t="inlineStr">
        <is>
          <t>CC-100 Operations</t>
        </is>
      </c>
      <c r="G3" s="3" t="n">
        <v>330.28</v>
      </c>
    </row>
    <row r="4">
      <c r="A4" t="inlineStr">
        <is>
          <t>2026-02-21</t>
        </is>
      </c>
      <c r="B4" t="inlineStr">
        <is>
          <t>2026-Q1</t>
        </is>
      </c>
      <c r="C4" t="inlineStr">
        <is>
          <t>Dairy</t>
        </is>
      </c>
      <c r="D4" t="inlineStr">
        <is>
          <t>Milk Sales</t>
        </is>
      </c>
      <c r="E4" t="inlineStr">
        <is>
          <t>Herd 2</t>
        </is>
      </c>
      <c r="F4" t="inlineStr">
        <is>
          <t>CC-300 Machinery</t>
        </is>
      </c>
      <c r="G4" s="3" t="n">
        <v>3304.92</v>
      </c>
    </row>
    <row r="5">
      <c r="A5" t="inlineStr">
        <is>
          <t>2026-04-25</t>
        </is>
      </c>
      <c r="B5" t="inlineStr">
        <is>
          <t>2026-Q2</t>
        </is>
      </c>
      <c r="C5" t="inlineStr">
        <is>
          <t>Dairy</t>
        </is>
      </c>
      <c r="D5" t="inlineStr">
        <is>
          <t>Calf Sales</t>
        </is>
      </c>
      <c r="E5" t="inlineStr">
        <is>
          <t>Flock A</t>
        </is>
      </c>
      <c r="F5" t="inlineStr">
        <is>
          <t>CC-300 Machinery</t>
        </is>
      </c>
      <c r="G5" s="3" t="n">
        <v>9473.66</v>
      </c>
    </row>
    <row r="6">
      <c r="A6" t="inlineStr">
        <is>
          <t>2025-08-13</t>
        </is>
      </c>
      <c r="B6" t="inlineStr">
        <is>
          <t>2025-Q3</t>
        </is>
      </c>
      <c r="C6" t="inlineStr">
        <is>
          <t>Wheat</t>
        </is>
      </c>
      <c r="D6" t="inlineStr">
        <is>
          <t>Grain Sales</t>
        </is>
      </c>
      <c r="E6" t="inlineStr">
        <is>
          <t>Flock A</t>
        </is>
      </c>
      <c r="F6" t="inlineStr">
        <is>
          <t>CC-300 Machinery</t>
        </is>
      </c>
      <c r="G6" s="3" t="n">
        <v>739.34</v>
      </c>
    </row>
    <row r="7">
      <c r="A7" t="inlineStr">
        <is>
          <t>2025-10-28</t>
        </is>
      </c>
      <c r="B7" t="inlineStr">
        <is>
          <t>2025-Q4</t>
        </is>
      </c>
      <c r="C7" t="inlineStr">
        <is>
          <t>Wheat</t>
        </is>
      </c>
      <c r="D7" t="inlineStr">
        <is>
          <t>Straw Sales</t>
        </is>
      </c>
      <c r="E7" t="inlineStr">
        <is>
          <t>Paddock C</t>
        </is>
      </c>
      <c r="F7" t="inlineStr">
        <is>
          <t>CC-400 Admin</t>
        </is>
      </c>
      <c r="G7" s="3" t="n">
        <v>9352.559999999999</v>
      </c>
    </row>
    <row r="8">
      <c r="A8" t="inlineStr">
        <is>
          <t>2026-01-27</t>
        </is>
      </c>
      <c r="B8" t="inlineStr">
        <is>
          <t>2026-Q1</t>
        </is>
      </c>
      <c r="C8" t="inlineStr">
        <is>
          <t>Wheat</t>
        </is>
      </c>
      <c r="D8" t="inlineStr">
        <is>
          <t>Grain Sales</t>
        </is>
      </c>
      <c r="E8" t="inlineStr">
        <is>
          <t>Herd 1</t>
        </is>
      </c>
      <c r="F8" t="inlineStr">
        <is>
          <t>CC-200 Feed &amp; Vet</t>
        </is>
      </c>
      <c r="G8" s="3" t="n">
        <v>7378.3</v>
      </c>
    </row>
    <row r="9">
      <c r="A9" t="inlineStr">
        <is>
          <t>2026-05-23</t>
        </is>
      </c>
      <c r="B9" t="inlineStr">
        <is>
          <t>2026-Q2</t>
        </is>
      </c>
      <c r="C9" t="inlineStr">
        <is>
          <t>Wheat</t>
        </is>
      </c>
      <c r="D9" t="inlineStr">
        <is>
          <t>Straw Sales</t>
        </is>
      </c>
      <c r="E9" t="inlineStr">
        <is>
          <t>Paddock C</t>
        </is>
      </c>
      <c r="F9" t="inlineStr">
        <is>
          <t>CC-200 Feed &amp; Vet</t>
        </is>
      </c>
      <c r="G9" s="3" t="n">
        <v>7230.95</v>
      </c>
    </row>
    <row r="10">
      <c r="A10" t="inlineStr">
        <is>
          <t>2025-08-20</t>
        </is>
      </c>
      <c r="B10" t="inlineStr">
        <is>
          <t>2025-Q3</t>
        </is>
      </c>
      <c r="C10" t="inlineStr">
        <is>
          <t>Vegetables</t>
        </is>
      </c>
      <c r="D10" t="inlineStr">
        <is>
          <t>Vegetable Sales</t>
        </is>
      </c>
      <c r="E10" t="inlineStr">
        <is>
          <t>Herd 1</t>
        </is>
      </c>
      <c r="F10" t="inlineStr">
        <is>
          <t>CC-300 Machinery</t>
        </is>
      </c>
      <c r="G10" s="3" t="n">
        <v>2884.73</v>
      </c>
    </row>
    <row r="11">
      <c r="A11" t="inlineStr">
        <is>
          <t>2025-11-13</t>
        </is>
      </c>
      <c r="B11" t="inlineStr">
        <is>
          <t>2025-Q4</t>
        </is>
      </c>
      <c r="C11" t="inlineStr">
        <is>
          <t>Vegetables</t>
        </is>
      </c>
      <c r="D11" t="inlineStr">
        <is>
          <t>Market Stall Sales</t>
        </is>
      </c>
      <c r="E11" t="inlineStr">
        <is>
          <t>Paddock C</t>
        </is>
      </c>
      <c r="F11" t="inlineStr">
        <is>
          <t>CC-200 Feed &amp; Vet</t>
        </is>
      </c>
      <c r="G11" s="3" t="n">
        <v>4161.67</v>
      </c>
    </row>
    <row r="12">
      <c r="A12" t="inlineStr">
        <is>
          <t>2026-02-09</t>
        </is>
      </c>
      <c r="B12" t="inlineStr">
        <is>
          <t>2026-Q1</t>
        </is>
      </c>
      <c r="C12" t="inlineStr">
        <is>
          <t>Vegetables</t>
        </is>
      </c>
      <c r="D12" t="inlineStr">
        <is>
          <t>Vegetable Sales</t>
        </is>
      </c>
      <c r="E12" t="inlineStr">
        <is>
          <t>Herd 2</t>
        </is>
      </c>
      <c r="F12" t="inlineStr">
        <is>
          <t>CC-400 Admin</t>
        </is>
      </c>
      <c r="G12" s="3" t="n">
        <v>8952.120000000001</v>
      </c>
    </row>
    <row r="13">
      <c r="A13" t="inlineStr">
        <is>
          <t>2026-05-30</t>
        </is>
      </c>
      <c r="B13" t="inlineStr">
        <is>
          <t>2026-Q2</t>
        </is>
      </c>
      <c r="C13" t="inlineStr">
        <is>
          <t>Vegetables</t>
        </is>
      </c>
      <c r="D13" t="inlineStr">
        <is>
          <t>Market Stall Sales</t>
        </is>
      </c>
      <c r="E13" t="inlineStr">
        <is>
          <t>Paddock C</t>
        </is>
      </c>
      <c r="F13" t="inlineStr">
        <is>
          <t>CC-200 Feed &amp; Vet</t>
        </is>
      </c>
      <c r="G13" s="3" t="n">
        <v>8891.370000000001</v>
      </c>
    </row>
    <row r="14">
      <c r="A14" t="inlineStr">
        <is>
          <t>2025-07-20</t>
        </is>
      </c>
      <c r="B14" t="inlineStr">
        <is>
          <t>2025-Q3</t>
        </is>
      </c>
      <c r="C14" t="inlineStr">
        <is>
          <t>Poultry</t>
        </is>
      </c>
      <c r="D14" t="inlineStr">
        <is>
          <t>Egg Sales</t>
        </is>
      </c>
      <c r="E14" t="inlineStr">
        <is>
          <t>Herd 2</t>
        </is>
      </c>
      <c r="F14" t="inlineStr">
        <is>
          <t>CC-200 Feed &amp; Vet</t>
        </is>
      </c>
      <c r="G14" s="3" t="n">
        <v>5466.42</v>
      </c>
    </row>
    <row r="15">
      <c r="A15" t="inlineStr">
        <is>
          <t>2025-10-29</t>
        </is>
      </c>
      <c r="B15" t="inlineStr">
        <is>
          <t>2025-Q4</t>
        </is>
      </c>
      <c r="C15" t="inlineStr">
        <is>
          <t>Poultry</t>
        </is>
      </c>
      <c r="D15" t="inlineStr">
        <is>
          <t>Broiler Sales</t>
        </is>
      </c>
      <c r="E15" t="inlineStr">
        <is>
          <t>Herd 1</t>
        </is>
      </c>
      <c r="F15" t="inlineStr">
        <is>
          <t>CC-200 Feed &amp; Vet</t>
        </is>
      </c>
      <c r="G15" s="3" t="n">
        <v>7231.11</v>
      </c>
    </row>
    <row r="16">
      <c r="A16" t="inlineStr">
        <is>
          <t>2026-02-24</t>
        </is>
      </c>
      <c r="B16" t="inlineStr">
        <is>
          <t>2026-Q1</t>
        </is>
      </c>
      <c r="C16" t="inlineStr">
        <is>
          <t>Poultry</t>
        </is>
      </c>
      <c r="D16" t="inlineStr">
        <is>
          <t>Egg Sales</t>
        </is>
      </c>
      <c r="E16" t="inlineStr">
        <is>
          <t>Flock A</t>
        </is>
      </c>
      <c r="F16" t="inlineStr">
        <is>
          <t>CC-400 Admin</t>
        </is>
      </c>
      <c r="G16" s="3" t="n">
        <v>1286.63</v>
      </c>
    </row>
    <row r="17">
      <c r="A17" t="inlineStr">
        <is>
          <t>2026-05-10</t>
        </is>
      </c>
      <c r="B17" t="inlineStr">
        <is>
          <t>2026-Q2</t>
        </is>
      </c>
      <c r="C17" t="inlineStr">
        <is>
          <t>Poultry</t>
        </is>
      </c>
      <c r="D17" t="inlineStr">
        <is>
          <t>Broiler Sales</t>
        </is>
      </c>
      <c r="E17" t="inlineStr">
        <is>
          <t>Flock A</t>
        </is>
      </c>
      <c r="F17" t="inlineStr">
        <is>
          <t>CC-100 Operations</t>
        </is>
      </c>
      <c r="G17" s="3" t="n">
        <v>6450.95</v>
      </c>
    </row>
    <row r="18">
      <c r="A18" t="inlineStr">
        <is>
          <t>2025-07-29</t>
        </is>
      </c>
      <c r="B18" t="inlineStr">
        <is>
          <t>2025-Q3</t>
        </is>
      </c>
      <c r="C18" t="inlineStr">
        <is>
          <t>Sheep</t>
        </is>
      </c>
      <c r="D18" t="inlineStr">
        <is>
          <t>Wool Sales</t>
        </is>
      </c>
      <c r="E18" t="inlineStr">
        <is>
          <t>Paddock A</t>
        </is>
      </c>
      <c r="F18" t="inlineStr">
        <is>
          <t>CC-400 Admin</t>
        </is>
      </c>
      <c r="G18" s="3" t="n">
        <v>6475.55</v>
      </c>
    </row>
    <row r="19">
      <c r="A19" t="inlineStr">
        <is>
          <t>2025-11-20</t>
        </is>
      </c>
      <c r="B19" t="inlineStr">
        <is>
          <t>2025-Q4</t>
        </is>
      </c>
      <c r="C19" t="inlineStr">
        <is>
          <t>Sheep</t>
        </is>
      </c>
      <c r="D19" t="inlineStr">
        <is>
          <t>Lamb Sales</t>
        </is>
      </c>
      <c r="E19" t="inlineStr">
        <is>
          <t>Paddock B</t>
        </is>
      </c>
      <c r="F19" t="inlineStr">
        <is>
          <t>CC-100 Operations</t>
        </is>
      </c>
      <c r="G19" s="3" t="n">
        <v>2833.31</v>
      </c>
    </row>
    <row r="20">
      <c r="A20" t="inlineStr">
        <is>
          <t>2026-02-05</t>
        </is>
      </c>
      <c r="B20" t="inlineStr">
        <is>
          <t>2026-Q1</t>
        </is>
      </c>
      <c r="C20" t="inlineStr">
        <is>
          <t>Sheep</t>
        </is>
      </c>
      <c r="D20" t="inlineStr">
        <is>
          <t>Wool Sales</t>
        </is>
      </c>
      <c r="E20" t="inlineStr">
        <is>
          <t>Herd 2</t>
        </is>
      </c>
      <c r="F20" t="inlineStr">
        <is>
          <t>CC-100 Operations</t>
        </is>
      </c>
      <c r="G20" s="3" t="n">
        <v>3539.4</v>
      </c>
    </row>
    <row r="21">
      <c r="A21" t="inlineStr">
        <is>
          <t>2026-04-13</t>
        </is>
      </c>
      <c r="B21" t="inlineStr">
        <is>
          <t>2026-Q2</t>
        </is>
      </c>
      <c r="C21" t="inlineStr">
        <is>
          <t>Sheep</t>
        </is>
      </c>
      <c r="D21" t="inlineStr">
        <is>
          <t>Lamb Sales</t>
        </is>
      </c>
      <c r="E21" t="inlineStr">
        <is>
          <t>Herd 2</t>
        </is>
      </c>
      <c r="F21" t="inlineStr">
        <is>
          <t>CC-300 Machinery</t>
        </is>
      </c>
      <c r="G21" s="3" t="n">
        <v>2972.71</v>
      </c>
    </row>
    <row r="22">
      <c r="A22" t="inlineStr">
        <is>
          <t>2025-09-30</t>
        </is>
      </c>
      <c r="B22" t="inlineStr">
        <is>
          <t>2025-Q3</t>
        </is>
      </c>
      <c r="C22" t="inlineStr">
        <is>
          <t>Dairy</t>
        </is>
      </c>
      <c r="D22" t="inlineStr">
        <is>
          <t>Milk Sales</t>
        </is>
      </c>
      <c r="E22" t="inlineStr">
        <is>
          <t>Herd 1</t>
        </is>
      </c>
      <c r="F22" t="inlineStr">
        <is>
          <t>CC-100 Operations</t>
        </is>
      </c>
      <c r="G22" s="3" t="n">
        <v>4077.75</v>
      </c>
    </row>
    <row r="23">
      <c r="A23" t="inlineStr">
        <is>
          <t>2025-11-07</t>
        </is>
      </c>
      <c r="B23" t="inlineStr">
        <is>
          <t>2025-Q4</t>
        </is>
      </c>
      <c r="C23" t="inlineStr">
        <is>
          <t>Dairy</t>
        </is>
      </c>
      <c r="D23" t="inlineStr">
        <is>
          <t>Calf Sales</t>
        </is>
      </c>
      <c r="E23" t="inlineStr">
        <is>
          <t>Paddock A</t>
        </is>
      </c>
      <c r="F23" t="inlineStr">
        <is>
          <t>CC-300 Machinery</t>
        </is>
      </c>
      <c r="G23" s="3" t="n">
        <v>5112.61</v>
      </c>
    </row>
    <row r="24">
      <c r="A24" t="inlineStr">
        <is>
          <t>2026-01-11</t>
        </is>
      </c>
      <c r="B24" t="inlineStr">
        <is>
          <t>2026-Q1</t>
        </is>
      </c>
      <c r="C24" t="inlineStr">
        <is>
          <t>Dairy</t>
        </is>
      </c>
      <c r="D24" t="inlineStr">
        <is>
          <t>Milk Sales</t>
        </is>
      </c>
      <c r="E24" t="inlineStr">
        <is>
          <t>Herd 2</t>
        </is>
      </c>
      <c r="F24" t="inlineStr">
        <is>
          <t>CC-300 Machinery</t>
        </is>
      </c>
      <c r="G24" s="3" t="n">
        <v>5568.55</v>
      </c>
    </row>
    <row r="25">
      <c r="A25" t="inlineStr">
        <is>
          <t>2026-06-12</t>
        </is>
      </c>
      <c r="B25" t="inlineStr">
        <is>
          <t>2026-Q2</t>
        </is>
      </c>
      <c r="C25" t="inlineStr">
        <is>
          <t>Dairy</t>
        </is>
      </c>
      <c r="D25" t="inlineStr">
        <is>
          <t>Calf Sales</t>
        </is>
      </c>
      <c r="E25" t="inlineStr">
        <is>
          <t>Paddock A</t>
        </is>
      </c>
      <c r="F25" t="inlineStr">
        <is>
          <t>CC-100 Operations</t>
        </is>
      </c>
      <c r="G25" s="3" t="n">
        <v>4893.3</v>
      </c>
    </row>
    <row r="26">
      <c r="A26" t="inlineStr">
        <is>
          <t>2025-07-08</t>
        </is>
      </c>
      <c r="B26" t="inlineStr">
        <is>
          <t>2025-Q3</t>
        </is>
      </c>
      <c r="C26" t="inlineStr">
        <is>
          <t>Wheat</t>
        </is>
      </c>
      <c r="D26" t="inlineStr">
        <is>
          <t>Grain Sales</t>
        </is>
      </c>
      <c r="E26" t="inlineStr">
        <is>
          <t>Paddock A</t>
        </is>
      </c>
      <c r="F26" t="inlineStr">
        <is>
          <t>CC-300 Machinery</t>
        </is>
      </c>
      <c r="G26" s="3" t="n">
        <v>9249.540000000001</v>
      </c>
    </row>
    <row r="27">
      <c r="A27" t="inlineStr">
        <is>
          <t>2025-12-23</t>
        </is>
      </c>
      <c r="B27" t="inlineStr">
        <is>
          <t>2025-Q4</t>
        </is>
      </c>
      <c r="C27" t="inlineStr">
        <is>
          <t>Wheat</t>
        </is>
      </c>
      <c r="D27" t="inlineStr">
        <is>
          <t>Straw Sales</t>
        </is>
      </c>
      <c r="E27" t="inlineStr">
        <is>
          <t>Paddock B</t>
        </is>
      </c>
      <c r="F27" t="inlineStr">
        <is>
          <t>CC-400 Admin</t>
        </is>
      </c>
      <c r="G27" s="3" t="n">
        <v>3509.99</v>
      </c>
    </row>
    <row r="28">
      <c r="A28" t="inlineStr">
        <is>
          <t>2026-03-05</t>
        </is>
      </c>
      <c r="B28" t="inlineStr">
        <is>
          <t>2026-Q1</t>
        </is>
      </c>
      <c r="C28" t="inlineStr">
        <is>
          <t>Wheat</t>
        </is>
      </c>
      <c r="D28" t="inlineStr">
        <is>
          <t>Grain Sales</t>
        </is>
      </c>
      <c r="E28" t="inlineStr">
        <is>
          <t>Paddock A</t>
        </is>
      </c>
      <c r="F28" t="inlineStr">
        <is>
          <t>CC-200 Feed &amp; Vet</t>
        </is>
      </c>
      <c r="G28" s="3" t="n">
        <v>1019.37</v>
      </c>
    </row>
    <row r="29">
      <c r="A29" t="inlineStr">
        <is>
          <t>2026-05-07</t>
        </is>
      </c>
      <c r="B29" t="inlineStr">
        <is>
          <t>2026-Q2</t>
        </is>
      </c>
      <c r="C29" t="inlineStr">
        <is>
          <t>Wheat</t>
        </is>
      </c>
      <c r="D29" t="inlineStr">
        <is>
          <t>Straw Sales</t>
        </is>
      </c>
      <c r="E29" t="inlineStr">
        <is>
          <t>Herd 2</t>
        </is>
      </c>
      <c r="F29" t="inlineStr">
        <is>
          <t>CC-300 Machinery</t>
        </is>
      </c>
      <c r="G29" s="3" t="n">
        <v>7590.32</v>
      </c>
    </row>
    <row r="30">
      <c r="A30" t="inlineStr">
        <is>
          <t>2025-09-01</t>
        </is>
      </c>
      <c r="B30" t="inlineStr">
        <is>
          <t>2025-Q3</t>
        </is>
      </c>
      <c r="C30" t="inlineStr">
        <is>
          <t>Vegetables</t>
        </is>
      </c>
      <c r="D30" t="inlineStr">
        <is>
          <t>Vegetable Sales</t>
        </is>
      </c>
      <c r="E30" t="inlineStr">
        <is>
          <t>Herd 1</t>
        </is>
      </c>
      <c r="F30" t="inlineStr">
        <is>
          <t>CC-200 Feed &amp; Vet</t>
        </is>
      </c>
      <c r="G30" s="3" t="n">
        <v>3607.95</v>
      </c>
    </row>
    <row r="31">
      <c r="A31" t="inlineStr">
        <is>
          <t>2025-11-08</t>
        </is>
      </c>
      <c r="B31" t="inlineStr">
        <is>
          <t>2025-Q4</t>
        </is>
      </c>
      <c r="C31" t="inlineStr">
        <is>
          <t>Vegetables</t>
        </is>
      </c>
      <c r="D31" t="inlineStr">
        <is>
          <t>Market Stall Sales</t>
        </is>
      </c>
      <c r="E31" t="inlineStr">
        <is>
          <t>Herd 1</t>
        </is>
      </c>
      <c r="F31" t="inlineStr">
        <is>
          <t>CC-400 Admin</t>
        </is>
      </c>
      <c r="G31" s="3" t="n">
        <v>8459.5</v>
      </c>
    </row>
    <row r="32">
      <c r="A32" t="inlineStr">
        <is>
          <t>2026-02-24</t>
        </is>
      </c>
      <c r="B32" t="inlineStr">
        <is>
          <t>2026-Q1</t>
        </is>
      </c>
      <c r="C32" t="inlineStr">
        <is>
          <t>Vegetables</t>
        </is>
      </c>
      <c r="D32" t="inlineStr">
        <is>
          <t>Vegetable Sales</t>
        </is>
      </c>
      <c r="E32" t="inlineStr">
        <is>
          <t>Herd 2</t>
        </is>
      </c>
      <c r="F32" t="inlineStr">
        <is>
          <t>CC-400 Admin</t>
        </is>
      </c>
      <c r="G32" s="3" t="n">
        <v>7246.58</v>
      </c>
    </row>
    <row r="33">
      <c r="A33" t="inlineStr">
        <is>
          <t>2026-04-18</t>
        </is>
      </c>
      <c r="B33" t="inlineStr">
        <is>
          <t>2026-Q2</t>
        </is>
      </c>
      <c r="C33" t="inlineStr">
        <is>
          <t>Vegetables</t>
        </is>
      </c>
      <c r="D33" t="inlineStr">
        <is>
          <t>Market Stall Sales</t>
        </is>
      </c>
      <c r="E33" t="inlineStr">
        <is>
          <t>Paddock C</t>
        </is>
      </c>
      <c r="F33" t="inlineStr">
        <is>
          <t>CC-300 Machinery</t>
        </is>
      </c>
      <c r="G33" s="3" t="n">
        <v>9308.09</v>
      </c>
    </row>
    <row r="34">
      <c r="A34" t="inlineStr">
        <is>
          <t>2025-07-10</t>
        </is>
      </c>
      <c r="B34" t="inlineStr">
        <is>
          <t>2025-Q3</t>
        </is>
      </c>
      <c r="C34" t="inlineStr">
        <is>
          <t>Poultry</t>
        </is>
      </c>
      <c r="D34" t="inlineStr">
        <is>
          <t>Egg Sales</t>
        </is>
      </c>
      <c r="E34" t="inlineStr">
        <is>
          <t>Flock A</t>
        </is>
      </c>
      <c r="F34" t="inlineStr">
        <is>
          <t>CC-100 Operations</t>
        </is>
      </c>
      <c r="G34" s="3" t="n">
        <v>4674.73</v>
      </c>
    </row>
    <row r="35">
      <c r="A35" t="inlineStr">
        <is>
          <t>2025-11-17</t>
        </is>
      </c>
      <c r="B35" t="inlineStr">
        <is>
          <t>2025-Q4</t>
        </is>
      </c>
      <c r="C35" t="inlineStr">
        <is>
          <t>Poultry</t>
        </is>
      </c>
      <c r="D35" t="inlineStr">
        <is>
          <t>Broiler Sales</t>
        </is>
      </c>
      <c r="E35" t="inlineStr">
        <is>
          <t>Flock A</t>
        </is>
      </c>
      <c r="F35" t="inlineStr">
        <is>
          <t>CC-300 Machinery</t>
        </is>
      </c>
      <c r="G35" s="3" t="n">
        <v>2029.68</v>
      </c>
    </row>
    <row r="36">
      <c r="A36" t="inlineStr">
        <is>
          <t>2026-02-09</t>
        </is>
      </c>
      <c r="B36" t="inlineStr">
        <is>
          <t>2026-Q1</t>
        </is>
      </c>
      <c r="C36" t="inlineStr">
        <is>
          <t>Poultry</t>
        </is>
      </c>
      <c r="D36" t="inlineStr">
        <is>
          <t>Egg Sales</t>
        </is>
      </c>
      <c r="E36" t="inlineStr">
        <is>
          <t>Paddock C</t>
        </is>
      </c>
      <c r="F36" t="inlineStr">
        <is>
          <t>CC-300 Machinery</t>
        </is>
      </c>
      <c r="G36" s="3" t="n">
        <v>5023.12</v>
      </c>
    </row>
    <row r="37">
      <c r="A37" t="inlineStr">
        <is>
          <t>2026-05-09</t>
        </is>
      </c>
      <c r="B37" t="inlineStr">
        <is>
          <t>2026-Q2</t>
        </is>
      </c>
      <c r="C37" t="inlineStr">
        <is>
          <t>Poultry</t>
        </is>
      </c>
      <c r="D37" t="inlineStr">
        <is>
          <t>Broiler Sales</t>
        </is>
      </c>
      <c r="E37" t="inlineStr">
        <is>
          <t>Paddock B</t>
        </is>
      </c>
      <c r="F37" t="inlineStr">
        <is>
          <t>CC-300 Machinery</t>
        </is>
      </c>
      <c r="G37" s="3" t="n">
        <v>6774.65</v>
      </c>
    </row>
    <row r="38">
      <c r="A38" t="inlineStr">
        <is>
          <t>2025-09-29</t>
        </is>
      </c>
      <c r="B38" t="inlineStr">
        <is>
          <t>2025-Q3</t>
        </is>
      </c>
      <c r="C38" t="inlineStr">
        <is>
          <t>Sheep</t>
        </is>
      </c>
      <c r="D38" t="inlineStr">
        <is>
          <t>Wool Sales</t>
        </is>
      </c>
      <c r="E38" t="inlineStr">
        <is>
          <t>Flock A</t>
        </is>
      </c>
      <c r="F38" t="inlineStr">
        <is>
          <t>CC-400 Admin</t>
        </is>
      </c>
      <c r="G38" s="3" t="n">
        <v>8930.48</v>
      </c>
    </row>
    <row r="39">
      <c r="A39" t="inlineStr">
        <is>
          <t>2025-11-22</t>
        </is>
      </c>
      <c r="B39" t="inlineStr">
        <is>
          <t>2025-Q4</t>
        </is>
      </c>
      <c r="C39" t="inlineStr">
        <is>
          <t>Sheep</t>
        </is>
      </c>
      <c r="D39" t="inlineStr">
        <is>
          <t>Lamb Sales</t>
        </is>
      </c>
      <c r="E39" t="inlineStr">
        <is>
          <t>Herd 1</t>
        </is>
      </c>
      <c r="F39" t="inlineStr">
        <is>
          <t>CC-200 Feed &amp; Vet</t>
        </is>
      </c>
      <c r="G39" s="3" t="n">
        <v>8510.540000000001</v>
      </c>
    </row>
    <row r="40">
      <c r="A40" t="inlineStr">
        <is>
          <t>2026-02-16</t>
        </is>
      </c>
      <c r="B40" t="inlineStr">
        <is>
          <t>2026-Q1</t>
        </is>
      </c>
      <c r="C40" t="inlineStr">
        <is>
          <t>Sheep</t>
        </is>
      </c>
      <c r="D40" t="inlineStr">
        <is>
          <t>Wool Sales</t>
        </is>
      </c>
      <c r="E40" t="inlineStr">
        <is>
          <t>Herd 1</t>
        </is>
      </c>
      <c r="F40" t="inlineStr">
        <is>
          <t>CC-300 Machinery</t>
        </is>
      </c>
      <c r="G40" s="3" t="n">
        <v>8130.57</v>
      </c>
    </row>
    <row r="41">
      <c r="A41" t="inlineStr">
        <is>
          <t>2026-04-19</t>
        </is>
      </c>
      <c r="B41" t="inlineStr">
        <is>
          <t>2026-Q2</t>
        </is>
      </c>
      <c r="C41" t="inlineStr">
        <is>
          <t>Sheep</t>
        </is>
      </c>
      <c r="D41" t="inlineStr">
        <is>
          <t>Lamb Sales</t>
        </is>
      </c>
      <c r="E41" t="inlineStr">
        <is>
          <t>Flock A</t>
        </is>
      </c>
      <c r="F41" t="inlineStr">
        <is>
          <t>CC-300 Machinery</t>
        </is>
      </c>
      <c r="G41" s="3" t="n">
        <v>4481.27</v>
      </c>
    </row>
    <row r="42">
      <c r="A42" t="inlineStr">
        <is>
          <t>2025-07-11</t>
        </is>
      </c>
      <c r="B42" t="inlineStr">
        <is>
          <t>2025-Q3</t>
        </is>
      </c>
      <c r="C42" t="inlineStr">
        <is>
          <t>Dairy</t>
        </is>
      </c>
      <c r="D42" t="inlineStr">
        <is>
          <t>Milk Sales</t>
        </is>
      </c>
      <c r="E42" t="inlineStr">
        <is>
          <t>Paddock B</t>
        </is>
      </c>
      <c r="F42" t="inlineStr">
        <is>
          <t>CC-400 Admin</t>
        </is>
      </c>
      <c r="G42" s="3" t="n">
        <v>5714.83</v>
      </c>
    </row>
    <row r="43">
      <c r="A43" t="inlineStr">
        <is>
          <t>2025-12-08</t>
        </is>
      </c>
      <c r="B43" t="inlineStr">
        <is>
          <t>2025-Q4</t>
        </is>
      </c>
      <c r="C43" t="inlineStr">
        <is>
          <t>Dairy</t>
        </is>
      </c>
      <c r="D43" t="inlineStr">
        <is>
          <t>Calf Sales</t>
        </is>
      </c>
      <c r="E43" t="inlineStr">
        <is>
          <t>Herd 1</t>
        </is>
      </c>
      <c r="F43" t="inlineStr">
        <is>
          <t>CC-200 Feed &amp; Vet</t>
        </is>
      </c>
      <c r="G43" s="3" t="n">
        <v>8091.66</v>
      </c>
    </row>
    <row r="44">
      <c r="A44" t="inlineStr">
        <is>
          <t>2026-02-28</t>
        </is>
      </c>
      <c r="B44" t="inlineStr">
        <is>
          <t>2026-Q1</t>
        </is>
      </c>
      <c r="C44" t="inlineStr">
        <is>
          <t>Dairy</t>
        </is>
      </c>
      <c r="D44" t="inlineStr">
        <is>
          <t>Milk Sales</t>
        </is>
      </c>
      <c r="E44" t="inlineStr">
        <is>
          <t>Paddock C</t>
        </is>
      </c>
      <c r="F44" t="inlineStr">
        <is>
          <t>CC-400 Admin</t>
        </is>
      </c>
      <c r="G44" s="3" t="n">
        <v>3615.78</v>
      </c>
    </row>
    <row r="45">
      <c r="A45" t="inlineStr">
        <is>
          <t>2026-06-24</t>
        </is>
      </c>
      <c r="B45" t="inlineStr">
        <is>
          <t>2026-Q2</t>
        </is>
      </c>
      <c r="C45" t="inlineStr">
        <is>
          <t>Dairy</t>
        </is>
      </c>
      <c r="D45" t="inlineStr">
        <is>
          <t>Calf Sales</t>
        </is>
      </c>
      <c r="E45" t="inlineStr">
        <is>
          <t>Flock A</t>
        </is>
      </c>
      <c r="F45" t="inlineStr">
        <is>
          <t>CC-400 Admin</t>
        </is>
      </c>
      <c r="G45" s="3" t="n">
        <v>2274.02</v>
      </c>
    </row>
    <row r="46">
      <c r="A46" t="inlineStr">
        <is>
          <t>2025-07-21</t>
        </is>
      </c>
      <c r="B46" t="inlineStr">
        <is>
          <t>2025-Q3</t>
        </is>
      </c>
      <c r="C46" t="inlineStr">
        <is>
          <t>Wheat</t>
        </is>
      </c>
      <c r="D46" t="inlineStr">
        <is>
          <t>Grain Sales</t>
        </is>
      </c>
      <c r="E46" t="inlineStr">
        <is>
          <t>Paddock C</t>
        </is>
      </c>
      <c r="F46" t="inlineStr">
        <is>
          <t>CC-300 Machinery</t>
        </is>
      </c>
      <c r="G46" s="3" t="n">
        <v>1428.91</v>
      </c>
    </row>
    <row r="47">
      <c r="A47" t="inlineStr">
        <is>
          <t>2025-10-17</t>
        </is>
      </c>
      <c r="B47" t="inlineStr">
        <is>
          <t>2025-Q4</t>
        </is>
      </c>
      <c r="C47" t="inlineStr">
        <is>
          <t>Wheat</t>
        </is>
      </c>
      <c r="D47" t="inlineStr">
        <is>
          <t>Straw Sales</t>
        </is>
      </c>
      <c r="E47" t="inlineStr">
        <is>
          <t>Flock A</t>
        </is>
      </c>
      <c r="F47" t="inlineStr">
        <is>
          <t>CC-300 Machinery</t>
        </is>
      </c>
      <c r="G47" s="3" t="n">
        <v>4016.76</v>
      </c>
    </row>
    <row r="48">
      <c r="A48" t="inlineStr">
        <is>
          <t>2026-03-03</t>
        </is>
      </c>
      <c r="B48" t="inlineStr">
        <is>
          <t>2026-Q1</t>
        </is>
      </c>
      <c r="C48" t="inlineStr">
        <is>
          <t>Wheat</t>
        </is>
      </c>
      <c r="D48" t="inlineStr">
        <is>
          <t>Grain Sales</t>
        </is>
      </c>
      <c r="E48" t="inlineStr">
        <is>
          <t>Flock A</t>
        </is>
      </c>
      <c r="F48" t="inlineStr">
        <is>
          <t>CC-300 Machinery</t>
        </is>
      </c>
      <c r="G48" s="3" t="n">
        <v>8473.889999999999</v>
      </c>
    </row>
    <row r="49">
      <c r="A49" t="inlineStr">
        <is>
          <t>2026-04-13</t>
        </is>
      </c>
      <c r="B49" t="inlineStr">
        <is>
          <t>2026-Q2</t>
        </is>
      </c>
      <c r="C49" t="inlineStr">
        <is>
          <t>Wheat</t>
        </is>
      </c>
      <c r="D49" t="inlineStr">
        <is>
          <t>Straw Sales</t>
        </is>
      </c>
      <c r="E49" t="inlineStr">
        <is>
          <t>Herd 2</t>
        </is>
      </c>
      <c r="F49" t="inlineStr">
        <is>
          <t>CC-100 Operations</t>
        </is>
      </c>
      <c r="G49" s="3" t="n">
        <v>5239.95</v>
      </c>
    </row>
    <row r="50">
      <c r="A50" t="inlineStr">
        <is>
          <t>2025-09-14</t>
        </is>
      </c>
      <c r="B50" t="inlineStr">
        <is>
          <t>2025-Q3</t>
        </is>
      </c>
      <c r="C50" t="inlineStr">
        <is>
          <t>Vegetables</t>
        </is>
      </c>
      <c r="D50" t="inlineStr">
        <is>
          <t>Vegetable Sales</t>
        </is>
      </c>
      <c r="E50" t="inlineStr">
        <is>
          <t>Flock A</t>
        </is>
      </c>
      <c r="F50" t="inlineStr">
        <is>
          <t>CC-300 Machinery</t>
        </is>
      </c>
      <c r="G50" s="3" t="n">
        <v>1283.12</v>
      </c>
    </row>
    <row r="51">
      <c r="A51" t="inlineStr">
        <is>
          <t>2025-12-29</t>
        </is>
      </c>
      <c r="B51" t="inlineStr">
        <is>
          <t>2025-Q4</t>
        </is>
      </c>
      <c r="C51" t="inlineStr">
        <is>
          <t>Vegetables</t>
        </is>
      </c>
      <c r="D51" t="inlineStr">
        <is>
          <t>Market Stall Sales</t>
        </is>
      </c>
      <c r="E51" t="inlineStr">
        <is>
          <t>Herd 1</t>
        </is>
      </c>
      <c r="F51" t="inlineStr">
        <is>
          <t>CC-200 Feed &amp; Vet</t>
        </is>
      </c>
      <c r="G51" s="3" t="n">
        <v>1882.55</v>
      </c>
    </row>
    <row r="52">
      <c r="A52" t="inlineStr">
        <is>
          <t>2026-03-19</t>
        </is>
      </c>
      <c r="B52" t="inlineStr">
        <is>
          <t>2026-Q1</t>
        </is>
      </c>
      <c r="C52" t="inlineStr">
        <is>
          <t>Vegetables</t>
        </is>
      </c>
      <c r="D52" t="inlineStr">
        <is>
          <t>Vegetable Sales</t>
        </is>
      </c>
      <c r="E52" t="inlineStr">
        <is>
          <t>Flock A</t>
        </is>
      </c>
      <c r="F52" t="inlineStr">
        <is>
          <t>CC-100 Operations</t>
        </is>
      </c>
      <c r="G52" s="3" t="n">
        <v>6468.99</v>
      </c>
    </row>
    <row r="53">
      <c r="A53" t="inlineStr">
        <is>
          <t>2026-04-15</t>
        </is>
      </c>
      <c r="B53" t="inlineStr">
        <is>
          <t>2026-Q2</t>
        </is>
      </c>
      <c r="C53" t="inlineStr">
        <is>
          <t>Vegetables</t>
        </is>
      </c>
      <c r="D53" t="inlineStr">
        <is>
          <t>Market Stall Sales</t>
        </is>
      </c>
      <c r="E53" t="inlineStr">
        <is>
          <t>Paddock A</t>
        </is>
      </c>
      <c r="F53" t="inlineStr">
        <is>
          <t>CC-200 Feed &amp; Vet</t>
        </is>
      </c>
      <c r="G53" s="3" t="n">
        <v>8465.780000000001</v>
      </c>
    </row>
    <row r="54">
      <c r="A54" t="inlineStr">
        <is>
          <t>2025-07-29</t>
        </is>
      </c>
      <c r="B54" t="inlineStr">
        <is>
          <t>2025-Q3</t>
        </is>
      </c>
      <c r="C54" t="inlineStr">
        <is>
          <t>Poultry</t>
        </is>
      </c>
      <c r="D54" t="inlineStr">
        <is>
          <t>Egg Sales</t>
        </is>
      </c>
      <c r="E54" t="inlineStr">
        <is>
          <t>Paddock C</t>
        </is>
      </c>
      <c r="F54" t="inlineStr">
        <is>
          <t>CC-100 Operations</t>
        </is>
      </c>
      <c r="G54" s="3" t="n">
        <v>7430.94</v>
      </c>
    </row>
    <row r="55">
      <c r="A55" t="inlineStr">
        <is>
          <t>2025-11-12</t>
        </is>
      </c>
      <c r="B55" t="inlineStr">
        <is>
          <t>2025-Q4</t>
        </is>
      </c>
      <c r="C55" t="inlineStr">
        <is>
          <t>Poultry</t>
        </is>
      </c>
      <c r="D55" t="inlineStr">
        <is>
          <t>Broiler Sales</t>
        </is>
      </c>
      <c r="E55" t="inlineStr">
        <is>
          <t>Herd 2</t>
        </is>
      </c>
      <c r="F55" t="inlineStr">
        <is>
          <t>CC-300 Machinery</t>
        </is>
      </c>
      <c r="G55" s="3" t="n">
        <v>1542.83</v>
      </c>
    </row>
    <row r="56">
      <c r="A56" t="inlineStr">
        <is>
          <t>2026-03-28</t>
        </is>
      </c>
      <c r="B56" t="inlineStr">
        <is>
          <t>2026-Q1</t>
        </is>
      </c>
      <c r="C56" t="inlineStr">
        <is>
          <t>Poultry</t>
        </is>
      </c>
      <c r="D56" t="inlineStr">
        <is>
          <t>Egg Sales</t>
        </is>
      </c>
      <c r="E56" t="inlineStr">
        <is>
          <t>Herd 2</t>
        </is>
      </c>
      <c r="F56" t="inlineStr">
        <is>
          <t>CC-100 Operations</t>
        </is>
      </c>
      <c r="G56" s="3" t="n">
        <v>7760.83</v>
      </c>
    </row>
    <row r="57">
      <c r="A57" t="inlineStr">
        <is>
          <t>2026-06-12</t>
        </is>
      </c>
      <c r="B57" t="inlineStr">
        <is>
          <t>2026-Q2</t>
        </is>
      </c>
      <c r="C57" t="inlineStr">
        <is>
          <t>Poultry</t>
        </is>
      </c>
      <c r="D57" t="inlineStr">
        <is>
          <t>Broiler Sales</t>
        </is>
      </c>
      <c r="E57" t="inlineStr">
        <is>
          <t>Herd 2</t>
        </is>
      </c>
      <c r="F57" t="inlineStr">
        <is>
          <t>CC-200 Feed &amp; Vet</t>
        </is>
      </c>
      <c r="G57" s="3" t="n">
        <v>5532.7</v>
      </c>
    </row>
    <row r="58">
      <c r="A58" t="inlineStr">
        <is>
          <t>2025-07-28</t>
        </is>
      </c>
      <c r="B58" t="inlineStr">
        <is>
          <t>2025-Q3</t>
        </is>
      </c>
      <c r="C58" t="inlineStr">
        <is>
          <t>Sheep</t>
        </is>
      </c>
      <c r="D58" t="inlineStr">
        <is>
          <t>Wool Sales</t>
        </is>
      </c>
      <c r="E58" t="inlineStr">
        <is>
          <t>Paddock A</t>
        </is>
      </c>
      <c r="F58" t="inlineStr">
        <is>
          <t>CC-100 Operations</t>
        </is>
      </c>
      <c r="G58" s="3" t="n">
        <v>3314.42</v>
      </c>
    </row>
    <row r="59">
      <c r="A59" t="inlineStr">
        <is>
          <t>2025-12-12</t>
        </is>
      </c>
      <c r="B59" t="inlineStr">
        <is>
          <t>2025-Q4</t>
        </is>
      </c>
      <c r="C59" t="inlineStr">
        <is>
          <t>Sheep</t>
        </is>
      </c>
      <c r="D59" t="inlineStr">
        <is>
          <t>Lamb Sales</t>
        </is>
      </c>
      <c r="E59" t="inlineStr">
        <is>
          <t>Herd 2</t>
        </is>
      </c>
      <c r="F59" t="inlineStr">
        <is>
          <t>CC-400 Admin</t>
        </is>
      </c>
      <c r="G59" s="3" t="n">
        <v>1673.26</v>
      </c>
    </row>
    <row r="60">
      <c r="A60" t="inlineStr">
        <is>
          <t>2026-01-10</t>
        </is>
      </c>
      <c r="B60" t="inlineStr">
        <is>
          <t>2026-Q1</t>
        </is>
      </c>
      <c r="C60" t="inlineStr">
        <is>
          <t>Sheep</t>
        </is>
      </c>
      <c r="D60" t="inlineStr">
        <is>
          <t>Wool Sales</t>
        </is>
      </c>
      <c r="E60" t="inlineStr">
        <is>
          <t>Paddock A</t>
        </is>
      </c>
      <c r="F60" t="inlineStr">
        <is>
          <t>CC-400 Admin</t>
        </is>
      </c>
      <c r="G60" s="3" t="n">
        <v>4117.62</v>
      </c>
    </row>
    <row r="61">
      <c r="A61" t="inlineStr">
        <is>
          <t>2026-05-15</t>
        </is>
      </c>
      <c r="B61" t="inlineStr">
        <is>
          <t>2026-Q2</t>
        </is>
      </c>
      <c r="C61" t="inlineStr">
        <is>
          <t>Sheep</t>
        </is>
      </c>
      <c r="D61" t="inlineStr">
        <is>
          <t>Lamb Sales</t>
        </is>
      </c>
      <c r="E61" t="inlineStr">
        <is>
          <t>Herd 1</t>
        </is>
      </c>
      <c r="F61" t="inlineStr">
        <is>
          <t>CC-400 Admin</t>
        </is>
      </c>
      <c r="G61" s="3" t="n">
        <v>7847.4</v>
      </c>
    </row>
    <row r="62">
      <c r="A62" t="inlineStr">
        <is>
          <t>2025-08-12</t>
        </is>
      </c>
      <c r="B62" t="inlineStr">
        <is>
          <t>2025-Q3</t>
        </is>
      </c>
      <c r="C62" t="inlineStr">
        <is>
          <t>Dairy</t>
        </is>
      </c>
      <c r="D62" t="inlineStr">
        <is>
          <t>Milk Sales</t>
        </is>
      </c>
      <c r="E62" t="inlineStr">
        <is>
          <t>Herd 1</t>
        </is>
      </c>
      <c r="F62" t="inlineStr">
        <is>
          <t>CC-200 Feed &amp; Vet</t>
        </is>
      </c>
      <c r="G62" s="3" t="n">
        <v>4737.07</v>
      </c>
    </row>
    <row r="63">
      <c r="A63" t="inlineStr">
        <is>
          <t>2025-12-11</t>
        </is>
      </c>
      <c r="B63" t="inlineStr">
        <is>
          <t>2025-Q4</t>
        </is>
      </c>
      <c r="C63" t="inlineStr">
        <is>
          <t>Dairy</t>
        </is>
      </c>
      <c r="D63" t="inlineStr">
        <is>
          <t>Calf Sales</t>
        </is>
      </c>
      <c r="E63" t="inlineStr">
        <is>
          <t>Herd 1</t>
        </is>
      </c>
      <c r="F63" t="inlineStr">
        <is>
          <t>CC-400 Admin</t>
        </is>
      </c>
      <c r="G63" s="3" t="n">
        <v>9352.870000000001</v>
      </c>
    </row>
    <row r="64">
      <c r="A64" t="inlineStr">
        <is>
          <t>2026-02-27</t>
        </is>
      </c>
      <c r="B64" t="inlineStr">
        <is>
          <t>2026-Q1</t>
        </is>
      </c>
      <c r="C64" t="inlineStr">
        <is>
          <t>Dairy</t>
        </is>
      </c>
      <c r="D64" t="inlineStr">
        <is>
          <t>Milk Sales</t>
        </is>
      </c>
      <c r="E64" t="inlineStr">
        <is>
          <t>Paddock A</t>
        </is>
      </c>
      <c r="F64" t="inlineStr">
        <is>
          <t>CC-200 Feed &amp; Vet</t>
        </is>
      </c>
      <c r="G64" s="3" t="n">
        <v>6672.14</v>
      </c>
    </row>
    <row r="65">
      <c r="A65" t="inlineStr">
        <is>
          <t>2026-04-01</t>
        </is>
      </c>
      <c r="B65" t="inlineStr">
        <is>
          <t>2026-Q2</t>
        </is>
      </c>
      <c r="C65" t="inlineStr">
        <is>
          <t>Dairy</t>
        </is>
      </c>
      <c r="D65" t="inlineStr">
        <is>
          <t>Calf Sales</t>
        </is>
      </c>
      <c r="E65" t="inlineStr">
        <is>
          <t>Paddock B</t>
        </is>
      </c>
      <c r="F65" t="inlineStr">
        <is>
          <t>CC-100 Operations</t>
        </is>
      </c>
      <c r="G65" s="3" t="n">
        <v>6790.49</v>
      </c>
    </row>
    <row r="66">
      <c r="A66" t="inlineStr">
        <is>
          <t>2025-07-04</t>
        </is>
      </c>
      <c r="B66" t="inlineStr">
        <is>
          <t>2025-Q3</t>
        </is>
      </c>
      <c r="C66" t="inlineStr">
        <is>
          <t>Wheat</t>
        </is>
      </c>
      <c r="D66" t="inlineStr">
        <is>
          <t>Grain Sales</t>
        </is>
      </c>
      <c r="E66" t="inlineStr">
        <is>
          <t>Herd 2</t>
        </is>
      </c>
      <c r="F66" t="inlineStr">
        <is>
          <t>CC-100 Operations</t>
        </is>
      </c>
      <c r="G66" s="3" t="n">
        <v>3235.03</v>
      </c>
    </row>
    <row r="67">
      <c r="A67" t="inlineStr">
        <is>
          <t>2025-12-13</t>
        </is>
      </c>
      <c r="B67" t="inlineStr">
        <is>
          <t>2025-Q4</t>
        </is>
      </c>
      <c r="C67" t="inlineStr">
        <is>
          <t>Wheat</t>
        </is>
      </c>
      <c r="D67" t="inlineStr">
        <is>
          <t>Straw Sales</t>
        </is>
      </c>
      <c r="E67" t="inlineStr">
        <is>
          <t>Paddock A</t>
        </is>
      </c>
      <c r="F67" t="inlineStr">
        <is>
          <t>CC-200 Feed &amp; Vet</t>
        </is>
      </c>
      <c r="G67" s="3" t="n">
        <v>5598.04</v>
      </c>
    </row>
    <row r="68">
      <c r="A68" t="inlineStr">
        <is>
          <t>2026-02-25</t>
        </is>
      </c>
      <c r="B68" t="inlineStr">
        <is>
          <t>2026-Q1</t>
        </is>
      </c>
      <c r="C68" t="inlineStr">
        <is>
          <t>Wheat</t>
        </is>
      </c>
      <c r="D68" t="inlineStr">
        <is>
          <t>Grain Sales</t>
        </is>
      </c>
      <c r="E68" t="inlineStr">
        <is>
          <t>Paddock B</t>
        </is>
      </c>
      <c r="F68" t="inlineStr">
        <is>
          <t>CC-400 Admin</t>
        </is>
      </c>
      <c r="G68" s="3" t="n">
        <v>5696.58</v>
      </c>
    </row>
    <row r="69">
      <c r="A69" t="inlineStr">
        <is>
          <t>2026-04-20</t>
        </is>
      </c>
      <c r="B69" t="inlineStr">
        <is>
          <t>2026-Q2</t>
        </is>
      </c>
      <c r="C69" t="inlineStr">
        <is>
          <t>Wheat</t>
        </is>
      </c>
      <c r="D69" t="inlineStr">
        <is>
          <t>Straw Sales</t>
        </is>
      </c>
      <c r="E69" t="inlineStr">
        <is>
          <t>Flock A</t>
        </is>
      </c>
      <c r="F69" t="inlineStr">
        <is>
          <t>CC-300 Machinery</t>
        </is>
      </c>
      <c r="G69" s="3" t="n">
        <v>5236.94</v>
      </c>
    </row>
    <row r="70">
      <c r="A70" t="inlineStr">
        <is>
          <t>2025-09-05</t>
        </is>
      </c>
      <c r="B70" t="inlineStr">
        <is>
          <t>2025-Q3</t>
        </is>
      </c>
      <c r="C70" t="inlineStr">
        <is>
          <t>Vegetables</t>
        </is>
      </c>
      <c r="D70" t="inlineStr">
        <is>
          <t>Vegetable Sales</t>
        </is>
      </c>
      <c r="E70" t="inlineStr">
        <is>
          <t>Herd 1</t>
        </is>
      </c>
      <c r="F70" t="inlineStr">
        <is>
          <t>CC-100 Operations</t>
        </is>
      </c>
      <c r="G70" s="3" t="n">
        <v>4380.58</v>
      </c>
    </row>
    <row r="71">
      <c r="A71" t="inlineStr">
        <is>
          <t>2025-12-17</t>
        </is>
      </c>
      <c r="B71" t="inlineStr">
        <is>
          <t>2025-Q4</t>
        </is>
      </c>
      <c r="C71" t="inlineStr">
        <is>
          <t>Vegetables</t>
        </is>
      </c>
      <c r="D71" t="inlineStr">
        <is>
          <t>Market Stall Sales</t>
        </is>
      </c>
      <c r="E71" t="inlineStr">
        <is>
          <t>Paddock C</t>
        </is>
      </c>
      <c r="F71" t="inlineStr">
        <is>
          <t>CC-200 Feed &amp; Vet</t>
        </is>
      </c>
      <c r="G71" s="3" t="n">
        <v>8311.389999999999</v>
      </c>
    </row>
    <row r="72">
      <c r="A72" t="inlineStr">
        <is>
          <t>2026-02-05</t>
        </is>
      </c>
      <c r="B72" t="inlineStr">
        <is>
          <t>2026-Q1</t>
        </is>
      </c>
      <c r="C72" t="inlineStr">
        <is>
          <t>Vegetables</t>
        </is>
      </c>
      <c r="D72" t="inlineStr">
        <is>
          <t>Vegetable Sales</t>
        </is>
      </c>
      <c r="E72" t="inlineStr">
        <is>
          <t>Paddock A</t>
        </is>
      </c>
      <c r="F72" t="inlineStr">
        <is>
          <t>CC-200 Feed &amp; Vet</t>
        </is>
      </c>
      <c r="G72" s="3" t="n">
        <v>6682.78</v>
      </c>
    </row>
    <row r="73">
      <c r="A73" t="inlineStr">
        <is>
          <t>2026-05-19</t>
        </is>
      </c>
      <c r="B73" t="inlineStr">
        <is>
          <t>2026-Q2</t>
        </is>
      </c>
      <c r="C73" t="inlineStr">
        <is>
          <t>Vegetables</t>
        </is>
      </c>
      <c r="D73" t="inlineStr">
        <is>
          <t>Market Stall Sales</t>
        </is>
      </c>
      <c r="E73" t="inlineStr">
        <is>
          <t>Herd 2</t>
        </is>
      </c>
      <c r="F73" t="inlineStr">
        <is>
          <t>CC-300 Machinery</t>
        </is>
      </c>
      <c r="G73" s="3" t="n">
        <v>6239.04</v>
      </c>
    </row>
    <row r="74">
      <c r="A74" t="inlineStr">
        <is>
          <t>2025-09-27</t>
        </is>
      </c>
      <c r="B74" t="inlineStr">
        <is>
          <t>2025-Q3</t>
        </is>
      </c>
      <c r="C74" t="inlineStr">
        <is>
          <t>Poultry</t>
        </is>
      </c>
      <c r="D74" t="inlineStr">
        <is>
          <t>Egg Sales</t>
        </is>
      </c>
      <c r="E74" t="inlineStr">
        <is>
          <t>Paddock B</t>
        </is>
      </c>
      <c r="F74" t="inlineStr">
        <is>
          <t>CC-400 Admin</t>
        </is>
      </c>
      <c r="G74" s="3" t="n">
        <v>6048.18</v>
      </c>
    </row>
    <row r="75">
      <c r="A75" t="inlineStr">
        <is>
          <t>2025-12-01</t>
        </is>
      </c>
      <c r="B75" t="inlineStr">
        <is>
          <t>2025-Q4</t>
        </is>
      </c>
      <c r="C75" t="inlineStr">
        <is>
          <t>Poultry</t>
        </is>
      </c>
      <c r="D75" t="inlineStr">
        <is>
          <t>Broiler Sales</t>
        </is>
      </c>
      <c r="E75" t="inlineStr">
        <is>
          <t>Herd 2</t>
        </is>
      </c>
      <c r="F75" t="inlineStr">
        <is>
          <t>CC-200 Feed &amp; Vet</t>
        </is>
      </c>
      <c r="G75" s="3" t="n">
        <v>1917.87</v>
      </c>
    </row>
    <row r="76">
      <c r="A76" t="inlineStr">
        <is>
          <t>2026-01-09</t>
        </is>
      </c>
      <c r="B76" t="inlineStr">
        <is>
          <t>2026-Q1</t>
        </is>
      </c>
      <c r="C76" t="inlineStr">
        <is>
          <t>Poultry</t>
        </is>
      </c>
      <c r="D76" t="inlineStr">
        <is>
          <t>Egg Sales</t>
        </is>
      </c>
      <c r="E76" t="inlineStr">
        <is>
          <t>Paddock B</t>
        </is>
      </c>
      <c r="F76" t="inlineStr">
        <is>
          <t>CC-400 Admin</t>
        </is>
      </c>
      <c r="G76" s="3" t="n">
        <v>5708.37</v>
      </c>
    </row>
    <row r="77">
      <c r="A77" t="inlineStr">
        <is>
          <t>2026-05-01</t>
        </is>
      </c>
      <c r="B77" t="inlineStr">
        <is>
          <t>2026-Q2</t>
        </is>
      </c>
      <c r="C77" t="inlineStr">
        <is>
          <t>Poultry</t>
        </is>
      </c>
      <c r="D77" t="inlineStr">
        <is>
          <t>Broiler Sales</t>
        </is>
      </c>
      <c r="E77" t="inlineStr">
        <is>
          <t>Herd 2</t>
        </is>
      </c>
      <c r="F77" t="inlineStr">
        <is>
          <t>CC-200 Feed &amp; Vet</t>
        </is>
      </c>
      <c r="G77" s="3" t="n">
        <v>2689.95</v>
      </c>
    </row>
    <row r="78">
      <c r="A78" t="inlineStr">
        <is>
          <t>2025-08-11</t>
        </is>
      </c>
      <c r="B78" t="inlineStr">
        <is>
          <t>2025-Q3</t>
        </is>
      </c>
      <c r="C78" t="inlineStr">
        <is>
          <t>Sheep</t>
        </is>
      </c>
      <c r="D78" t="inlineStr">
        <is>
          <t>Wool Sales</t>
        </is>
      </c>
      <c r="E78" t="inlineStr">
        <is>
          <t>Flock A</t>
        </is>
      </c>
      <c r="F78" t="inlineStr">
        <is>
          <t>CC-400 Admin</t>
        </is>
      </c>
      <c r="G78" s="3" t="n">
        <v>8230.040000000001</v>
      </c>
    </row>
    <row r="79">
      <c r="A79" t="inlineStr">
        <is>
          <t>2025-12-19</t>
        </is>
      </c>
      <c r="B79" t="inlineStr">
        <is>
          <t>2025-Q4</t>
        </is>
      </c>
      <c r="C79" t="inlineStr">
        <is>
          <t>Sheep</t>
        </is>
      </c>
      <c r="D79" t="inlineStr">
        <is>
          <t>Lamb Sales</t>
        </is>
      </c>
      <c r="E79" t="inlineStr">
        <is>
          <t>Paddock C</t>
        </is>
      </c>
      <c r="F79" t="inlineStr">
        <is>
          <t>CC-300 Machinery</t>
        </is>
      </c>
      <c r="G79" s="3" t="n">
        <v>2217.63</v>
      </c>
    </row>
    <row r="80">
      <c r="A80" t="inlineStr">
        <is>
          <t>2026-03-09</t>
        </is>
      </c>
      <c r="B80" t="inlineStr">
        <is>
          <t>2026-Q1</t>
        </is>
      </c>
      <c r="C80" t="inlineStr">
        <is>
          <t>Sheep</t>
        </is>
      </c>
      <c r="D80" t="inlineStr">
        <is>
          <t>Wool Sales</t>
        </is>
      </c>
      <c r="E80" t="inlineStr">
        <is>
          <t>Paddock C</t>
        </is>
      </c>
      <c r="F80" t="inlineStr">
        <is>
          <t>CC-200 Feed &amp; Vet</t>
        </is>
      </c>
      <c r="G80" s="3" t="n">
        <v>6300.1</v>
      </c>
    </row>
    <row r="81">
      <c r="A81" t="inlineStr">
        <is>
          <t>2026-04-05</t>
        </is>
      </c>
      <c r="B81" t="inlineStr">
        <is>
          <t>2026-Q2</t>
        </is>
      </c>
      <c r="C81" t="inlineStr">
        <is>
          <t>Sheep</t>
        </is>
      </c>
      <c r="D81" t="inlineStr">
        <is>
          <t>Lamb Sales</t>
        </is>
      </c>
      <c r="E81" t="inlineStr">
        <is>
          <t>Flock A</t>
        </is>
      </c>
      <c r="F81" t="inlineStr">
        <is>
          <t>CC-300 Machinery</t>
        </is>
      </c>
      <c r="G81" s="3" t="n">
        <v>9354.99</v>
      </c>
    </row>
    <row r="82">
      <c r="A82" t="inlineStr">
        <is>
          <t>2025-07-03</t>
        </is>
      </c>
      <c r="B82" t="inlineStr">
        <is>
          <t>2025-Q3</t>
        </is>
      </c>
      <c r="C82" t="inlineStr">
        <is>
          <t>Dairy</t>
        </is>
      </c>
      <c r="D82" t="inlineStr">
        <is>
          <t>Milk Sales</t>
        </is>
      </c>
      <c r="E82" t="inlineStr">
        <is>
          <t>Paddock B</t>
        </is>
      </c>
      <c r="F82" t="inlineStr">
        <is>
          <t>CC-400 Admin</t>
        </is>
      </c>
      <c r="G82" s="3" t="n">
        <v>4051.77</v>
      </c>
    </row>
    <row r="83">
      <c r="A83" t="inlineStr">
        <is>
          <t>2025-12-19</t>
        </is>
      </c>
      <c r="B83" t="inlineStr">
        <is>
          <t>2025-Q4</t>
        </is>
      </c>
      <c r="C83" t="inlineStr">
        <is>
          <t>Dairy</t>
        </is>
      </c>
      <c r="D83" t="inlineStr">
        <is>
          <t>Calf Sales</t>
        </is>
      </c>
      <c r="E83" t="inlineStr">
        <is>
          <t>Herd 1</t>
        </is>
      </c>
      <c r="F83" t="inlineStr">
        <is>
          <t>CC-200 Feed &amp; Vet</t>
        </is>
      </c>
      <c r="G83" s="3" t="n">
        <v>2095.59</v>
      </c>
    </row>
    <row r="84">
      <c r="A84" t="inlineStr">
        <is>
          <t>2026-03-12</t>
        </is>
      </c>
      <c r="B84" t="inlineStr">
        <is>
          <t>2026-Q1</t>
        </is>
      </c>
      <c r="C84" t="inlineStr">
        <is>
          <t>Dairy</t>
        </is>
      </c>
      <c r="D84" t="inlineStr">
        <is>
          <t>Milk Sales</t>
        </is>
      </c>
      <c r="E84" t="inlineStr">
        <is>
          <t>Herd 2</t>
        </is>
      </c>
      <c r="F84" t="inlineStr">
        <is>
          <t>CC-200 Feed &amp; Vet</t>
        </is>
      </c>
      <c r="G84" s="3" t="n">
        <v>9158.4</v>
      </c>
    </row>
    <row r="85">
      <c r="A85" t="inlineStr">
        <is>
          <t>2026-05-23</t>
        </is>
      </c>
      <c r="B85" t="inlineStr">
        <is>
          <t>2026-Q2</t>
        </is>
      </c>
      <c r="C85" t="inlineStr">
        <is>
          <t>Dairy</t>
        </is>
      </c>
      <c r="D85" t="inlineStr">
        <is>
          <t>Calf Sales</t>
        </is>
      </c>
      <c r="E85" t="inlineStr">
        <is>
          <t>Herd 2</t>
        </is>
      </c>
      <c r="F85" t="inlineStr">
        <is>
          <t>CC-100 Operations</t>
        </is>
      </c>
      <c r="G85" s="3" t="n">
        <v>8033.66</v>
      </c>
    </row>
    <row r="86">
      <c r="A86" t="inlineStr">
        <is>
          <t>2025-07-05</t>
        </is>
      </c>
      <c r="B86" t="inlineStr">
        <is>
          <t>2025-Q3</t>
        </is>
      </c>
      <c r="C86" t="inlineStr">
        <is>
          <t>Wheat</t>
        </is>
      </c>
      <c r="D86" t="inlineStr">
        <is>
          <t>Grain Sales</t>
        </is>
      </c>
      <c r="E86" t="inlineStr">
        <is>
          <t>Paddock C</t>
        </is>
      </c>
      <c r="F86" t="inlineStr">
        <is>
          <t>CC-400 Admin</t>
        </is>
      </c>
      <c r="G86" s="3" t="n">
        <v>9446.309999999999</v>
      </c>
    </row>
    <row r="87">
      <c r="A87" t="inlineStr">
        <is>
          <t>2025-11-28</t>
        </is>
      </c>
      <c r="B87" t="inlineStr">
        <is>
          <t>2025-Q4</t>
        </is>
      </c>
      <c r="C87" t="inlineStr">
        <is>
          <t>Wheat</t>
        </is>
      </c>
      <c r="D87" t="inlineStr">
        <is>
          <t>Straw Sales</t>
        </is>
      </c>
      <c r="E87" t="inlineStr">
        <is>
          <t>Paddock A</t>
        </is>
      </c>
      <c r="F87" t="inlineStr">
        <is>
          <t>CC-100 Operations</t>
        </is>
      </c>
      <c r="G87" s="3" t="n">
        <v>3573.47</v>
      </c>
    </row>
    <row r="88">
      <c r="A88" t="inlineStr">
        <is>
          <t>2026-01-22</t>
        </is>
      </c>
      <c r="B88" t="inlineStr">
        <is>
          <t>2026-Q1</t>
        </is>
      </c>
      <c r="C88" t="inlineStr">
        <is>
          <t>Wheat</t>
        </is>
      </c>
      <c r="D88" t="inlineStr">
        <is>
          <t>Grain Sales</t>
        </is>
      </c>
      <c r="E88" t="inlineStr">
        <is>
          <t>Herd 1</t>
        </is>
      </c>
      <c r="F88" t="inlineStr">
        <is>
          <t>CC-300 Machinery</t>
        </is>
      </c>
      <c r="G88" s="3" t="n">
        <v>7834.95</v>
      </c>
    </row>
    <row r="89">
      <c r="A89" t="inlineStr">
        <is>
          <t>2026-04-22</t>
        </is>
      </c>
      <c r="B89" t="inlineStr">
        <is>
          <t>2026-Q2</t>
        </is>
      </c>
      <c r="C89" t="inlineStr">
        <is>
          <t>Wheat</t>
        </is>
      </c>
      <c r="D89" t="inlineStr">
        <is>
          <t>Straw Sales</t>
        </is>
      </c>
      <c r="E89" t="inlineStr">
        <is>
          <t>Flock A</t>
        </is>
      </c>
      <c r="F89" t="inlineStr">
        <is>
          <t>CC-100 Operations</t>
        </is>
      </c>
      <c r="G89" s="3" t="n">
        <v>7202.43</v>
      </c>
    </row>
    <row r="90">
      <c r="A90" t="inlineStr">
        <is>
          <t>2025-07-14</t>
        </is>
      </c>
      <c r="B90" t="inlineStr">
        <is>
          <t>2025-Q3</t>
        </is>
      </c>
      <c r="C90" t="inlineStr">
        <is>
          <t>Vegetables</t>
        </is>
      </c>
      <c r="D90" t="inlineStr">
        <is>
          <t>Vegetable Sales</t>
        </is>
      </c>
      <c r="E90" t="inlineStr">
        <is>
          <t>Paddock A</t>
        </is>
      </c>
      <c r="F90" t="inlineStr">
        <is>
          <t>CC-400 Admin</t>
        </is>
      </c>
      <c r="G90" s="3" t="n">
        <v>3650.25</v>
      </c>
    </row>
    <row r="91">
      <c r="A91" t="inlineStr">
        <is>
          <t>2025-11-04</t>
        </is>
      </c>
      <c r="B91" t="inlineStr">
        <is>
          <t>2025-Q4</t>
        </is>
      </c>
      <c r="C91" t="inlineStr">
        <is>
          <t>Vegetables</t>
        </is>
      </c>
      <c r="D91" t="inlineStr">
        <is>
          <t>Market Stall Sales</t>
        </is>
      </c>
      <c r="E91" t="inlineStr">
        <is>
          <t>Flock A</t>
        </is>
      </c>
      <c r="F91" t="inlineStr">
        <is>
          <t>CC-200 Feed &amp; Vet</t>
        </is>
      </c>
      <c r="G91" s="3" t="n">
        <v>438.47</v>
      </c>
    </row>
    <row r="92">
      <c r="A92" t="inlineStr">
        <is>
          <t>2026-02-20</t>
        </is>
      </c>
      <c r="B92" t="inlineStr">
        <is>
          <t>2026-Q1</t>
        </is>
      </c>
      <c r="C92" t="inlineStr">
        <is>
          <t>Vegetables</t>
        </is>
      </c>
      <c r="D92" t="inlineStr">
        <is>
          <t>Vegetable Sales</t>
        </is>
      </c>
      <c r="E92" t="inlineStr">
        <is>
          <t>Flock A</t>
        </is>
      </c>
      <c r="F92" t="inlineStr">
        <is>
          <t>CC-400 Admin</t>
        </is>
      </c>
      <c r="G92" s="3" t="n">
        <v>2123.94</v>
      </c>
    </row>
    <row r="93">
      <c r="A93" t="inlineStr">
        <is>
          <t>2026-05-16</t>
        </is>
      </c>
      <c r="B93" t="inlineStr">
        <is>
          <t>2026-Q2</t>
        </is>
      </c>
      <c r="C93" t="inlineStr">
        <is>
          <t>Vegetables</t>
        </is>
      </c>
      <c r="D93" t="inlineStr">
        <is>
          <t>Market Stall Sales</t>
        </is>
      </c>
      <c r="E93" t="inlineStr">
        <is>
          <t>Herd 2</t>
        </is>
      </c>
      <c r="F93" t="inlineStr">
        <is>
          <t>CC-100 Operations</t>
        </is>
      </c>
      <c r="G93" s="3" t="n">
        <v>5419.4</v>
      </c>
    </row>
    <row r="94">
      <c r="A94" t="inlineStr">
        <is>
          <t>2025-09-24</t>
        </is>
      </c>
      <c r="B94" t="inlineStr">
        <is>
          <t>2025-Q3</t>
        </is>
      </c>
      <c r="C94" t="inlineStr">
        <is>
          <t>Poultry</t>
        </is>
      </c>
      <c r="D94" t="inlineStr">
        <is>
          <t>Egg Sales</t>
        </is>
      </c>
      <c r="E94" t="inlineStr">
        <is>
          <t>Paddock C</t>
        </is>
      </c>
      <c r="F94" t="inlineStr">
        <is>
          <t>CC-300 Machinery</t>
        </is>
      </c>
      <c r="G94" s="3" t="n">
        <v>5629.6</v>
      </c>
    </row>
    <row r="95">
      <c r="A95" t="inlineStr">
        <is>
          <t>2025-12-12</t>
        </is>
      </c>
      <c r="B95" t="inlineStr">
        <is>
          <t>2025-Q4</t>
        </is>
      </c>
      <c r="C95" t="inlineStr">
        <is>
          <t>Poultry</t>
        </is>
      </c>
      <c r="D95" t="inlineStr">
        <is>
          <t>Broiler Sales</t>
        </is>
      </c>
      <c r="E95" t="inlineStr">
        <is>
          <t>Paddock A</t>
        </is>
      </c>
      <c r="F95" t="inlineStr">
        <is>
          <t>CC-300 Machinery</t>
        </is>
      </c>
      <c r="G95" s="3" t="n">
        <v>9156.690000000001</v>
      </c>
    </row>
    <row r="96">
      <c r="A96" t="inlineStr">
        <is>
          <t>2026-03-08</t>
        </is>
      </c>
      <c r="B96" t="inlineStr">
        <is>
          <t>2026-Q1</t>
        </is>
      </c>
      <c r="C96" t="inlineStr">
        <is>
          <t>Poultry</t>
        </is>
      </c>
      <c r="D96" t="inlineStr">
        <is>
          <t>Egg Sales</t>
        </is>
      </c>
      <c r="E96" t="inlineStr">
        <is>
          <t>Paddock B</t>
        </is>
      </c>
      <c r="F96" t="inlineStr">
        <is>
          <t>CC-200 Feed &amp; Vet</t>
        </is>
      </c>
      <c r="G96" s="3" t="n">
        <v>5687.67</v>
      </c>
    </row>
    <row r="97">
      <c r="A97" t="inlineStr">
        <is>
          <t>2026-04-20</t>
        </is>
      </c>
      <c r="B97" t="inlineStr">
        <is>
          <t>2026-Q2</t>
        </is>
      </c>
      <c r="C97" t="inlineStr">
        <is>
          <t>Poultry</t>
        </is>
      </c>
      <c r="D97" t="inlineStr">
        <is>
          <t>Broiler Sales</t>
        </is>
      </c>
      <c r="E97" t="inlineStr">
        <is>
          <t>Herd 2</t>
        </is>
      </c>
      <c r="F97" t="inlineStr">
        <is>
          <t>CC-400 Admin</t>
        </is>
      </c>
      <c r="G97" s="3" t="n">
        <v>1422.38</v>
      </c>
    </row>
    <row r="98">
      <c r="A98" t="inlineStr">
        <is>
          <t>2025-07-12</t>
        </is>
      </c>
      <c r="B98" t="inlineStr">
        <is>
          <t>2025-Q3</t>
        </is>
      </c>
      <c r="C98" t="inlineStr">
        <is>
          <t>Sheep</t>
        </is>
      </c>
      <c r="D98" t="inlineStr">
        <is>
          <t>Wool Sales</t>
        </is>
      </c>
      <c r="E98" t="inlineStr">
        <is>
          <t>Paddock C</t>
        </is>
      </c>
      <c r="F98" t="inlineStr">
        <is>
          <t>CC-300 Machinery</t>
        </is>
      </c>
      <c r="G98" s="3" t="n">
        <v>9264.08</v>
      </c>
    </row>
    <row r="99">
      <c r="A99" t="inlineStr">
        <is>
          <t>2025-10-13</t>
        </is>
      </c>
      <c r="B99" t="inlineStr">
        <is>
          <t>2025-Q4</t>
        </is>
      </c>
      <c r="C99" t="inlineStr">
        <is>
          <t>Sheep</t>
        </is>
      </c>
      <c r="D99" t="inlineStr">
        <is>
          <t>Lamb Sales</t>
        </is>
      </c>
      <c r="E99" t="inlineStr">
        <is>
          <t>Paddock A</t>
        </is>
      </c>
      <c r="F99" t="inlineStr">
        <is>
          <t>CC-200 Feed &amp; Vet</t>
        </is>
      </c>
      <c r="G99" s="3" t="n">
        <v>2766.64</v>
      </c>
    </row>
    <row r="100">
      <c r="A100" t="inlineStr">
        <is>
          <t>2026-03-25</t>
        </is>
      </c>
      <c r="B100" t="inlineStr">
        <is>
          <t>2026-Q1</t>
        </is>
      </c>
      <c r="C100" t="inlineStr">
        <is>
          <t>Sheep</t>
        </is>
      </c>
      <c r="D100" t="inlineStr">
        <is>
          <t>Wool Sales</t>
        </is>
      </c>
      <c r="E100" t="inlineStr">
        <is>
          <t>Paddock B</t>
        </is>
      </c>
      <c r="F100" t="inlineStr">
        <is>
          <t>CC-400 Admin</t>
        </is>
      </c>
      <c r="G100" s="3" t="n">
        <v>2365.77</v>
      </c>
    </row>
    <row r="101">
      <c r="A101" t="inlineStr">
        <is>
          <t>2026-05-14</t>
        </is>
      </c>
      <c r="B101" t="inlineStr">
        <is>
          <t>2026-Q2</t>
        </is>
      </c>
      <c r="C101" t="inlineStr">
        <is>
          <t>Sheep</t>
        </is>
      </c>
      <c r="D101" t="inlineStr">
        <is>
          <t>Lamb Sales</t>
        </is>
      </c>
      <c r="E101" t="inlineStr">
        <is>
          <t>Paddock A</t>
        </is>
      </c>
      <c r="F101" t="inlineStr">
        <is>
          <t>CC-100 Operations</t>
        </is>
      </c>
      <c r="G101" s="3" t="n">
        <v>4177.88</v>
      </c>
    </row>
    <row r="102">
      <c r="A102" t="inlineStr">
        <is>
          <t>2025-07-10</t>
        </is>
      </c>
      <c r="B102" t="inlineStr">
        <is>
          <t>2025-Q3</t>
        </is>
      </c>
      <c r="C102" t="inlineStr">
        <is>
          <t>Dairy</t>
        </is>
      </c>
      <c r="D102" t="inlineStr">
        <is>
          <t>Milk Sales</t>
        </is>
      </c>
      <c r="E102" t="inlineStr">
        <is>
          <t>Paddock C</t>
        </is>
      </c>
      <c r="F102" t="inlineStr">
        <is>
          <t>CC-200 Feed &amp; Vet</t>
        </is>
      </c>
      <c r="G102" s="3" t="n">
        <v>7596.5</v>
      </c>
    </row>
    <row r="103">
      <c r="A103" t="inlineStr">
        <is>
          <t>2025-12-21</t>
        </is>
      </c>
      <c r="B103" t="inlineStr">
        <is>
          <t>2025-Q4</t>
        </is>
      </c>
      <c r="C103" t="inlineStr">
        <is>
          <t>Dairy</t>
        </is>
      </c>
      <c r="D103" t="inlineStr">
        <is>
          <t>Calf Sales</t>
        </is>
      </c>
      <c r="E103" t="inlineStr">
        <is>
          <t>Flock A</t>
        </is>
      </c>
      <c r="F103" t="inlineStr">
        <is>
          <t>CC-400 Admin</t>
        </is>
      </c>
      <c r="G103" s="3" t="n">
        <v>1952.25</v>
      </c>
    </row>
    <row r="104">
      <c r="A104" t="inlineStr">
        <is>
          <t>2026-03-18</t>
        </is>
      </c>
      <c r="B104" t="inlineStr">
        <is>
          <t>2026-Q1</t>
        </is>
      </c>
      <c r="C104" t="inlineStr">
        <is>
          <t>Dairy</t>
        </is>
      </c>
      <c r="D104" t="inlineStr">
        <is>
          <t>Milk Sales</t>
        </is>
      </c>
      <c r="E104" t="inlineStr">
        <is>
          <t>Paddock A</t>
        </is>
      </c>
      <c r="F104" t="inlineStr">
        <is>
          <t>CC-400 Admin</t>
        </is>
      </c>
      <c r="G104" s="3" t="n">
        <v>2973.39</v>
      </c>
    </row>
    <row r="105">
      <c r="A105" t="inlineStr">
        <is>
          <t>2026-05-12</t>
        </is>
      </c>
      <c r="B105" t="inlineStr">
        <is>
          <t>2026-Q2</t>
        </is>
      </c>
      <c r="C105" t="inlineStr">
        <is>
          <t>Dairy</t>
        </is>
      </c>
      <c r="D105" t="inlineStr">
        <is>
          <t>Calf Sales</t>
        </is>
      </c>
      <c r="E105" t="inlineStr">
        <is>
          <t>Herd 1</t>
        </is>
      </c>
      <c r="F105" t="inlineStr">
        <is>
          <t>CC-300 Machinery</t>
        </is>
      </c>
      <c r="G105" s="3" t="n">
        <v>9081.68</v>
      </c>
    </row>
    <row r="106">
      <c r="A106" t="inlineStr">
        <is>
          <t>2025-07-29</t>
        </is>
      </c>
      <c r="B106" t="inlineStr">
        <is>
          <t>2025-Q3</t>
        </is>
      </c>
      <c r="C106" t="inlineStr">
        <is>
          <t>Wheat</t>
        </is>
      </c>
      <c r="D106" t="inlineStr">
        <is>
          <t>Grain Sales</t>
        </is>
      </c>
      <c r="E106" t="inlineStr">
        <is>
          <t>Paddock C</t>
        </is>
      </c>
      <c r="F106" t="inlineStr">
        <is>
          <t>CC-300 Machinery</t>
        </is>
      </c>
      <c r="G106" s="3" t="n">
        <v>1882.31</v>
      </c>
    </row>
    <row r="107">
      <c r="A107" t="inlineStr">
        <is>
          <t>2025-11-30</t>
        </is>
      </c>
      <c r="B107" t="inlineStr">
        <is>
          <t>2025-Q4</t>
        </is>
      </c>
      <c r="C107" t="inlineStr">
        <is>
          <t>Wheat</t>
        </is>
      </c>
      <c r="D107" t="inlineStr">
        <is>
          <t>Straw Sales</t>
        </is>
      </c>
      <c r="E107" t="inlineStr">
        <is>
          <t>Herd 1</t>
        </is>
      </c>
      <c r="F107" t="inlineStr">
        <is>
          <t>CC-400 Admin</t>
        </is>
      </c>
      <c r="G107" s="3" t="n">
        <v>8691.190000000001</v>
      </c>
    </row>
    <row r="108">
      <c r="A108" t="inlineStr">
        <is>
          <t>2026-01-10</t>
        </is>
      </c>
      <c r="B108" t="inlineStr">
        <is>
          <t>2026-Q1</t>
        </is>
      </c>
      <c r="C108" t="inlineStr">
        <is>
          <t>Wheat</t>
        </is>
      </c>
      <c r="D108" t="inlineStr">
        <is>
          <t>Grain Sales</t>
        </is>
      </c>
      <c r="E108" t="inlineStr">
        <is>
          <t>Paddock A</t>
        </is>
      </c>
      <c r="F108" t="inlineStr">
        <is>
          <t>CC-100 Operations</t>
        </is>
      </c>
      <c r="G108" s="3" t="n">
        <v>3123.79</v>
      </c>
    </row>
    <row r="109">
      <c r="A109" t="inlineStr">
        <is>
          <t>2026-06-16</t>
        </is>
      </c>
      <c r="B109" t="inlineStr">
        <is>
          <t>2026-Q2</t>
        </is>
      </c>
      <c r="C109" t="inlineStr">
        <is>
          <t>Wheat</t>
        </is>
      </c>
      <c r="D109" t="inlineStr">
        <is>
          <t>Straw Sales</t>
        </is>
      </c>
      <c r="E109" t="inlineStr">
        <is>
          <t>Paddock B</t>
        </is>
      </c>
      <c r="F109" t="inlineStr">
        <is>
          <t>CC-300 Machinery</t>
        </is>
      </c>
      <c r="G109" s="3" t="n">
        <v>3076.12</v>
      </c>
    </row>
    <row r="110">
      <c r="A110" t="inlineStr">
        <is>
          <t>2025-07-26</t>
        </is>
      </c>
      <c r="B110" t="inlineStr">
        <is>
          <t>2025-Q3</t>
        </is>
      </c>
      <c r="C110" t="inlineStr">
        <is>
          <t>Vegetables</t>
        </is>
      </c>
      <c r="D110" t="inlineStr">
        <is>
          <t>Vegetable Sales</t>
        </is>
      </c>
      <c r="E110" t="inlineStr">
        <is>
          <t>Paddock C</t>
        </is>
      </c>
      <c r="F110" t="inlineStr">
        <is>
          <t>CC-400 Admin</t>
        </is>
      </c>
      <c r="G110" s="3" t="n">
        <v>7470.83</v>
      </c>
    </row>
    <row r="111">
      <c r="A111" t="inlineStr">
        <is>
          <t>2025-11-23</t>
        </is>
      </c>
      <c r="B111" t="inlineStr">
        <is>
          <t>2025-Q4</t>
        </is>
      </c>
      <c r="C111" t="inlineStr">
        <is>
          <t>Vegetables</t>
        </is>
      </c>
      <c r="D111" t="inlineStr">
        <is>
          <t>Market Stall Sales</t>
        </is>
      </c>
      <c r="E111" t="inlineStr">
        <is>
          <t>Paddock B</t>
        </is>
      </c>
      <c r="F111" t="inlineStr">
        <is>
          <t>CC-400 Admin</t>
        </is>
      </c>
      <c r="G111" s="3" t="n">
        <v>7059.63</v>
      </c>
    </row>
    <row r="112">
      <c r="A112" t="inlineStr">
        <is>
          <t>2026-02-17</t>
        </is>
      </c>
      <c r="B112" t="inlineStr">
        <is>
          <t>2026-Q1</t>
        </is>
      </c>
      <c r="C112" t="inlineStr">
        <is>
          <t>Vegetables</t>
        </is>
      </c>
      <c r="D112" t="inlineStr">
        <is>
          <t>Vegetable Sales</t>
        </is>
      </c>
      <c r="E112" t="inlineStr">
        <is>
          <t>Flock A</t>
        </is>
      </c>
      <c r="F112" t="inlineStr">
        <is>
          <t>CC-200 Feed &amp; Vet</t>
        </is>
      </c>
      <c r="G112" s="3" t="n">
        <v>1477.96</v>
      </c>
    </row>
    <row r="113">
      <c r="A113" t="inlineStr">
        <is>
          <t>2026-06-14</t>
        </is>
      </c>
      <c r="B113" t="inlineStr">
        <is>
          <t>2026-Q2</t>
        </is>
      </c>
      <c r="C113" t="inlineStr">
        <is>
          <t>Vegetables</t>
        </is>
      </c>
      <c r="D113" t="inlineStr">
        <is>
          <t>Market Stall Sales</t>
        </is>
      </c>
      <c r="E113" t="inlineStr">
        <is>
          <t>Herd 1</t>
        </is>
      </c>
      <c r="F113" t="inlineStr">
        <is>
          <t>CC-200 Feed &amp; Vet</t>
        </is>
      </c>
      <c r="G113" s="3" t="n">
        <v>4493.54</v>
      </c>
    </row>
    <row r="114">
      <c r="A114" t="inlineStr">
        <is>
          <t>2025-08-05</t>
        </is>
      </c>
      <c r="B114" t="inlineStr">
        <is>
          <t>2025-Q3</t>
        </is>
      </c>
      <c r="C114" t="inlineStr">
        <is>
          <t>Poultry</t>
        </is>
      </c>
      <c r="D114" t="inlineStr">
        <is>
          <t>Egg Sales</t>
        </is>
      </c>
      <c r="E114" t="inlineStr">
        <is>
          <t>Paddock A</t>
        </is>
      </c>
      <c r="F114" t="inlineStr">
        <is>
          <t>CC-200 Feed &amp; Vet</t>
        </is>
      </c>
      <c r="G114" s="3" t="n">
        <v>6208.16</v>
      </c>
    </row>
    <row r="115">
      <c r="A115" t="inlineStr">
        <is>
          <t>2025-10-02</t>
        </is>
      </c>
      <c r="B115" t="inlineStr">
        <is>
          <t>2025-Q4</t>
        </is>
      </c>
      <c r="C115" t="inlineStr">
        <is>
          <t>Poultry</t>
        </is>
      </c>
      <c r="D115" t="inlineStr">
        <is>
          <t>Broiler Sales</t>
        </is>
      </c>
      <c r="E115" t="inlineStr">
        <is>
          <t>Herd 1</t>
        </is>
      </c>
      <c r="F115" t="inlineStr">
        <is>
          <t>CC-200 Feed &amp; Vet</t>
        </is>
      </c>
      <c r="G115" s="3" t="n">
        <v>4046.58</v>
      </c>
    </row>
    <row r="116">
      <c r="A116" t="inlineStr">
        <is>
          <t>2026-01-01</t>
        </is>
      </c>
      <c r="B116" t="inlineStr">
        <is>
          <t>2026-Q1</t>
        </is>
      </c>
      <c r="C116" t="inlineStr">
        <is>
          <t>Poultry</t>
        </is>
      </c>
      <c r="D116" t="inlineStr">
        <is>
          <t>Egg Sales</t>
        </is>
      </c>
      <c r="E116" t="inlineStr">
        <is>
          <t>Paddock C</t>
        </is>
      </c>
      <c r="F116" t="inlineStr">
        <is>
          <t>CC-300 Machinery</t>
        </is>
      </c>
      <c r="G116" s="3" t="n">
        <v>4292.43</v>
      </c>
    </row>
    <row r="117">
      <c r="A117" t="inlineStr">
        <is>
          <t>2026-04-29</t>
        </is>
      </c>
      <c r="B117" t="inlineStr">
        <is>
          <t>2026-Q2</t>
        </is>
      </c>
      <c r="C117" t="inlineStr">
        <is>
          <t>Poultry</t>
        </is>
      </c>
      <c r="D117" t="inlineStr">
        <is>
          <t>Broiler Sales</t>
        </is>
      </c>
      <c r="E117" t="inlineStr">
        <is>
          <t>Flock A</t>
        </is>
      </c>
      <c r="F117" t="inlineStr">
        <is>
          <t>CC-100 Operations</t>
        </is>
      </c>
      <c r="G117" s="3" t="n">
        <v>5182.91</v>
      </c>
    </row>
    <row r="118">
      <c r="A118" t="inlineStr">
        <is>
          <t>2025-07-11</t>
        </is>
      </c>
      <c r="B118" t="inlineStr">
        <is>
          <t>2025-Q3</t>
        </is>
      </c>
      <c r="C118" t="inlineStr">
        <is>
          <t>Sheep</t>
        </is>
      </c>
      <c r="D118" t="inlineStr">
        <is>
          <t>Wool Sales</t>
        </is>
      </c>
      <c r="E118" t="inlineStr">
        <is>
          <t>Paddock A</t>
        </is>
      </c>
      <c r="F118" t="inlineStr">
        <is>
          <t>CC-300 Machinery</t>
        </is>
      </c>
      <c r="G118" s="3" t="n">
        <v>7493.04</v>
      </c>
    </row>
    <row r="119">
      <c r="A119" t="inlineStr">
        <is>
          <t>2025-12-09</t>
        </is>
      </c>
      <c r="B119" t="inlineStr">
        <is>
          <t>2025-Q4</t>
        </is>
      </c>
      <c r="C119" t="inlineStr">
        <is>
          <t>Sheep</t>
        </is>
      </c>
      <c r="D119" t="inlineStr">
        <is>
          <t>Lamb Sales</t>
        </is>
      </c>
      <c r="E119" t="inlineStr">
        <is>
          <t>Herd 2</t>
        </is>
      </c>
      <c r="F119" t="inlineStr">
        <is>
          <t>CC-400 Admin</t>
        </is>
      </c>
      <c r="G119" s="3" t="n">
        <v>3793.99</v>
      </c>
    </row>
    <row r="120">
      <c r="A120" t="inlineStr">
        <is>
          <t>2026-01-14</t>
        </is>
      </c>
      <c r="B120" t="inlineStr">
        <is>
          <t>2026-Q1</t>
        </is>
      </c>
      <c r="C120" t="inlineStr">
        <is>
          <t>Sheep</t>
        </is>
      </c>
      <c r="D120" t="inlineStr">
        <is>
          <t>Wool Sales</t>
        </is>
      </c>
      <c r="E120" t="inlineStr">
        <is>
          <t>Paddock C</t>
        </is>
      </c>
      <c r="F120" t="inlineStr">
        <is>
          <t>CC-300 Machinery</t>
        </is>
      </c>
      <c r="G120" s="3" t="n">
        <v>7374.99</v>
      </c>
    </row>
    <row r="121">
      <c r="A121" t="inlineStr">
        <is>
          <t>2026-04-08</t>
        </is>
      </c>
      <c r="B121" t="inlineStr">
        <is>
          <t>2026-Q2</t>
        </is>
      </c>
      <c r="C121" t="inlineStr">
        <is>
          <t>Sheep</t>
        </is>
      </c>
      <c r="D121" t="inlineStr">
        <is>
          <t>Lamb Sales</t>
        </is>
      </c>
      <c r="E121" t="inlineStr">
        <is>
          <t>Herd 2</t>
        </is>
      </c>
      <c r="F121" t="inlineStr">
        <is>
          <t>CC-100 Operations</t>
        </is>
      </c>
      <c r="G121" s="3" t="n">
        <v>5967.94</v>
      </c>
    </row>
    <row r="122">
      <c r="A122" t="inlineStr">
        <is>
          <t>2025-07-31</t>
        </is>
      </c>
      <c r="B122" t="inlineStr">
        <is>
          <t>2025-Q3</t>
        </is>
      </c>
      <c r="C122" t="inlineStr">
        <is>
          <t>Dairy</t>
        </is>
      </c>
      <c r="D122" t="inlineStr">
        <is>
          <t>Milk Sales</t>
        </is>
      </c>
      <c r="E122" t="inlineStr">
        <is>
          <t>Paddock C</t>
        </is>
      </c>
      <c r="F122" t="inlineStr">
        <is>
          <t>CC-300 Machinery</t>
        </is>
      </c>
      <c r="G122" s="3" t="n">
        <v>1098.54</v>
      </c>
    </row>
    <row r="123">
      <c r="A123" t="inlineStr">
        <is>
          <t>2025-12-30</t>
        </is>
      </c>
      <c r="B123" t="inlineStr">
        <is>
          <t>2025-Q4</t>
        </is>
      </c>
      <c r="C123" t="inlineStr">
        <is>
          <t>Dairy</t>
        </is>
      </c>
      <c r="D123" t="inlineStr">
        <is>
          <t>Calf Sales</t>
        </is>
      </c>
      <c r="E123" t="inlineStr">
        <is>
          <t>Flock A</t>
        </is>
      </c>
      <c r="F123" t="inlineStr">
        <is>
          <t>CC-400 Admin</t>
        </is>
      </c>
      <c r="G123" s="3" t="n">
        <v>1223.01</v>
      </c>
    </row>
    <row r="124">
      <c r="A124" t="inlineStr">
        <is>
          <t>2026-01-21</t>
        </is>
      </c>
      <c r="B124" t="inlineStr">
        <is>
          <t>2026-Q1</t>
        </is>
      </c>
      <c r="C124" t="inlineStr">
        <is>
          <t>Dairy</t>
        </is>
      </c>
      <c r="D124" t="inlineStr">
        <is>
          <t>Milk Sales</t>
        </is>
      </c>
      <c r="E124" t="inlineStr">
        <is>
          <t>Paddock A</t>
        </is>
      </c>
      <c r="F124" t="inlineStr">
        <is>
          <t>CC-300 Machinery</t>
        </is>
      </c>
      <c r="G124" s="3" t="n">
        <v>3479.92</v>
      </c>
    </row>
    <row r="125">
      <c r="A125" t="inlineStr">
        <is>
          <t>2026-04-21</t>
        </is>
      </c>
      <c r="B125" t="inlineStr">
        <is>
          <t>2026-Q2</t>
        </is>
      </c>
      <c r="C125" t="inlineStr">
        <is>
          <t>Dairy</t>
        </is>
      </c>
      <c r="D125" t="inlineStr">
        <is>
          <t>Calf Sales</t>
        </is>
      </c>
      <c r="E125" t="inlineStr">
        <is>
          <t>Paddock A</t>
        </is>
      </c>
      <c r="F125" t="inlineStr">
        <is>
          <t>CC-400 Admin</t>
        </is>
      </c>
      <c r="G125" s="3" t="n">
        <v>3373.94</v>
      </c>
    </row>
    <row r="126">
      <c r="A126" t="inlineStr">
        <is>
          <t>2025-08-21</t>
        </is>
      </c>
      <c r="B126" t="inlineStr">
        <is>
          <t>2025-Q3</t>
        </is>
      </c>
      <c r="C126" t="inlineStr">
        <is>
          <t>Wheat</t>
        </is>
      </c>
      <c r="D126" t="inlineStr">
        <is>
          <t>Grain Sales</t>
        </is>
      </c>
      <c r="E126" t="inlineStr">
        <is>
          <t>Paddock A</t>
        </is>
      </c>
      <c r="F126" t="inlineStr">
        <is>
          <t>CC-100 Operations</t>
        </is>
      </c>
      <c r="G126" s="3" t="n">
        <v>670.8200000000001</v>
      </c>
    </row>
    <row r="127">
      <c r="A127" t="inlineStr">
        <is>
          <t>2025-11-05</t>
        </is>
      </c>
      <c r="B127" t="inlineStr">
        <is>
          <t>2025-Q4</t>
        </is>
      </c>
      <c r="C127" t="inlineStr">
        <is>
          <t>Wheat</t>
        </is>
      </c>
      <c r="D127" t="inlineStr">
        <is>
          <t>Straw Sales</t>
        </is>
      </c>
      <c r="E127" t="inlineStr">
        <is>
          <t>Paddock B</t>
        </is>
      </c>
      <c r="F127" t="inlineStr">
        <is>
          <t>CC-400 Admin</t>
        </is>
      </c>
      <c r="G127" s="3" t="n">
        <v>2962.74</v>
      </c>
    </row>
    <row r="128">
      <c r="A128" t="inlineStr">
        <is>
          <t>2026-03-01</t>
        </is>
      </c>
      <c r="B128" t="inlineStr">
        <is>
          <t>2026-Q1</t>
        </is>
      </c>
      <c r="C128" t="inlineStr">
        <is>
          <t>Wheat</t>
        </is>
      </c>
      <c r="D128" t="inlineStr">
        <is>
          <t>Grain Sales</t>
        </is>
      </c>
      <c r="E128" t="inlineStr">
        <is>
          <t>Herd 1</t>
        </is>
      </c>
      <c r="F128" t="inlineStr">
        <is>
          <t>CC-100 Operations</t>
        </is>
      </c>
      <c r="G128" s="3" t="n">
        <v>7315.08</v>
      </c>
    </row>
    <row r="129">
      <c r="A129" t="inlineStr">
        <is>
          <t>2026-05-11</t>
        </is>
      </c>
      <c r="B129" t="inlineStr">
        <is>
          <t>2026-Q2</t>
        </is>
      </c>
      <c r="C129" t="inlineStr">
        <is>
          <t>Wheat</t>
        </is>
      </c>
      <c r="D129" t="inlineStr">
        <is>
          <t>Straw Sales</t>
        </is>
      </c>
      <c r="E129" t="inlineStr">
        <is>
          <t>Herd 1</t>
        </is>
      </c>
      <c r="F129" t="inlineStr">
        <is>
          <t>CC-100 Operations</t>
        </is>
      </c>
      <c r="G129" s="3" t="n">
        <v>3329.34</v>
      </c>
    </row>
    <row r="130">
      <c r="A130" t="inlineStr">
        <is>
          <t>2025-08-10</t>
        </is>
      </c>
      <c r="B130" t="inlineStr">
        <is>
          <t>2025-Q3</t>
        </is>
      </c>
      <c r="C130" t="inlineStr">
        <is>
          <t>Vegetables</t>
        </is>
      </c>
      <c r="D130" t="inlineStr">
        <is>
          <t>Vegetable Sales</t>
        </is>
      </c>
      <c r="E130" t="inlineStr">
        <is>
          <t>Paddock B</t>
        </is>
      </c>
      <c r="F130" t="inlineStr">
        <is>
          <t>CC-400 Admin</t>
        </is>
      </c>
      <c r="G130" s="3" t="n">
        <v>3101.71</v>
      </c>
    </row>
    <row r="131">
      <c r="A131" t="inlineStr">
        <is>
          <t>2025-10-29</t>
        </is>
      </c>
      <c r="B131" t="inlineStr">
        <is>
          <t>2025-Q4</t>
        </is>
      </c>
      <c r="C131" t="inlineStr">
        <is>
          <t>Vegetables</t>
        </is>
      </c>
      <c r="D131" t="inlineStr">
        <is>
          <t>Market Stall Sales</t>
        </is>
      </c>
      <c r="E131" t="inlineStr">
        <is>
          <t>Flock A</t>
        </is>
      </c>
      <c r="F131" t="inlineStr">
        <is>
          <t>CC-300 Machinery</t>
        </is>
      </c>
      <c r="G131" s="3" t="n">
        <v>2001.38</v>
      </c>
    </row>
    <row r="132">
      <c r="A132" t="inlineStr">
        <is>
          <t>2026-03-21</t>
        </is>
      </c>
      <c r="B132" t="inlineStr">
        <is>
          <t>2026-Q1</t>
        </is>
      </c>
      <c r="C132" t="inlineStr">
        <is>
          <t>Vegetables</t>
        </is>
      </c>
      <c r="D132" t="inlineStr">
        <is>
          <t>Vegetable Sales</t>
        </is>
      </c>
      <c r="E132" t="inlineStr">
        <is>
          <t>Flock A</t>
        </is>
      </c>
      <c r="F132" t="inlineStr">
        <is>
          <t>CC-200 Feed &amp; Vet</t>
        </is>
      </c>
      <c r="G132" s="3" t="n">
        <v>9243.139999999999</v>
      </c>
    </row>
    <row r="133">
      <c r="A133" t="inlineStr">
        <is>
          <t>2026-06-23</t>
        </is>
      </c>
      <c r="B133" t="inlineStr">
        <is>
          <t>2026-Q2</t>
        </is>
      </c>
      <c r="C133" t="inlineStr">
        <is>
          <t>Vegetables</t>
        </is>
      </c>
      <c r="D133" t="inlineStr">
        <is>
          <t>Market Stall Sales</t>
        </is>
      </c>
      <c r="E133" t="inlineStr">
        <is>
          <t>Paddock C</t>
        </is>
      </c>
      <c r="F133" t="inlineStr">
        <is>
          <t>CC-400 Admin</t>
        </is>
      </c>
      <c r="G133" s="3" t="n">
        <v>1140.83</v>
      </c>
    </row>
    <row r="134">
      <c r="A134" t="inlineStr">
        <is>
          <t>2025-08-02</t>
        </is>
      </c>
      <c r="B134" t="inlineStr">
        <is>
          <t>2025-Q3</t>
        </is>
      </c>
      <c r="C134" t="inlineStr">
        <is>
          <t>Poultry</t>
        </is>
      </c>
      <c r="D134" t="inlineStr">
        <is>
          <t>Egg Sales</t>
        </is>
      </c>
      <c r="E134" t="inlineStr">
        <is>
          <t>Paddock C</t>
        </is>
      </c>
      <c r="F134" t="inlineStr">
        <is>
          <t>CC-200 Feed &amp; Vet</t>
        </is>
      </c>
      <c r="G134" s="3" t="n">
        <v>8627.1</v>
      </c>
    </row>
    <row r="135">
      <c r="A135" t="inlineStr">
        <is>
          <t>2025-11-14</t>
        </is>
      </c>
      <c r="B135" t="inlineStr">
        <is>
          <t>2025-Q4</t>
        </is>
      </c>
      <c r="C135" t="inlineStr">
        <is>
          <t>Poultry</t>
        </is>
      </c>
      <c r="D135" t="inlineStr">
        <is>
          <t>Broiler Sales</t>
        </is>
      </c>
      <c r="E135" t="inlineStr">
        <is>
          <t>Paddock A</t>
        </is>
      </c>
      <c r="F135" t="inlineStr">
        <is>
          <t>CC-300 Machinery</t>
        </is>
      </c>
      <c r="G135" s="3" t="n">
        <v>7387.99</v>
      </c>
    </row>
    <row r="136">
      <c r="A136" t="inlineStr">
        <is>
          <t>2026-02-12</t>
        </is>
      </c>
      <c r="B136" t="inlineStr">
        <is>
          <t>2026-Q1</t>
        </is>
      </c>
      <c r="C136" t="inlineStr">
        <is>
          <t>Poultry</t>
        </is>
      </c>
      <c r="D136" t="inlineStr">
        <is>
          <t>Egg Sales</t>
        </is>
      </c>
      <c r="E136" t="inlineStr">
        <is>
          <t>Herd 2</t>
        </is>
      </c>
      <c r="F136" t="inlineStr">
        <is>
          <t>CC-400 Admin</t>
        </is>
      </c>
      <c r="G136" s="3" t="n">
        <v>6061.37</v>
      </c>
    </row>
    <row r="137">
      <c r="A137" t="inlineStr">
        <is>
          <t>2026-04-24</t>
        </is>
      </c>
      <c r="B137" t="inlineStr">
        <is>
          <t>2026-Q2</t>
        </is>
      </c>
      <c r="C137" t="inlineStr">
        <is>
          <t>Poultry</t>
        </is>
      </c>
      <c r="D137" t="inlineStr">
        <is>
          <t>Broiler Sales</t>
        </is>
      </c>
      <c r="E137" t="inlineStr">
        <is>
          <t>Herd 1</t>
        </is>
      </c>
      <c r="F137" t="inlineStr">
        <is>
          <t>CC-300 Machinery</t>
        </is>
      </c>
      <c r="G137" s="3" t="n">
        <v>2673.54</v>
      </c>
    </row>
    <row r="138">
      <c r="A138" t="inlineStr">
        <is>
          <t>2025-09-06</t>
        </is>
      </c>
      <c r="B138" t="inlineStr">
        <is>
          <t>2025-Q3</t>
        </is>
      </c>
      <c r="C138" t="inlineStr">
        <is>
          <t>Sheep</t>
        </is>
      </c>
      <c r="D138" t="inlineStr">
        <is>
          <t>Wool Sales</t>
        </is>
      </c>
      <c r="E138" t="inlineStr">
        <is>
          <t>Paddock C</t>
        </is>
      </c>
      <c r="F138" t="inlineStr">
        <is>
          <t>CC-400 Admin</t>
        </is>
      </c>
      <c r="G138" s="3" t="n">
        <v>4169.83</v>
      </c>
    </row>
    <row r="139">
      <c r="A139" t="inlineStr">
        <is>
          <t>2025-10-12</t>
        </is>
      </c>
      <c r="B139" t="inlineStr">
        <is>
          <t>2025-Q4</t>
        </is>
      </c>
      <c r="C139" t="inlineStr">
        <is>
          <t>Sheep</t>
        </is>
      </c>
      <c r="D139" t="inlineStr">
        <is>
          <t>Lamb Sales</t>
        </is>
      </c>
      <c r="E139" t="inlineStr">
        <is>
          <t>Paddock C</t>
        </is>
      </c>
      <c r="F139" t="inlineStr">
        <is>
          <t>CC-300 Machinery</t>
        </is>
      </c>
      <c r="G139" s="3" t="n">
        <v>9200.76</v>
      </c>
    </row>
    <row r="140">
      <c r="A140" t="inlineStr">
        <is>
          <t>2026-03-17</t>
        </is>
      </c>
      <c r="B140" t="inlineStr">
        <is>
          <t>2026-Q1</t>
        </is>
      </c>
      <c r="C140" t="inlineStr">
        <is>
          <t>Sheep</t>
        </is>
      </c>
      <c r="D140" t="inlineStr">
        <is>
          <t>Wool Sales</t>
        </is>
      </c>
      <c r="E140" t="inlineStr">
        <is>
          <t>Herd 2</t>
        </is>
      </c>
      <c r="F140" t="inlineStr">
        <is>
          <t>CC-200 Feed &amp; Vet</t>
        </is>
      </c>
      <c r="G140" s="3" t="n">
        <v>8855.58</v>
      </c>
    </row>
    <row r="141">
      <c r="A141" t="inlineStr">
        <is>
          <t>2026-04-15</t>
        </is>
      </c>
      <c r="B141" t="inlineStr">
        <is>
          <t>2026-Q2</t>
        </is>
      </c>
      <c r="C141" t="inlineStr">
        <is>
          <t>Sheep</t>
        </is>
      </c>
      <c r="D141" t="inlineStr">
        <is>
          <t>Lamb Sales</t>
        </is>
      </c>
      <c r="E141" t="inlineStr">
        <is>
          <t>Paddock A</t>
        </is>
      </c>
      <c r="F141" t="inlineStr">
        <is>
          <t>CC-300 Machinery</t>
        </is>
      </c>
      <c r="G141" s="3" t="n">
        <v>3300.83</v>
      </c>
    </row>
    <row r="142">
      <c r="A142" t="inlineStr">
        <is>
          <t>2025-08-10</t>
        </is>
      </c>
      <c r="B142" t="inlineStr">
        <is>
          <t>2025-Q3</t>
        </is>
      </c>
      <c r="C142" t="inlineStr">
        <is>
          <t>Dairy</t>
        </is>
      </c>
      <c r="D142" t="inlineStr">
        <is>
          <t>Milk Sales</t>
        </is>
      </c>
      <c r="E142" t="inlineStr">
        <is>
          <t>Herd 2</t>
        </is>
      </c>
      <c r="F142" t="inlineStr">
        <is>
          <t>CC-200 Feed &amp; Vet</t>
        </is>
      </c>
      <c r="G142" s="3" t="n">
        <v>698.14</v>
      </c>
    </row>
    <row r="143">
      <c r="A143" t="inlineStr">
        <is>
          <t>2025-11-19</t>
        </is>
      </c>
      <c r="B143" t="inlineStr">
        <is>
          <t>2025-Q4</t>
        </is>
      </c>
      <c r="C143" t="inlineStr">
        <is>
          <t>Dairy</t>
        </is>
      </c>
      <c r="D143" t="inlineStr">
        <is>
          <t>Calf Sales</t>
        </is>
      </c>
      <c r="E143" t="inlineStr">
        <is>
          <t>Paddock C</t>
        </is>
      </c>
      <c r="F143" t="inlineStr">
        <is>
          <t>CC-200 Feed &amp; Vet</t>
        </is>
      </c>
      <c r="G143" s="3" t="n">
        <v>5323.52</v>
      </c>
    </row>
    <row r="144">
      <c r="A144" t="inlineStr">
        <is>
          <t>2026-03-14</t>
        </is>
      </c>
      <c r="B144" t="inlineStr">
        <is>
          <t>2026-Q1</t>
        </is>
      </c>
      <c r="C144" t="inlineStr">
        <is>
          <t>Dairy</t>
        </is>
      </c>
      <c r="D144" t="inlineStr">
        <is>
          <t>Milk Sales</t>
        </is>
      </c>
      <c r="E144" t="inlineStr">
        <is>
          <t>Flock A</t>
        </is>
      </c>
      <c r="F144" t="inlineStr">
        <is>
          <t>CC-400 Admin</t>
        </is>
      </c>
      <c r="G144" s="3" t="n">
        <v>8060.23</v>
      </c>
    </row>
    <row r="145">
      <c r="A145" t="inlineStr">
        <is>
          <t>2026-04-05</t>
        </is>
      </c>
      <c r="B145" t="inlineStr">
        <is>
          <t>2026-Q2</t>
        </is>
      </c>
      <c r="C145" t="inlineStr">
        <is>
          <t>Dairy</t>
        </is>
      </c>
      <c r="D145" t="inlineStr">
        <is>
          <t>Calf Sales</t>
        </is>
      </c>
      <c r="E145" t="inlineStr">
        <is>
          <t>Paddock B</t>
        </is>
      </c>
      <c r="F145" t="inlineStr">
        <is>
          <t>CC-200 Feed &amp; Vet</t>
        </is>
      </c>
      <c r="G145" s="3" t="n">
        <v>1047.62</v>
      </c>
    </row>
    <row r="146">
      <c r="A146" t="inlineStr">
        <is>
          <t>2025-09-17</t>
        </is>
      </c>
      <c r="B146" t="inlineStr">
        <is>
          <t>2025-Q3</t>
        </is>
      </c>
      <c r="C146" t="inlineStr">
        <is>
          <t>Wheat</t>
        </is>
      </c>
      <c r="D146" t="inlineStr">
        <is>
          <t>Grain Sales</t>
        </is>
      </c>
      <c r="E146" t="inlineStr">
        <is>
          <t>Herd 1</t>
        </is>
      </c>
      <c r="F146" t="inlineStr">
        <is>
          <t>CC-400 Admin</t>
        </is>
      </c>
      <c r="G146" s="3" t="n">
        <v>433.93</v>
      </c>
    </row>
    <row r="147">
      <c r="A147" t="inlineStr">
        <is>
          <t>2025-12-04</t>
        </is>
      </c>
      <c r="B147" t="inlineStr">
        <is>
          <t>2025-Q4</t>
        </is>
      </c>
      <c r="C147" t="inlineStr">
        <is>
          <t>Wheat</t>
        </is>
      </c>
      <c r="D147" t="inlineStr">
        <is>
          <t>Straw Sales</t>
        </is>
      </c>
      <c r="E147" t="inlineStr">
        <is>
          <t>Paddock B</t>
        </is>
      </c>
      <c r="F147" t="inlineStr">
        <is>
          <t>CC-400 Admin</t>
        </is>
      </c>
      <c r="G147" s="3" t="n">
        <v>4028.23</v>
      </c>
    </row>
    <row r="148">
      <c r="A148" t="inlineStr">
        <is>
          <t>2026-02-24</t>
        </is>
      </c>
      <c r="B148" t="inlineStr">
        <is>
          <t>2026-Q1</t>
        </is>
      </c>
      <c r="C148" t="inlineStr">
        <is>
          <t>Wheat</t>
        </is>
      </c>
      <c r="D148" t="inlineStr">
        <is>
          <t>Grain Sales</t>
        </is>
      </c>
      <c r="E148" t="inlineStr">
        <is>
          <t>Flock A</t>
        </is>
      </c>
      <c r="F148" t="inlineStr">
        <is>
          <t>CC-200 Feed &amp; Vet</t>
        </is>
      </c>
      <c r="G148" s="3" t="n">
        <v>496.24</v>
      </c>
    </row>
    <row r="149">
      <c r="A149" t="inlineStr">
        <is>
          <t>2026-06-18</t>
        </is>
      </c>
      <c r="B149" t="inlineStr">
        <is>
          <t>2026-Q2</t>
        </is>
      </c>
      <c r="C149" t="inlineStr">
        <is>
          <t>Wheat</t>
        </is>
      </c>
      <c r="D149" t="inlineStr">
        <is>
          <t>Straw Sales</t>
        </is>
      </c>
      <c r="E149" t="inlineStr">
        <is>
          <t>Paddock B</t>
        </is>
      </c>
      <c r="F149" t="inlineStr">
        <is>
          <t>CC-200 Feed &amp; Vet</t>
        </is>
      </c>
      <c r="G149" s="3" t="n">
        <v>8255.35</v>
      </c>
    </row>
    <row r="150">
      <c r="A150" t="inlineStr">
        <is>
          <t>2025-09-02</t>
        </is>
      </c>
      <c r="B150" t="inlineStr">
        <is>
          <t>2025-Q3</t>
        </is>
      </c>
      <c r="C150" t="inlineStr">
        <is>
          <t>Vegetables</t>
        </is>
      </c>
      <c r="D150" t="inlineStr">
        <is>
          <t>Vegetable Sales</t>
        </is>
      </c>
      <c r="E150" t="inlineStr">
        <is>
          <t>Herd 2</t>
        </is>
      </c>
      <c r="F150" t="inlineStr">
        <is>
          <t>CC-400 Admin</t>
        </is>
      </c>
      <c r="G150" s="3" t="n">
        <v>2311.26</v>
      </c>
    </row>
    <row r="151">
      <c r="A151" t="inlineStr">
        <is>
          <t>2025-12-06</t>
        </is>
      </c>
      <c r="B151" t="inlineStr">
        <is>
          <t>2025-Q4</t>
        </is>
      </c>
      <c r="C151" t="inlineStr">
        <is>
          <t>Vegetables</t>
        </is>
      </c>
      <c r="D151" t="inlineStr">
        <is>
          <t>Market Stall Sales</t>
        </is>
      </c>
      <c r="E151" t="inlineStr">
        <is>
          <t>Paddock A</t>
        </is>
      </c>
      <c r="F151" t="inlineStr">
        <is>
          <t>CC-100 Operations</t>
        </is>
      </c>
      <c r="G151" s="3" t="n">
        <v>6854.76</v>
      </c>
    </row>
    <row r="152">
      <c r="A152" t="inlineStr">
        <is>
          <t>2026-03-14</t>
        </is>
      </c>
      <c r="B152" t="inlineStr">
        <is>
          <t>2026-Q1</t>
        </is>
      </c>
      <c r="C152" t="inlineStr">
        <is>
          <t>Vegetables</t>
        </is>
      </c>
      <c r="D152" t="inlineStr">
        <is>
          <t>Vegetable Sales</t>
        </is>
      </c>
      <c r="E152" t="inlineStr">
        <is>
          <t>Paddock C</t>
        </is>
      </c>
      <c r="F152" t="inlineStr">
        <is>
          <t>CC-200 Feed &amp; Vet</t>
        </is>
      </c>
      <c r="G152" s="3" t="n">
        <v>345.41</v>
      </c>
    </row>
    <row r="153">
      <c r="A153" t="inlineStr">
        <is>
          <t>2026-04-22</t>
        </is>
      </c>
      <c r="B153" t="inlineStr">
        <is>
          <t>2026-Q2</t>
        </is>
      </c>
      <c r="C153" t="inlineStr">
        <is>
          <t>Vegetables</t>
        </is>
      </c>
      <c r="D153" t="inlineStr">
        <is>
          <t>Market Stall Sales</t>
        </is>
      </c>
      <c r="E153" t="inlineStr">
        <is>
          <t>Flock A</t>
        </is>
      </c>
      <c r="F153" t="inlineStr">
        <is>
          <t>CC-300 Machinery</t>
        </is>
      </c>
      <c r="G153" s="3" t="n">
        <v>5500.9</v>
      </c>
    </row>
    <row r="154">
      <c r="A154" t="inlineStr">
        <is>
          <t>2025-09-05</t>
        </is>
      </c>
      <c r="B154" t="inlineStr">
        <is>
          <t>2025-Q3</t>
        </is>
      </c>
      <c r="C154" t="inlineStr">
        <is>
          <t>Poultry</t>
        </is>
      </c>
      <c r="D154" t="inlineStr">
        <is>
          <t>Egg Sales</t>
        </is>
      </c>
      <c r="E154" t="inlineStr">
        <is>
          <t>Herd 1</t>
        </is>
      </c>
      <c r="F154" t="inlineStr">
        <is>
          <t>CC-200 Feed &amp; Vet</t>
        </is>
      </c>
      <c r="G154" s="3" t="n">
        <v>8177.95</v>
      </c>
    </row>
    <row r="155">
      <c r="A155" t="inlineStr">
        <is>
          <t>2025-11-28</t>
        </is>
      </c>
      <c r="B155" t="inlineStr">
        <is>
          <t>2025-Q4</t>
        </is>
      </c>
      <c r="C155" t="inlineStr">
        <is>
          <t>Poultry</t>
        </is>
      </c>
      <c r="D155" t="inlineStr">
        <is>
          <t>Broiler Sales</t>
        </is>
      </c>
      <c r="E155" t="inlineStr">
        <is>
          <t>Paddock B</t>
        </is>
      </c>
      <c r="F155" t="inlineStr">
        <is>
          <t>CC-300 Machinery</t>
        </is>
      </c>
      <c r="G155" s="3" t="n">
        <v>353.18</v>
      </c>
    </row>
    <row r="156">
      <c r="A156" t="inlineStr">
        <is>
          <t>2026-02-25</t>
        </is>
      </c>
      <c r="B156" t="inlineStr">
        <is>
          <t>2026-Q1</t>
        </is>
      </c>
      <c r="C156" t="inlineStr">
        <is>
          <t>Poultry</t>
        </is>
      </c>
      <c r="D156" t="inlineStr">
        <is>
          <t>Egg Sales</t>
        </is>
      </c>
      <c r="E156" t="inlineStr">
        <is>
          <t>Herd 1</t>
        </is>
      </c>
      <c r="F156" t="inlineStr">
        <is>
          <t>CC-200 Feed &amp; Vet</t>
        </is>
      </c>
      <c r="G156" s="3" t="n">
        <v>1627.89</v>
      </c>
    </row>
    <row r="157">
      <c r="A157" t="inlineStr">
        <is>
          <t>2026-06-22</t>
        </is>
      </c>
      <c r="B157" t="inlineStr">
        <is>
          <t>2026-Q2</t>
        </is>
      </c>
      <c r="C157" t="inlineStr">
        <is>
          <t>Poultry</t>
        </is>
      </c>
      <c r="D157" t="inlineStr">
        <is>
          <t>Broiler Sales</t>
        </is>
      </c>
      <c r="E157" t="inlineStr">
        <is>
          <t>Herd 1</t>
        </is>
      </c>
      <c r="F157" t="inlineStr">
        <is>
          <t>CC-200 Feed &amp; Vet</t>
        </is>
      </c>
      <c r="G157" s="3" t="n">
        <v>3087.57</v>
      </c>
    </row>
    <row r="158">
      <c r="A158" t="inlineStr">
        <is>
          <t>2025-08-21</t>
        </is>
      </c>
      <c r="B158" t="inlineStr">
        <is>
          <t>2025-Q3</t>
        </is>
      </c>
      <c r="C158" t="inlineStr">
        <is>
          <t>Sheep</t>
        </is>
      </c>
      <c r="D158" t="inlineStr">
        <is>
          <t>Wool Sales</t>
        </is>
      </c>
      <c r="E158" t="inlineStr">
        <is>
          <t>Paddock A</t>
        </is>
      </c>
      <c r="F158" t="inlineStr">
        <is>
          <t>CC-300 Machinery</t>
        </is>
      </c>
      <c r="G158" s="3" t="n">
        <v>8746.610000000001</v>
      </c>
    </row>
    <row r="159">
      <c r="A159" t="inlineStr">
        <is>
          <t>2025-11-05</t>
        </is>
      </c>
      <c r="B159" t="inlineStr">
        <is>
          <t>2025-Q4</t>
        </is>
      </c>
      <c r="C159" t="inlineStr">
        <is>
          <t>Sheep</t>
        </is>
      </c>
      <c r="D159" t="inlineStr">
        <is>
          <t>Lamb Sales</t>
        </is>
      </c>
      <c r="E159" t="inlineStr">
        <is>
          <t>Flock A</t>
        </is>
      </c>
      <c r="F159" t="inlineStr">
        <is>
          <t>CC-100 Operations</t>
        </is>
      </c>
      <c r="G159" s="3" t="n">
        <v>4071.72</v>
      </c>
    </row>
    <row r="160">
      <c r="A160" t="inlineStr">
        <is>
          <t>2026-01-27</t>
        </is>
      </c>
      <c r="B160" t="inlineStr">
        <is>
          <t>2026-Q1</t>
        </is>
      </c>
      <c r="C160" t="inlineStr">
        <is>
          <t>Sheep</t>
        </is>
      </c>
      <c r="D160" t="inlineStr">
        <is>
          <t>Wool Sales</t>
        </is>
      </c>
      <c r="E160" t="inlineStr">
        <is>
          <t>Herd 2</t>
        </is>
      </c>
      <c r="F160" t="inlineStr">
        <is>
          <t>CC-400 Admin</t>
        </is>
      </c>
      <c r="G160" s="3" t="n">
        <v>8806.42</v>
      </c>
    </row>
    <row r="161">
      <c r="A161" t="inlineStr">
        <is>
          <t>2026-06-15</t>
        </is>
      </c>
      <c r="B161" t="inlineStr">
        <is>
          <t>2026-Q2</t>
        </is>
      </c>
      <c r="C161" t="inlineStr">
        <is>
          <t>Sheep</t>
        </is>
      </c>
      <c r="D161" t="inlineStr">
        <is>
          <t>Lamb Sales</t>
        </is>
      </c>
      <c r="E161" t="inlineStr">
        <is>
          <t>Paddock A</t>
        </is>
      </c>
      <c r="F161" t="inlineStr">
        <is>
          <t>CC-300 Machinery</t>
        </is>
      </c>
      <c r="G161" s="3" t="n">
        <v>8679.1</v>
      </c>
    </row>
    <row r="162">
      <c r="A162" t="inlineStr">
        <is>
          <t>2025-08-05</t>
        </is>
      </c>
      <c r="B162" t="inlineStr">
        <is>
          <t>2025-Q3</t>
        </is>
      </c>
      <c r="C162" t="inlineStr">
        <is>
          <t>Dairy</t>
        </is>
      </c>
      <c r="D162" t="inlineStr">
        <is>
          <t>Milk Sales</t>
        </is>
      </c>
      <c r="E162" t="inlineStr">
        <is>
          <t>Flock A</t>
        </is>
      </c>
      <c r="F162" t="inlineStr">
        <is>
          <t>CC-200 Feed &amp; Vet</t>
        </is>
      </c>
      <c r="G162" s="3" t="n">
        <v>9194.700000000001</v>
      </c>
    </row>
    <row r="163">
      <c r="A163" t="inlineStr">
        <is>
          <t>2025-10-23</t>
        </is>
      </c>
      <c r="B163" t="inlineStr">
        <is>
          <t>2025-Q4</t>
        </is>
      </c>
      <c r="C163" t="inlineStr">
        <is>
          <t>Dairy</t>
        </is>
      </c>
      <c r="D163" t="inlineStr">
        <is>
          <t>Calf Sales</t>
        </is>
      </c>
      <c r="E163" t="inlineStr">
        <is>
          <t>Herd 1</t>
        </is>
      </c>
      <c r="F163" t="inlineStr">
        <is>
          <t>CC-400 Admin</t>
        </is>
      </c>
      <c r="G163" s="3" t="n">
        <v>1590.22</v>
      </c>
    </row>
    <row r="164">
      <c r="A164" t="inlineStr">
        <is>
          <t>2026-03-13</t>
        </is>
      </c>
      <c r="B164" t="inlineStr">
        <is>
          <t>2026-Q1</t>
        </is>
      </c>
      <c r="C164" t="inlineStr">
        <is>
          <t>Dairy</t>
        </is>
      </c>
      <c r="D164" t="inlineStr">
        <is>
          <t>Milk Sales</t>
        </is>
      </c>
      <c r="E164" t="inlineStr">
        <is>
          <t>Herd 1</t>
        </is>
      </c>
      <c r="F164" t="inlineStr">
        <is>
          <t>CC-100 Operations</t>
        </is>
      </c>
      <c r="G164" s="3" t="n">
        <v>6911.59</v>
      </c>
    </row>
    <row r="165">
      <c r="A165" t="inlineStr">
        <is>
          <t>2026-06-27</t>
        </is>
      </c>
      <c r="B165" t="inlineStr">
        <is>
          <t>2026-Q2</t>
        </is>
      </c>
      <c r="C165" t="inlineStr">
        <is>
          <t>Dairy</t>
        </is>
      </c>
      <c r="D165" t="inlineStr">
        <is>
          <t>Calf Sales</t>
        </is>
      </c>
      <c r="E165" t="inlineStr">
        <is>
          <t>Flock A</t>
        </is>
      </c>
      <c r="F165" t="inlineStr">
        <is>
          <t>CC-300 Machinery</t>
        </is>
      </c>
      <c r="G165" s="3" t="n">
        <v>4343.86</v>
      </c>
    </row>
    <row r="166">
      <c r="A166" t="inlineStr">
        <is>
          <t>2025-08-05</t>
        </is>
      </c>
      <c r="B166" t="inlineStr">
        <is>
          <t>2025-Q3</t>
        </is>
      </c>
      <c r="C166" t="inlineStr">
        <is>
          <t>Wheat</t>
        </is>
      </c>
      <c r="D166" t="inlineStr">
        <is>
          <t>Grain Sales</t>
        </is>
      </c>
      <c r="E166" t="inlineStr">
        <is>
          <t>Paddock C</t>
        </is>
      </c>
      <c r="F166" t="inlineStr">
        <is>
          <t>CC-100 Operations</t>
        </is>
      </c>
      <c r="G166" s="3" t="n">
        <v>3565.45</v>
      </c>
    </row>
    <row r="167">
      <c r="A167" t="inlineStr">
        <is>
          <t>2025-11-04</t>
        </is>
      </c>
      <c r="B167" t="inlineStr">
        <is>
          <t>2025-Q4</t>
        </is>
      </c>
      <c r="C167" t="inlineStr">
        <is>
          <t>Wheat</t>
        </is>
      </c>
      <c r="D167" t="inlineStr">
        <is>
          <t>Straw Sales</t>
        </is>
      </c>
      <c r="E167" t="inlineStr">
        <is>
          <t>Paddock C</t>
        </is>
      </c>
      <c r="F167" t="inlineStr">
        <is>
          <t>CC-100 Operations</t>
        </is>
      </c>
      <c r="G167" s="3" t="n">
        <v>6085.28</v>
      </c>
    </row>
    <row r="168">
      <c r="A168" t="inlineStr">
        <is>
          <t>2026-03-14</t>
        </is>
      </c>
      <c r="B168" t="inlineStr">
        <is>
          <t>2026-Q1</t>
        </is>
      </c>
      <c r="C168" t="inlineStr">
        <is>
          <t>Wheat</t>
        </is>
      </c>
      <c r="D168" t="inlineStr">
        <is>
          <t>Grain Sales</t>
        </is>
      </c>
      <c r="E168" t="inlineStr">
        <is>
          <t>Paddock A</t>
        </is>
      </c>
      <c r="F168" t="inlineStr">
        <is>
          <t>CC-400 Admin</t>
        </is>
      </c>
      <c r="G168" s="3" t="n">
        <v>2837.82</v>
      </c>
    </row>
    <row r="169">
      <c r="A169" t="inlineStr">
        <is>
          <t>2026-04-16</t>
        </is>
      </c>
      <c r="B169" t="inlineStr">
        <is>
          <t>2026-Q2</t>
        </is>
      </c>
      <c r="C169" t="inlineStr">
        <is>
          <t>Wheat</t>
        </is>
      </c>
      <c r="D169" t="inlineStr">
        <is>
          <t>Straw Sales</t>
        </is>
      </c>
      <c r="E169" t="inlineStr">
        <is>
          <t>Herd 1</t>
        </is>
      </c>
      <c r="F169" t="inlineStr">
        <is>
          <t>CC-400 Admin</t>
        </is>
      </c>
      <c r="G169" s="3" t="n">
        <v>1688.44</v>
      </c>
    </row>
    <row r="170">
      <c r="A170" t="inlineStr">
        <is>
          <t>2025-07-19</t>
        </is>
      </c>
      <c r="B170" t="inlineStr">
        <is>
          <t>2025-Q3</t>
        </is>
      </c>
      <c r="C170" t="inlineStr">
        <is>
          <t>Vegetables</t>
        </is>
      </c>
      <c r="D170" t="inlineStr">
        <is>
          <t>Vegetable Sales</t>
        </is>
      </c>
      <c r="E170" t="inlineStr">
        <is>
          <t>Flock A</t>
        </is>
      </c>
      <c r="F170" t="inlineStr">
        <is>
          <t>CC-400 Admin</t>
        </is>
      </c>
      <c r="G170" s="3" t="n">
        <v>8251.959999999999</v>
      </c>
    </row>
    <row r="171">
      <c r="A171" t="inlineStr">
        <is>
          <t>2025-10-31</t>
        </is>
      </c>
      <c r="B171" t="inlineStr">
        <is>
          <t>2025-Q4</t>
        </is>
      </c>
      <c r="C171" t="inlineStr">
        <is>
          <t>Vegetables</t>
        </is>
      </c>
      <c r="D171" t="inlineStr">
        <is>
          <t>Market Stall Sales</t>
        </is>
      </c>
      <c r="E171" t="inlineStr">
        <is>
          <t>Herd 1</t>
        </is>
      </c>
      <c r="F171" t="inlineStr">
        <is>
          <t>CC-300 Machinery</t>
        </is>
      </c>
      <c r="G171" s="3" t="n">
        <v>1879.96</v>
      </c>
    </row>
    <row r="172">
      <c r="A172" t="inlineStr">
        <is>
          <t>2026-01-17</t>
        </is>
      </c>
      <c r="B172" t="inlineStr">
        <is>
          <t>2026-Q1</t>
        </is>
      </c>
      <c r="C172" t="inlineStr">
        <is>
          <t>Vegetables</t>
        </is>
      </c>
      <c r="D172" t="inlineStr">
        <is>
          <t>Vegetable Sales</t>
        </is>
      </c>
      <c r="E172" t="inlineStr">
        <is>
          <t>Paddock B</t>
        </is>
      </c>
      <c r="F172" t="inlineStr">
        <is>
          <t>CC-200 Feed &amp; Vet</t>
        </is>
      </c>
      <c r="G172" s="3" t="n">
        <v>891.66</v>
      </c>
    </row>
    <row r="173">
      <c r="A173" t="inlineStr">
        <is>
          <t>2026-04-24</t>
        </is>
      </c>
      <c r="B173" t="inlineStr">
        <is>
          <t>2026-Q2</t>
        </is>
      </c>
      <c r="C173" t="inlineStr">
        <is>
          <t>Vegetables</t>
        </is>
      </c>
      <c r="D173" t="inlineStr">
        <is>
          <t>Market Stall Sales</t>
        </is>
      </c>
      <c r="E173" t="inlineStr">
        <is>
          <t>Herd 2</t>
        </is>
      </c>
      <c r="F173" t="inlineStr">
        <is>
          <t>CC-100 Operations</t>
        </is>
      </c>
      <c r="G173" s="3" t="n">
        <v>7208.91</v>
      </c>
    </row>
  </sheetData>
  <autoFilter ref="A1:G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Quarter</t>
        </is>
      </c>
      <c r="C1" s="2" t="inlineStr">
        <is>
          <t>Enterprise</t>
        </is>
      </c>
      <c r="D1" s="2" t="inlineStr">
        <is>
          <t>Category</t>
        </is>
      </c>
      <c r="E1" s="2" t="inlineStr">
        <is>
          <t>Paddock/Herd</t>
        </is>
      </c>
      <c r="F1" s="2" t="inlineStr">
        <is>
          <t>Cost Centre</t>
        </is>
      </c>
      <c r="G1" s="2" t="inlineStr">
        <is>
          <t>Amount</t>
        </is>
      </c>
    </row>
    <row r="2">
      <c r="A2" t="inlineStr">
        <is>
          <t>2025-08-08</t>
        </is>
      </c>
      <c r="B2" t="inlineStr">
        <is>
          <t>2025-Q3</t>
        </is>
      </c>
      <c r="C2" t="inlineStr">
        <is>
          <t>Dairy</t>
        </is>
      </c>
      <c r="D2" t="inlineStr">
        <is>
          <t>Feed</t>
        </is>
      </c>
      <c r="E2" t="inlineStr">
        <is>
          <t>Flock A</t>
        </is>
      </c>
      <c r="F2" t="inlineStr">
        <is>
          <t>CC-300 Machinery</t>
        </is>
      </c>
      <c r="G2" s="3" t="n">
        <v>1103.64</v>
      </c>
    </row>
    <row r="3">
      <c r="A3" t="inlineStr">
        <is>
          <t>2025-11-29</t>
        </is>
      </c>
      <c r="B3" t="inlineStr">
        <is>
          <t>2025-Q4</t>
        </is>
      </c>
      <c r="C3" t="inlineStr">
        <is>
          <t>Dairy</t>
        </is>
      </c>
      <c r="D3" t="inlineStr">
        <is>
          <t>Labour</t>
        </is>
      </c>
      <c r="E3" t="inlineStr">
        <is>
          <t>Paddock C</t>
        </is>
      </c>
      <c r="F3" t="inlineStr">
        <is>
          <t>CC-300 Machinery</t>
        </is>
      </c>
      <c r="G3" s="3" t="n">
        <v>2658.34</v>
      </c>
    </row>
    <row r="4">
      <c r="A4" t="inlineStr">
        <is>
          <t>2026-01-10</t>
        </is>
      </c>
      <c r="B4" t="inlineStr">
        <is>
          <t>2026-Q1</t>
        </is>
      </c>
      <c r="C4" t="inlineStr">
        <is>
          <t>Dairy</t>
        </is>
      </c>
      <c r="D4" t="inlineStr">
        <is>
          <t>Veterinary</t>
        </is>
      </c>
      <c r="E4" t="inlineStr">
        <is>
          <t>Paddock C</t>
        </is>
      </c>
      <c r="F4" t="inlineStr">
        <is>
          <t>CC-300 Machinery</t>
        </is>
      </c>
      <c r="G4" s="3" t="n">
        <v>1429.54</v>
      </c>
    </row>
    <row r="5">
      <c r="A5" t="inlineStr">
        <is>
          <t>2026-05-13</t>
        </is>
      </c>
      <c r="B5" t="inlineStr">
        <is>
          <t>2026-Q2</t>
        </is>
      </c>
      <c r="C5" t="inlineStr">
        <is>
          <t>Dairy</t>
        </is>
      </c>
      <c r="D5" t="inlineStr">
        <is>
          <t>Fuel &amp; Machinery</t>
        </is>
      </c>
      <c r="E5" t="inlineStr">
        <is>
          <t>Herd 2</t>
        </is>
      </c>
      <c r="F5" t="inlineStr">
        <is>
          <t>CC-400 Admin</t>
        </is>
      </c>
      <c r="G5" s="3" t="n">
        <v>5054.29</v>
      </c>
    </row>
    <row r="6">
      <c r="A6" t="inlineStr">
        <is>
          <t>2025-07-07</t>
        </is>
      </c>
      <c r="B6" t="inlineStr">
        <is>
          <t>2025-Q3</t>
        </is>
      </c>
      <c r="C6" t="inlineStr">
        <is>
          <t>Wheat</t>
        </is>
      </c>
      <c r="D6" t="inlineStr">
        <is>
          <t>Fertiliser &amp; Seed</t>
        </is>
      </c>
      <c r="E6" t="inlineStr">
        <is>
          <t>Herd 2</t>
        </is>
      </c>
      <c r="F6" t="inlineStr">
        <is>
          <t>CC-400 Admin</t>
        </is>
      </c>
      <c r="G6" s="3" t="n">
        <v>2824.09</v>
      </c>
    </row>
    <row r="7">
      <c r="A7" t="inlineStr">
        <is>
          <t>2025-11-10</t>
        </is>
      </c>
      <c r="B7" t="inlineStr">
        <is>
          <t>2025-Q4</t>
        </is>
      </c>
      <c r="C7" t="inlineStr">
        <is>
          <t>Wheat</t>
        </is>
      </c>
      <c r="D7" t="inlineStr">
        <is>
          <t>Transport</t>
        </is>
      </c>
      <c r="E7" t="inlineStr">
        <is>
          <t>Herd 2</t>
        </is>
      </c>
      <c r="F7" t="inlineStr">
        <is>
          <t>CC-100 Operations</t>
        </is>
      </c>
      <c r="G7" s="3" t="n">
        <v>3557.67</v>
      </c>
    </row>
    <row r="8">
      <c r="A8" t="inlineStr">
        <is>
          <t>2026-02-23</t>
        </is>
      </c>
      <c r="B8" t="inlineStr">
        <is>
          <t>2026-Q1</t>
        </is>
      </c>
      <c r="C8" t="inlineStr">
        <is>
          <t>Wheat</t>
        </is>
      </c>
      <c r="D8" t="inlineStr">
        <is>
          <t>Utilities</t>
        </is>
      </c>
      <c r="E8" t="inlineStr">
        <is>
          <t>Paddock B</t>
        </is>
      </c>
      <c r="F8" t="inlineStr">
        <is>
          <t>CC-400 Admin</t>
        </is>
      </c>
      <c r="G8" s="3" t="n">
        <v>4691.44</v>
      </c>
    </row>
    <row r="9">
      <c r="A9" t="inlineStr">
        <is>
          <t>2026-04-26</t>
        </is>
      </c>
      <c r="B9" t="inlineStr">
        <is>
          <t>2026-Q2</t>
        </is>
      </c>
      <c r="C9" t="inlineStr">
        <is>
          <t>Wheat</t>
        </is>
      </c>
      <c r="D9" t="inlineStr">
        <is>
          <t>Other</t>
        </is>
      </c>
      <c r="E9" t="inlineStr">
        <is>
          <t>Paddock B</t>
        </is>
      </c>
      <c r="F9" t="inlineStr">
        <is>
          <t>CC-200 Feed &amp; Vet</t>
        </is>
      </c>
      <c r="G9" s="3" t="n">
        <v>4629.88</v>
      </c>
    </row>
    <row r="10">
      <c r="A10" t="inlineStr">
        <is>
          <t>2025-08-30</t>
        </is>
      </c>
      <c r="B10" t="inlineStr">
        <is>
          <t>2025-Q3</t>
        </is>
      </c>
      <c r="C10" t="inlineStr">
        <is>
          <t>Vegetables</t>
        </is>
      </c>
      <c r="D10" t="inlineStr">
        <is>
          <t>Feed</t>
        </is>
      </c>
      <c r="E10" t="inlineStr">
        <is>
          <t>Paddock C</t>
        </is>
      </c>
      <c r="F10" t="inlineStr">
        <is>
          <t>CC-100 Operations</t>
        </is>
      </c>
      <c r="G10" s="3" t="n">
        <v>5457.54</v>
      </c>
    </row>
    <row r="11">
      <c r="A11" t="inlineStr">
        <is>
          <t>2025-10-31</t>
        </is>
      </c>
      <c r="B11" t="inlineStr">
        <is>
          <t>2025-Q4</t>
        </is>
      </c>
      <c r="C11" t="inlineStr">
        <is>
          <t>Vegetables</t>
        </is>
      </c>
      <c r="D11" t="inlineStr">
        <is>
          <t>Labour</t>
        </is>
      </c>
      <c r="E11" t="inlineStr">
        <is>
          <t>Paddock A</t>
        </is>
      </c>
      <c r="F11" t="inlineStr">
        <is>
          <t>CC-400 Admin</t>
        </is>
      </c>
      <c r="G11" s="3" t="n">
        <v>1007.33</v>
      </c>
    </row>
    <row r="12">
      <c r="A12" t="inlineStr">
        <is>
          <t>2026-01-18</t>
        </is>
      </c>
      <c r="B12" t="inlineStr">
        <is>
          <t>2026-Q1</t>
        </is>
      </c>
      <c r="C12" t="inlineStr">
        <is>
          <t>Vegetables</t>
        </is>
      </c>
      <c r="D12" t="inlineStr">
        <is>
          <t>Veterinary</t>
        </is>
      </c>
      <c r="E12" t="inlineStr">
        <is>
          <t>Paddock B</t>
        </is>
      </c>
      <c r="F12" t="inlineStr">
        <is>
          <t>CC-300 Machinery</t>
        </is>
      </c>
      <c r="G12" s="3" t="n">
        <v>4045.36</v>
      </c>
    </row>
    <row r="13">
      <c r="A13" t="inlineStr">
        <is>
          <t>2026-06-03</t>
        </is>
      </c>
      <c r="B13" t="inlineStr">
        <is>
          <t>2026-Q2</t>
        </is>
      </c>
      <c r="C13" t="inlineStr">
        <is>
          <t>Vegetables</t>
        </is>
      </c>
      <c r="D13" t="inlineStr">
        <is>
          <t>Fuel &amp; Machinery</t>
        </is>
      </c>
      <c r="E13" t="inlineStr">
        <is>
          <t>Paddock C</t>
        </is>
      </c>
      <c r="F13" t="inlineStr">
        <is>
          <t>CC-200 Feed &amp; Vet</t>
        </is>
      </c>
      <c r="G13" s="3" t="n">
        <v>4067.78</v>
      </c>
    </row>
    <row r="14">
      <c r="A14" t="inlineStr">
        <is>
          <t>2025-07-05</t>
        </is>
      </c>
      <c r="B14" t="inlineStr">
        <is>
          <t>2025-Q3</t>
        </is>
      </c>
      <c r="C14" t="inlineStr">
        <is>
          <t>Poultry</t>
        </is>
      </c>
      <c r="D14" t="inlineStr">
        <is>
          <t>Fertiliser &amp; Seed</t>
        </is>
      </c>
      <c r="E14" t="inlineStr">
        <is>
          <t>Paddock B</t>
        </is>
      </c>
      <c r="F14" t="inlineStr">
        <is>
          <t>CC-100 Operations</t>
        </is>
      </c>
      <c r="G14" s="3" t="n">
        <v>1289.59</v>
      </c>
    </row>
    <row r="15">
      <c r="A15" t="inlineStr">
        <is>
          <t>2025-11-24</t>
        </is>
      </c>
      <c r="B15" t="inlineStr">
        <is>
          <t>2025-Q4</t>
        </is>
      </c>
      <c r="C15" t="inlineStr">
        <is>
          <t>Poultry</t>
        </is>
      </c>
      <c r="D15" t="inlineStr">
        <is>
          <t>Transport</t>
        </is>
      </c>
      <c r="E15" t="inlineStr">
        <is>
          <t>Flock A</t>
        </is>
      </c>
      <c r="F15" t="inlineStr">
        <is>
          <t>CC-300 Machinery</t>
        </is>
      </c>
      <c r="G15" s="3" t="n">
        <v>3971.33</v>
      </c>
    </row>
    <row r="16">
      <c r="A16" t="inlineStr">
        <is>
          <t>2026-02-07</t>
        </is>
      </c>
      <c r="B16" t="inlineStr">
        <is>
          <t>2026-Q1</t>
        </is>
      </c>
      <c r="C16" t="inlineStr">
        <is>
          <t>Poultry</t>
        </is>
      </c>
      <c r="D16" t="inlineStr">
        <is>
          <t>Utilities</t>
        </is>
      </c>
      <c r="E16" t="inlineStr">
        <is>
          <t>Flock A</t>
        </is>
      </c>
      <c r="F16" t="inlineStr">
        <is>
          <t>CC-100 Operations</t>
        </is>
      </c>
      <c r="G16" s="3" t="n">
        <v>4503.21</v>
      </c>
    </row>
    <row r="17">
      <c r="A17" t="inlineStr">
        <is>
          <t>2026-05-15</t>
        </is>
      </c>
      <c r="B17" t="inlineStr">
        <is>
          <t>2026-Q2</t>
        </is>
      </c>
      <c r="C17" t="inlineStr">
        <is>
          <t>Poultry</t>
        </is>
      </c>
      <c r="D17" t="inlineStr">
        <is>
          <t>Other</t>
        </is>
      </c>
      <c r="E17" t="inlineStr">
        <is>
          <t>Paddock B</t>
        </is>
      </c>
      <c r="F17" t="inlineStr">
        <is>
          <t>CC-100 Operations</t>
        </is>
      </c>
      <c r="G17" s="3" t="n">
        <v>324.43</v>
      </c>
    </row>
    <row r="18">
      <c r="A18" t="inlineStr">
        <is>
          <t>2025-08-25</t>
        </is>
      </c>
      <c r="B18" t="inlineStr">
        <is>
          <t>2025-Q3</t>
        </is>
      </c>
      <c r="C18" t="inlineStr">
        <is>
          <t>Sheep</t>
        </is>
      </c>
      <c r="D18" t="inlineStr">
        <is>
          <t>Feed</t>
        </is>
      </c>
      <c r="E18" t="inlineStr">
        <is>
          <t>Paddock C</t>
        </is>
      </c>
      <c r="F18" t="inlineStr">
        <is>
          <t>CC-100 Operations</t>
        </is>
      </c>
      <c r="G18" s="3" t="n">
        <v>1031.79</v>
      </c>
    </row>
    <row r="19">
      <c r="A19" t="inlineStr">
        <is>
          <t>2025-12-05</t>
        </is>
      </c>
      <c r="B19" t="inlineStr">
        <is>
          <t>2025-Q4</t>
        </is>
      </c>
      <c r="C19" t="inlineStr">
        <is>
          <t>Sheep</t>
        </is>
      </c>
      <c r="D19" t="inlineStr">
        <is>
          <t>Labour</t>
        </is>
      </c>
      <c r="E19" t="inlineStr">
        <is>
          <t>Flock A</t>
        </is>
      </c>
      <c r="F19" t="inlineStr">
        <is>
          <t>CC-200 Feed &amp; Vet</t>
        </is>
      </c>
      <c r="G19" s="3" t="n">
        <v>5537.64</v>
      </c>
    </row>
    <row r="20">
      <c r="A20" t="inlineStr">
        <is>
          <t>2026-03-08</t>
        </is>
      </c>
      <c r="B20" t="inlineStr">
        <is>
          <t>2026-Q1</t>
        </is>
      </c>
      <c r="C20" t="inlineStr">
        <is>
          <t>Sheep</t>
        </is>
      </c>
      <c r="D20" t="inlineStr">
        <is>
          <t>Veterinary</t>
        </is>
      </c>
      <c r="E20" t="inlineStr">
        <is>
          <t>Paddock A</t>
        </is>
      </c>
      <c r="F20" t="inlineStr">
        <is>
          <t>CC-400 Admin</t>
        </is>
      </c>
      <c r="G20" s="3" t="n">
        <v>419.72</v>
      </c>
    </row>
    <row r="21">
      <c r="A21" t="inlineStr">
        <is>
          <t>2026-04-26</t>
        </is>
      </c>
      <c r="B21" t="inlineStr">
        <is>
          <t>2026-Q2</t>
        </is>
      </c>
      <c r="C21" t="inlineStr">
        <is>
          <t>Sheep</t>
        </is>
      </c>
      <c r="D21" t="inlineStr">
        <is>
          <t>Fuel &amp; Machinery</t>
        </is>
      </c>
      <c r="E21" t="inlineStr">
        <is>
          <t>Paddock B</t>
        </is>
      </c>
      <c r="F21" t="inlineStr">
        <is>
          <t>CC-100 Operations</t>
        </is>
      </c>
      <c r="G21" s="3" t="n">
        <v>1369.23</v>
      </c>
    </row>
    <row r="22">
      <c r="A22" t="inlineStr">
        <is>
          <t>2025-07-30</t>
        </is>
      </c>
      <c r="B22" t="inlineStr">
        <is>
          <t>2025-Q3</t>
        </is>
      </c>
      <c r="C22" t="inlineStr">
        <is>
          <t>Dairy</t>
        </is>
      </c>
      <c r="D22" t="inlineStr">
        <is>
          <t>Fertiliser &amp; Seed</t>
        </is>
      </c>
      <c r="E22" t="inlineStr">
        <is>
          <t>Paddock C</t>
        </is>
      </c>
      <c r="F22" t="inlineStr">
        <is>
          <t>CC-300 Machinery</t>
        </is>
      </c>
      <c r="G22" s="3" t="n">
        <v>3080.82</v>
      </c>
    </row>
    <row r="23">
      <c r="A23" t="inlineStr">
        <is>
          <t>2025-10-02</t>
        </is>
      </c>
      <c r="B23" t="inlineStr">
        <is>
          <t>2025-Q4</t>
        </is>
      </c>
      <c r="C23" t="inlineStr">
        <is>
          <t>Dairy</t>
        </is>
      </c>
      <c r="D23" t="inlineStr">
        <is>
          <t>Transport</t>
        </is>
      </c>
      <c r="E23" t="inlineStr">
        <is>
          <t>Paddock C</t>
        </is>
      </c>
      <c r="F23" t="inlineStr">
        <is>
          <t>CC-300 Machinery</t>
        </is>
      </c>
      <c r="G23" s="3" t="n">
        <v>1642.03</v>
      </c>
    </row>
    <row r="24">
      <c r="A24" t="inlineStr">
        <is>
          <t>2026-03-23</t>
        </is>
      </c>
      <c r="B24" t="inlineStr">
        <is>
          <t>2026-Q1</t>
        </is>
      </c>
      <c r="C24" t="inlineStr">
        <is>
          <t>Dairy</t>
        </is>
      </c>
      <c r="D24" t="inlineStr">
        <is>
          <t>Utilities</t>
        </is>
      </c>
      <c r="E24" t="inlineStr">
        <is>
          <t>Paddock A</t>
        </is>
      </c>
      <c r="F24" t="inlineStr">
        <is>
          <t>CC-300 Machinery</t>
        </is>
      </c>
      <c r="G24" s="3" t="n">
        <v>372.23</v>
      </c>
    </row>
    <row r="25">
      <c r="A25" t="inlineStr">
        <is>
          <t>2026-04-13</t>
        </is>
      </c>
      <c r="B25" t="inlineStr">
        <is>
          <t>2026-Q2</t>
        </is>
      </c>
      <c r="C25" t="inlineStr">
        <is>
          <t>Dairy</t>
        </is>
      </c>
      <c r="D25" t="inlineStr">
        <is>
          <t>Other</t>
        </is>
      </c>
      <c r="E25" t="inlineStr">
        <is>
          <t>Paddock B</t>
        </is>
      </c>
      <c r="F25" t="inlineStr">
        <is>
          <t>CC-300 Machinery</t>
        </is>
      </c>
      <c r="G25" s="3" t="n">
        <v>2442.62</v>
      </c>
    </row>
    <row r="26">
      <c r="A26" t="inlineStr">
        <is>
          <t>2025-08-22</t>
        </is>
      </c>
      <c r="B26" t="inlineStr">
        <is>
          <t>2025-Q3</t>
        </is>
      </c>
      <c r="C26" t="inlineStr">
        <is>
          <t>Wheat</t>
        </is>
      </c>
      <c r="D26" t="inlineStr">
        <is>
          <t>Feed</t>
        </is>
      </c>
      <c r="E26" t="inlineStr">
        <is>
          <t>Paddock C</t>
        </is>
      </c>
      <c r="F26" t="inlineStr">
        <is>
          <t>CC-100 Operations</t>
        </is>
      </c>
      <c r="G26" s="3" t="n">
        <v>5393.8</v>
      </c>
    </row>
    <row r="27">
      <c r="A27" t="inlineStr">
        <is>
          <t>2025-11-29</t>
        </is>
      </c>
      <c r="B27" t="inlineStr">
        <is>
          <t>2025-Q4</t>
        </is>
      </c>
      <c r="C27" t="inlineStr">
        <is>
          <t>Wheat</t>
        </is>
      </c>
      <c r="D27" t="inlineStr">
        <is>
          <t>Labour</t>
        </is>
      </c>
      <c r="E27" t="inlineStr">
        <is>
          <t>Paddock A</t>
        </is>
      </c>
      <c r="F27" t="inlineStr">
        <is>
          <t>CC-200 Feed &amp; Vet</t>
        </is>
      </c>
      <c r="G27" s="3" t="n">
        <v>1607.38</v>
      </c>
    </row>
    <row r="28">
      <c r="A28" t="inlineStr">
        <is>
          <t>2026-01-06</t>
        </is>
      </c>
      <c r="B28" t="inlineStr">
        <is>
          <t>2026-Q1</t>
        </is>
      </c>
      <c r="C28" t="inlineStr">
        <is>
          <t>Wheat</t>
        </is>
      </c>
      <c r="D28" t="inlineStr">
        <is>
          <t>Veterinary</t>
        </is>
      </c>
      <c r="E28" t="inlineStr">
        <is>
          <t>Flock A</t>
        </is>
      </c>
      <c r="F28" t="inlineStr">
        <is>
          <t>CC-200 Feed &amp; Vet</t>
        </is>
      </c>
      <c r="G28" s="3" t="n">
        <v>4408.05</v>
      </c>
    </row>
    <row r="29">
      <c r="A29" t="inlineStr">
        <is>
          <t>2026-04-06</t>
        </is>
      </c>
      <c r="B29" t="inlineStr">
        <is>
          <t>2026-Q2</t>
        </is>
      </c>
      <c r="C29" t="inlineStr">
        <is>
          <t>Wheat</t>
        </is>
      </c>
      <c r="D29" t="inlineStr">
        <is>
          <t>Fuel &amp; Machinery</t>
        </is>
      </c>
      <c r="E29" t="inlineStr">
        <is>
          <t>Herd 2</t>
        </is>
      </c>
      <c r="F29" t="inlineStr">
        <is>
          <t>CC-300 Machinery</t>
        </is>
      </c>
      <c r="G29" s="3" t="n">
        <v>5685.27</v>
      </c>
    </row>
    <row r="30">
      <c r="A30" t="inlineStr">
        <is>
          <t>2025-07-14</t>
        </is>
      </c>
      <c r="B30" t="inlineStr">
        <is>
          <t>2025-Q3</t>
        </is>
      </c>
      <c r="C30" t="inlineStr">
        <is>
          <t>Vegetables</t>
        </is>
      </c>
      <c r="D30" t="inlineStr">
        <is>
          <t>Fertiliser &amp; Seed</t>
        </is>
      </c>
      <c r="E30" t="inlineStr">
        <is>
          <t>Paddock B</t>
        </is>
      </c>
      <c r="F30" t="inlineStr">
        <is>
          <t>CC-400 Admin</t>
        </is>
      </c>
      <c r="G30" s="3" t="n">
        <v>335.26</v>
      </c>
    </row>
    <row r="31">
      <c r="A31" t="inlineStr">
        <is>
          <t>2025-10-16</t>
        </is>
      </c>
      <c r="B31" t="inlineStr">
        <is>
          <t>2025-Q4</t>
        </is>
      </c>
      <c r="C31" t="inlineStr">
        <is>
          <t>Vegetables</t>
        </is>
      </c>
      <c r="D31" t="inlineStr">
        <is>
          <t>Transport</t>
        </is>
      </c>
      <c r="E31" t="inlineStr">
        <is>
          <t>Paddock B</t>
        </is>
      </c>
      <c r="F31" t="inlineStr">
        <is>
          <t>CC-200 Feed &amp; Vet</t>
        </is>
      </c>
      <c r="G31" s="3" t="n">
        <v>145.35</v>
      </c>
    </row>
    <row r="32">
      <c r="A32" t="inlineStr">
        <is>
          <t>2026-03-24</t>
        </is>
      </c>
      <c r="B32" t="inlineStr">
        <is>
          <t>2026-Q1</t>
        </is>
      </c>
      <c r="C32" t="inlineStr">
        <is>
          <t>Vegetables</t>
        </is>
      </c>
      <c r="D32" t="inlineStr">
        <is>
          <t>Utilities</t>
        </is>
      </c>
      <c r="E32" t="inlineStr">
        <is>
          <t>Paddock B</t>
        </is>
      </c>
      <c r="F32" t="inlineStr">
        <is>
          <t>CC-100 Operations</t>
        </is>
      </c>
      <c r="G32" s="3" t="n">
        <v>1536.39</v>
      </c>
    </row>
    <row r="33">
      <c r="A33" t="inlineStr">
        <is>
          <t>2026-05-28</t>
        </is>
      </c>
      <c r="B33" t="inlineStr">
        <is>
          <t>2026-Q2</t>
        </is>
      </c>
      <c r="C33" t="inlineStr">
        <is>
          <t>Vegetables</t>
        </is>
      </c>
      <c r="D33" t="inlineStr">
        <is>
          <t>Other</t>
        </is>
      </c>
      <c r="E33" t="inlineStr">
        <is>
          <t>Paddock C</t>
        </is>
      </c>
      <c r="F33" t="inlineStr">
        <is>
          <t>CC-400 Admin</t>
        </is>
      </c>
      <c r="G33" s="3" t="n">
        <v>3736.08</v>
      </c>
    </row>
    <row r="34">
      <c r="A34" t="inlineStr">
        <is>
          <t>2025-08-21</t>
        </is>
      </c>
      <c r="B34" t="inlineStr">
        <is>
          <t>2025-Q3</t>
        </is>
      </c>
      <c r="C34" t="inlineStr">
        <is>
          <t>Poultry</t>
        </is>
      </c>
      <c r="D34" t="inlineStr">
        <is>
          <t>Feed</t>
        </is>
      </c>
      <c r="E34" t="inlineStr">
        <is>
          <t>Herd 2</t>
        </is>
      </c>
      <c r="F34" t="inlineStr">
        <is>
          <t>CC-300 Machinery</t>
        </is>
      </c>
      <c r="G34" s="3" t="n">
        <v>2598.52</v>
      </c>
    </row>
    <row r="35">
      <c r="A35" t="inlineStr">
        <is>
          <t>2025-10-03</t>
        </is>
      </c>
      <c r="B35" t="inlineStr">
        <is>
          <t>2025-Q4</t>
        </is>
      </c>
      <c r="C35" t="inlineStr">
        <is>
          <t>Poultry</t>
        </is>
      </c>
      <c r="D35" t="inlineStr">
        <is>
          <t>Labour</t>
        </is>
      </c>
      <c r="E35" t="inlineStr">
        <is>
          <t>Flock A</t>
        </is>
      </c>
      <c r="F35" t="inlineStr">
        <is>
          <t>CC-400 Admin</t>
        </is>
      </c>
      <c r="G35" s="3" t="n">
        <v>5165.64</v>
      </c>
    </row>
    <row r="36">
      <c r="A36" t="inlineStr">
        <is>
          <t>2026-02-14</t>
        </is>
      </c>
      <c r="B36" t="inlineStr">
        <is>
          <t>2026-Q1</t>
        </is>
      </c>
      <c r="C36" t="inlineStr">
        <is>
          <t>Poultry</t>
        </is>
      </c>
      <c r="D36" t="inlineStr">
        <is>
          <t>Veterinary</t>
        </is>
      </c>
      <c r="E36" t="inlineStr">
        <is>
          <t>Paddock A</t>
        </is>
      </c>
      <c r="F36" t="inlineStr">
        <is>
          <t>CC-400 Admin</t>
        </is>
      </c>
      <c r="G36" s="3" t="n">
        <v>5466.78</v>
      </c>
    </row>
    <row r="37">
      <c r="A37" t="inlineStr">
        <is>
          <t>2026-05-22</t>
        </is>
      </c>
      <c r="B37" t="inlineStr">
        <is>
          <t>2026-Q2</t>
        </is>
      </c>
      <c r="C37" t="inlineStr">
        <is>
          <t>Poultry</t>
        </is>
      </c>
      <c r="D37" t="inlineStr">
        <is>
          <t>Fuel &amp; Machinery</t>
        </is>
      </c>
      <c r="E37" t="inlineStr">
        <is>
          <t>Paddock A</t>
        </is>
      </c>
      <c r="F37" t="inlineStr">
        <is>
          <t>CC-400 Admin</t>
        </is>
      </c>
      <c r="G37" s="3" t="n">
        <v>1965.7</v>
      </c>
    </row>
    <row r="38">
      <c r="A38" t="inlineStr">
        <is>
          <t>2025-09-15</t>
        </is>
      </c>
      <c r="B38" t="inlineStr">
        <is>
          <t>2025-Q3</t>
        </is>
      </c>
      <c r="C38" t="inlineStr">
        <is>
          <t>Sheep</t>
        </is>
      </c>
      <c r="D38" t="inlineStr">
        <is>
          <t>Fertiliser &amp; Seed</t>
        </is>
      </c>
      <c r="E38" t="inlineStr">
        <is>
          <t>Flock A</t>
        </is>
      </c>
      <c r="F38" t="inlineStr">
        <is>
          <t>CC-300 Machinery</t>
        </is>
      </c>
      <c r="G38" s="3" t="n">
        <v>736.72</v>
      </c>
    </row>
    <row r="39">
      <c r="A39" t="inlineStr">
        <is>
          <t>2025-12-11</t>
        </is>
      </c>
      <c r="B39" t="inlineStr">
        <is>
          <t>2025-Q4</t>
        </is>
      </c>
      <c r="C39" t="inlineStr">
        <is>
          <t>Sheep</t>
        </is>
      </c>
      <c r="D39" t="inlineStr">
        <is>
          <t>Transport</t>
        </is>
      </c>
      <c r="E39" t="inlineStr">
        <is>
          <t>Herd 2</t>
        </is>
      </c>
      <c r="F39" t="inlineStr">
        <is>
          <t>CC-100 Operations</t>
        </is>
      </c>
      <c r="G39" s="3" t="n">
        <v>4108.82</v>
      </c>
    </row>
    <row r="40">
      <c r="A40" t="inlineStr">
        <is>
          <t>2026-01-20</t>
        </is>
      </c>
      <c r="B40" t="inlineStr">
        <is>
          <t>2026-Q1</t>
        </is>
      </c>
      <c r="C40" t="inlineStr">
        <is>
          <t>Sheep</t>
        </is>
      </c>
      <c r="D40" t="inlineStr">
        <is>
          <t>Utilities</t>
        </is>
      </c>
      <c r="E40" t="inlineStr">
        <is>
          <t>Paddock C</t>
        </is>
      </c>
      <c r="F40" t="inlineStr">
        <is>
          <t>CC-400 Admin</t>
        </is>
      </c>
      <c r="G40" s="3" t="n">
        <v>1540.38</v>
      </c>
    </row>
    <row r="41">
      <c r="A41" t="inlineStr">
        <is>
          <t>2026-05-15</t>
        </is>
      </c>
      <c r="B41" t="inlineStr">
        <is>
          <t>2026-Q2</t>
        </is>
      </c>
      <c r="C41" t="inlineStr">
        <is>
          <t>Sheep</t>
        </is>
      </c>
      <c r="D41" t="inlineStr">
        <is>
          <t>Other</t>
        </is>
      </c>
      <c r="E41" t="inlineStr">
        <is>
          <t>Herd 2</t>
        </is>
      </c>
      <c r="F41" t="inlineStr">
        <is>
          <t>CC-100 Operations</t>
        </is>
      </c>
      <c r="G41" s="3" t="n">
        <v>1423.01</v>
      </c>
    </row>
    <row r="42">
      <c r="A42" t="inlineStr">
        <is>
          <t>2025-09-03</t>
        </is>
      </c>
      <c r="B42" t="inlineStr">
        <is>
          <t>2025-Q3</t>
        </is>
      </c>
      <c r="C42" t="inlineStr">
        <is>
          <t>Dairy</t>
        </is>
      </c>
      <c r="D42" t="inlineStr">
        <is>
          <t>Feed</t>
        </is>
      </c>
      <c r="E42" t="inlineStr">
        <is>
          <t>Herd 2</t>
        </is>
      </c>
      <c r="F42" t="inlineStr">
        <is>
          <t>CC-300 Machinery</t>
        </is>
      </c>
      <c r="G42" s="3" t="n">
        <v>3065.01</v>
      </c>
    </row>
    <row r="43">
      <c r="A43" t="inlineStr">
        <is>
          <t>2025-11-07</t>
        </is>
      </c>
      <c r="B43" t="inlineStr">
        <is>
          <t>2025-Q4</t>
        </is>
      </c>
      <c r="C43" t="inlineStr">
        <is>
          <t>Dairy</t>
        </is>
      </c>
      <c r="D43" t="inlineStr">
        <is>
          <t>Labour</t>
        </is>
      </c>
      <c r="E43" t="inlineStr">
        <is>
          <t>Flock A</t>
        </is>
      </c>
      <c r="F43" t="inlineStr">
        <is>
          <t>CC-400 Admin</t>
        </is>
      </c>
      <c r="G43" s="3" t="n">
        <v>4965.98</v>
      </c>
    </row>
    <row r="44">
      <c r="A44" t="inlineStr">
        <is>
          <t>2026-01-14</t>
        </is>
      </c>
      <c r="B44" t="inlineStr">
        <is>
          <t>2026-Q1</t>
        </is>
      </c>
      <c r="C44" t="inlineStr">
        <is>
          <t>Dairy</t>
        </is>
      </c>
      <c r="D44" t="inlineStr">
        <is>
          <t>Veterinary</t>
        </is>
      </c>
      <c r="E44" t="inlineStr">
        <is>
          <t>Herd 1</t>
        </is>
      </c>
      <c r="F44" t="inlineStr">
        <is>
          <t>CC-100 Operations</t>
        </is>
      </c>
      <c r="G44" s="3" t="n">
        <v>3555.03</v>
      </c>
    </row>
    <row r="45">
      <c r="A45" t="inlineStr">
        <is>
          <t>2026-06-11</t>
        </is>
      </c>
      <c r="B45" t="inlineStr">
        <is>
          <t>2026-Q2</t>
        </is>
      </c>
      <c r="C45" t="inlineStr">
        <is>
          <t>Dairy</t>
        </is>
      </c>
      <c r="D45" t="inlineStr">
        <is>
          <t>Fuel &amp; Machinery</t>
        </is>
      </c>
      <c r="E45" t="inlineStr">
        <is>
          <t>Paddock C</t>
        </is>
      </c>
      <c r="F45" t="inlineStr">
        <is>
          <t>CC-200 Feed &amp; Vet</t>
        </is>
      </c>
      <c r="G45" s="3" t="n">
        <v>1008.97</v>
      </c>
    </row>
    <row r="46">
      <c r="A46" t="inlineStr">
        <is>
          <t>2025-09-20</t>
        </is>
      </c>
      <c r="B46" t="inlineStr">
        <is>
          <t>2025-Q3</t>
        </is>
      </c>
      <c r="C46" t="inlineStr">
        <is>
          <t>Wheat</t>
        </is>
      </c>
      <c r="D46" t="inlineStr">
        <is>
          <t>Fertiliser &amp; Seed</t>
        </is>
      </c>
      <c r="E46" t="inlineStr">
        <is>
          <t>Paddock A</t>
        </is>
      </c>
      <c r="F46" t="inlineStr">
        <is>
          <t>CC-400 Admin</t>
        </is>
      </c>
      <c r="G46" s="3" t="n">
        <v>5105.78</v>
      </c>
    </row>
    <row r="47">
      <c r="A47" t="inlineStr">
        <is>
          <t>2025-10-03</t>
        </is>
      </c>
      <c r="B47" t="inlineStr">
        <is>
          <t>2025-Q4</t>
        </is>
      </c>
      <c r="C47" t="inlineStr">
        <is>
          <t>Wheat</t>
        </is>
      </c>
      <c r="D47" t="inlineStr">
        <is>
          <t>Transport</t>
        </is>
      </c>
      <c r="E47" t="inlineStr">
        <is>
          <t>Paddock A</t>
        </is>
      </c>
      <c r="F47" t="inlineStr">
        <is>
          <t>CC-300 Machinery</t>
        </is>
      </c>
      <c r="G47" s="3" t="n">
        <v>3090.02</v>
      </c>
    </row>
    <row r="48">
      <c r="A48" t="inlineStr">
        <is>
          <t>2026-03-20</t>
        </is>
      </c>
      <c r="B48" t="inlineStr">
        <is>
          <t>2026-Q1</t>
        </is>
      </c>
      <c r="C48" t="inlineStr">
        <is>
          <t>Wheat</t>
        </is>
      </c>
      <c r="D48" t="inlineStr">
        <is>
          <t>Utilities</t>
        </is>
      </c>
      <c r="E48" t="inlineStr">
        <is>
          <t>Paddock A</t>
        </is>
      </c>
      <c r="F48" t="inlineStr">
        <is>
          <t>CC-300 Machinery</t>
        </is>
      </c>
      <c r="G48" s="3" t="n">
        <v>3021.18</v>
      </c>
    </row>
    <row r="49">
      <c r="A49" t="inlineStr">
        <is>
          <t>2026-04-25</t>
        </is>
      </c>
      <c r="B49" t="inlineStr">
        <is>
          <t>2026-Q2</t>
        </is>
      </c>
      <c r="C49" t="inlineStr">
        <is>
          <t>Wheat</t>
        </is>
      </c>
      <c r="D49" t="inlineStr">
        <is>
          <t>Other</t>
        </is>
      </c>
      <c r="E49" t="inlineStr">
        <is>
          <t>Flock A</t>
        </is>
      </c>
      <c r="F49" t="inlineStr">
        <is>
          <t>CC-200 Feed &amp; Vet</t>
        </is>
      </c>
      <c r="G49" s="3" t="n">
        <v>3984.77</v>
      </c>
    </row>
    <row r="50">
      <c r="A50" t="inlineStr">
        <is>
          <t>2025-09-09</t>
        </is>
      </c>
      <c r="B50" t="inlineStr">
        <is>
          <t>2025-Q3</t>
        </is>
      </c>
      <c r="C50" t="inlineStr">
        <is>
          <t>Vegetables</t>
        </is>
      </c>
      <c r="D50" t="inlineStr">
        <is>
          <t>Feed</t>
        </is>
      </c>
      <c r="E50" t="inlineStr">
        <is>
          <t>Herd 1</t>
        </is>
      </c>
      <c r="F50" t="inlineStr">
        <is>
          <t>CC-300 Machinery</t>
        </is>
      </c>
      <c r="G50" s="3" t="n">
        <v>1846</v>
      </c>
    </row>
    <row r="51">
      <c r="A51" t="inlineStr">
        <is>
          <t>2025-10-26</t>
        </is>
      </c>
      <c r="B51" t="inlineStr">
        <is>
          <t>2025-Q4</t>
        </is>
      </c>
      <c r="C51" t="inlineStr">
        <is>
          <t>Vegetables</t>
        </is>
      </c>
      <c r="D51" t="inlineStr">
        <is>
          <t>Labour</t>
        </is>
      </c>
      <c r="E51" t="inlineStr">
        <is>
          <t>Paddock A</t>
        </is>
      </c>
      <c r="F51" t="inlineStr">
        <is>
          <t>CC-300 Machinery</t>
        </is>
      </c>
      <c r="G51" s="3" t="n">
        <v>552.95</v>
      </c>
    </row>
    <row r="52">
      <c r="A52" t="inlineStr">
        <is>
          <t>2026-03-13</t>
        </is>
      </c>
      <c r="B52" t="inlineStr">
        <is>
          <t>2026-Q1</t>
        </is>
      </c>
      <c r="C52" t="inlineStr">
        <is>
          <t>Vegetables</t>
        </is>
      </c>
      <c r="D52" t="inlineStr">
        <is>
          <t>Veterinary</t>
        </is>
      </c>
      <c r="E52" t="inlineStr">
        <is>
          <t>Flock A</t>
        </is>
      </c>
      <c r="F52" t="inlineStr">
        <is>
          <t>CC-100 Operations</t>
        </is>
      </c>
      <c r="G52" s="3" t="n">
        <v>3409.78</v>
      </c>
    </row>
    <row r="53">
      <c r="A53" t="inlineStr">
        <is>
          <t>2026-05-17</t>
        </is>
      </c>
      <c r="B53" t="inlineStr">
        <is>
          <t>2026-Q2</t>
        </is>
      </c>
      <c r="C53" t="inlineStr">
        <is>
          <t>Vegetables</t>
        </is>
      </c>
      <c r="D53" t="inlineStr">
        <is>
          <t>Fuel &amp; Machinery</t>
        </is>
      </c>
      <c r="E53" t="inlineStr">
        <is>
          <t>Herd 1</t>
        </is>
      </c>
      <c r="F53" t="inlineStr">
        <is>
          <t>CC-300 Machinery</t>
        </is>
      </c>
      <c r="G53" s="3" t="n">
        <v>3538.04</v>
      </c>
    </row>
    <row r="54">
      <c r="A54" t="inlineStr">
        <is>
          <t>2025-09-05</t>
        </is>
      </c>
      <c r="B54" t="inlineStr">
        <is>
          <t>2025-Q3</t>
        </is>
      </c>
      <c r="C54" t="inlineStr">
        <is>
          <t>Poultry</t>
        </is>
      </c>
      <c r="D54" t="inlineStr">
        <is>
          <t>Fertiliser &amp; Seed</t>
        </is>
      </c>
      <c r="E54" t="inlineStr">
        <is>
          <t>Herd 1</t>
        </is>
      </c>
      <c r="F54" t="inlineStr">
        <is>
          <t>CC-300 Machinery</t>
        </is>
      </c>
      <c r="G54" s="3" t="n">
        <v>4649.03</v>
      </c>
    </row>
    <row r="55">
      <c r="A55" t="inlineStr">
        <is>
          <t>2025-11-30</t>
        </is>
      </c>
      <c r="B55" t="inlineStr">
        <is>
          <t>2025-Q4</t>
        </is>
      </c>
      <c r="C55" t="inlineStr">
        <is>
          <t>Poultry</t>
        </is>
      </c>
      <c r="D55" t="inlineStr">
        <is>
          <t>Transport</t>
        </is>
      </c>
      <c r="E55" t="inlineStr">
        <is>
          <t>Flock A</t>
        </is>
      </c>
      <c r="F55" t="inlineStr">
        <is>
          <t>CC-100 Operations</t>
        </is>
      </c>
      <c r="G55" s="3" t="n">
        <v>1214.68</v>
      </c>
    </row>
    <row r="56">
      <c r="A56" t="inlineStr">
        <is>
          <t>2026-03-29</t>
        </is>
      </c>
      <c r="B56" t="inlineStr">
        <is>
          <t>2026-Q1</t>
        </is>
      </c>
      <c r="C56" t="inlineStr">
        <is>
          <t>Poultry</t>
        </is>
      </c>
      <c r="D56" t="inlineStr">
        <is>
          <t>Utilities</t>
        </is>
      </c>
      <c r="E56" t="inlineStr">
        <is>
          <t>Paddock B</t>
        </is>
      </c>
      <c r="F56" t="inlineStr">
        <is>
          <t>CC-400 Admin</t>
        </is>
      </c>
      <c r="G56" s="3" t="n">
        <v>4128.25</v>
      </c>
    </row>
    <row r="57">
      <c r="A57" t="inlineStr">
        <is>
          <t>2026-05-26</t>
        </is>
      </c>
      <c r="B57" t="inlineStr">
        <is>
          <t>2026-Q2</t>
        </is>
      </c>
      <c r="C57" t="inlineStr">
        <is>
          <t>Poultry</t>
        </is>
      </c>
      <c r="D57" t="inlineStr">
        <is>
          <t>Other</t>
        </is>
      </c>
      <c r="E57" t="inlineStr">
        <is>
          <t>Paddock B</t>
        </is>
      </c>
      <c r="F57" t="inlineStr">
        <is>
          <t>CC-200 Feed &amp; Vet</t>
        </is>
      </c>
      <c r="G57" s="3" t="n">
        <v>3323.4</v>
      </c>
    </row>
    <row r="58">
      <c r="A58" t="inlineStr">
        <is>
          <t>2025-08-08</t>
        </is>
      </c>
      <c r="B58" t="inlineStr">
        <is>
          <t>2025-Q3</t>
        </is>
      </c>
      <c r="C58" t="inlineStr">
        <is>
          <t>Sheep</t>
        </is>
      </c>
      <c r="D58" t="inlineStr">
        <is>
          <t>Feed</t>
        </is>
      </c>
      <c r="E58" t="inlineStr">
        <is>
          <t>Paddock B</t>
        </is>
      </c>
      <c r="F58" t="inlineStr">
        <is>
          <t>CC-100 Operations</t>
        </is>
      </c>
      <c r="G58" s="3" t="n">
        <v>5938.4</v>
      </c>
    </row>
    <row r="59">
      <c r="A59" t="inlineStr">
        <is>
          <t>2025-12-19</t>
        </is>
      </c>
      <c r="B59" t="inlineStr">
        <is>
          <t>2025-Q4</t>
        </is>
      </c>
      <c r="C59" t="inlineStr">
        <is>
          <t>Sheep</t>
        </is>
      </c>
      <c r="D59" t="inlineStr">
        <is>
          <t>Labour</t>
        </is>
      </c>
      <c r="E59" t="inlineStr">
        <is>
          <t>Herd 2</t>
        </is>
      </c>
      <c r="F59" t="inlineStr">
        <is>
          <t>CC-100 Operations</t>
        </is>
      </c>
      <c r="G59" s="3" t="n">
        <v>4052.94</v>
      </c>
    </row>
    <row r="60">
      <c r="A60" t="inlineStr">
        <is>
          <t>2026-03-19</t>
        </is>
      </c>
      <c r="B60" t="inlineStr">
        <is>
          <t>2026-Q1</t>
        </is>
      </c>
      <c r="C60" t="inlineStr">
        <is>
          <t>Sheep</t>
        </is>
      </c>
      <c r="D60" t="inlineStr">
        <is>
          <t>Veterinary</t>
        </is>
      </c>
      <c r="E60" t="inlineStr">
        <is>
          <t>Flock A</t>
        </is>
      </c>
      <c r="F60" t="inlineStr">
        <is>
          <t>CC-200 Feed &amp; Vet</t>
        </is>
      </c>
      <c r="G60" s="3" t="n">
        <v>4972.44</v>
      </c>
    </row>
    <row r="61">
      <c r="A61" t="inlineStr">
        <is>
          <t>2026-04-10</t>
        </is>
      </c>
      <c r="B61" t="inlineStr">
        <is>
          <t>2026-Q2</t>
        </is>
      </c>
      <c r="C61" t="inlineStr">
        <is>
          <t>Sheep</t>
        </is>
      </c>
      <c r="D61" t="inlineStr">
        <is>
          <t>Fuel &amp; Machinery</t>
        </is>
      </c>
      <c r="E61" t="inlineStr">
        <is>
          <t>Herd 2</t>
        </is>
      </c>
      <c r="F61" t="inlineStr">
        <is>
          <t>CC-100 Operations</t>
        </is>
      </c>
      <c r="G61" s="3" t="n">
        <v>5551.72</v>
      </c>
    </row>
    <row r="62">
      <c r="A62" t="inlineStr">
        <is>
          <t>2025-07-31</t>
        </is>
      </c>
      <c r="B62" t="inlineStr">
        <is>
          <t>2025-Q3</t>
        </is>
      </c>
      <c r="C62" t="inlineStr">
        <is>
          <t>Dairy</t>
        </is>
      </c>
      <c r="D62" t="inlineStr">
        <is>
          <t>Fertiliser &amp; Seed</t>
        </is>
      </c>
      <c r="E62" t="inlineStr">
        <is>
          <t>Herd 1</t>
        </is>
      </c>
      <c r="F62" t="inlineStr">
        <is>
          <t>CC-200 Feed &amp; Vet</t>
        </is>
      </c>
      <c r="G62" s="3" t="n">
        <v>3685.78</v>
      </c>
    </row>
    <row r="63">
      <c r="A63" t="inlineStr">
        <is>
          <t>2025-10-25</t>
        </is>
      </c>
      <c r="B63" t="inlineStr">
        <is>
          <t>2025-Q4</t>
        </is>
      </c>
      <c r="C63" t="inlineStr">
        <is>
          <t>Dairy</t>
        </is>
      </c>
      <c r="D63" t="inlineStr">
        <is>
          <t>Transport</t>
        </is>
      </c>
      <c r="E63" t="inlineStr">
        <is>
          <t>Flock A</t>
        </is>
      </c>
      <c r="F63" t="inlineStr">
        <is>
          <t>CC-400 Admin</t>
        </is>
      </c>
      <c r="G63" s="3" t="n">
        <v>4869.12</v>
      </c>
    </row>
    <row r="64">
      <c r="A64" t="inlineStr">
        <is>
          <t>2026-01-25</t>
        </is>
      </c>
      <c r="B64" t="inlineStr">
        <is>
          <t>2026-Q1</t>
        </is>
      </c>
      <c r="C64" t="inlineStr">
        <is>
          <t>Dairy</t>
        </is>
      </c>
      <c r="D64" t="inlineStr">
        <is>
          <t>Utilities</t>
        </is>
      </c>
      <c r="E64" t="inlineStr">
        <is>
          <t>Herd 2</t>
        </is>
      </c>
      <c r="F64" t="inlineStr">
        <is>
          <t>CC-100 Operations</t>
        </is>
      </c>
      <c r="G64" s="3" t="n">
        <v>1716.68</v>
      </c>
    </row>
    <row r="65">
      <c r="A65" t="inlineStr">
        <is>
          <t>2026-04-19</t>
        </is>
      </c>
      <c r="B65" t="inlineStr">
        <is>
          <t>2026-Q2</t>
        </is>
      </c>
      <c r="C65" t="inlineStr">
        <is>
          <t>Dairy</t>
        </is>
      </c>
      <c r="D65" t="inlineStr">
        <is>
          <t>Other</t>
        </is>
      </c>
      <c r="E65" t="inlineStr">
        <is>
          <t>Paddock B</t>
        </is>
      </c>
      <c r="F65" t="inlineStr">
        <is>
          <t>CC-200 Feed &amp; Vet</t>
        </is>
      </c>
      <c r="G65" s="3" t="n">
        <v>4397.64</v>
      </c>
    </row>
    <row r="66">
      <c r="A66" t="inlineStr">
        <is>
          <t>2025-08-12</t>
        </is>
      </c>
      <c r="B66" t="inlineStr">
        <is>
          <t>2025-Q3</t>
        </is>
      </c>
      <c r="C66" t="inlineStr">
        <is>
          <t>Wheat</t>
        </is>
      </c>
      <c r="D66" t="inlineStr">
        <is>
          <t>Feed</t>
        </is>
      </c>
      <c r="E66" t="inlineStr">
        <is>
          <t>Herd 2</t>
        </is>
      </c>
      <c r="F66" t="inlineStr">
        <is>
          <t>CC-300 Machinery</t>
        </is>
      </c>
      <c r="G66" s="3" t="n">
        <v>4279.56</v>
      </c>
    </row>
    <row r="67">
      <c r="A67" t="inlineStr">
        <is>
          <t>2025-10-01</t>
        </is>
      </c>
      <c r="B67" t="inlineStr">
        <is>
          <t>2025-Q4</t>
        </is>
      </c>
      <c r="C67" t="inlineStr">
        <is>
          <t>Wheat</t>
        </is>
      </c>
      <c r="D67" t="inlineStr">
        <is>
          <t>Labour</t>
        </is>
      </c>
      <c r="E67" t="inlineStr">
        <is>
          <t>Paddock A</t>
        </is>
      </c>
      <c r="F67" t="inlineStr">
        <is>
          <t>CC-300 Machinery</t>
        </is>
      </c>
      <c r="G67" s="3" t="n">
        <v>1910.02</v>
      </c>
    </row>
    <row r="68">
      <c r="A68" t="inlineStr">
        <is>
          <t>2026-03-27</t>
        </is>
      </c>
      <c r="B68" t="inlineStr">
        <is>
          <t>2026-Q1</t>
        </is>
      </c>
      <c r="C68" t="inlineStr">
        <is>
          <t>Wheat</t>
        </is>
      </c>
      <c r="D68" t="inlineStr">
        <is>
          <t>Veterinary</t>
        </is>
      </c>
      <c r="E68" t="inlineStr">
        <is>
          <t>Herd 2</t>
        </is>
      </c>
      <c r="F68" t="inlineStr">
        <is>
          <t>CC-200 Feed &amp; Vet</t>
        </is>
      </c>
      <c r="G68" s="3" t="n">
        <v>3738.55</v>
      </c>
    </row>
    <row r="69">
      <c r="A69" t="inlineStr">
        <is>
          <t>2026-04-12</t>
        </is>
      </c>
      <c r="B69" t="inlineStr">
        <is>
          <t>2026-Q2</t>
        </is>
      </c>
      <c r="C69" t="inlineStr">
        <is>
          <t>Wheat</t>
        </is>
      </c>
      <c r="D69" t="inlineStr">
        <is>
          <t>Fuel &amp; Machinery</t>
        </is>
      </c>
      <c r="E69" t="inlineStr">
        <is>
          <t>Paddock A</t>
        </is>
      </c>
      <c r="F69" t="inlineStr">
        <is>
          <t>CC-400 Admin</t>
        </is>
      </c>
      <c r="G69" s="3" t="n">
        <v>6014.08</v>
      </c>
    </row>
    <row r="70">
      <c r="A70" t="inlineStr">
        <is>
          <t>2025-09-14</t>
        </is>
      </c>
      <c r="B70" t="inlineStr">
        <is>
          <t>2025-Q3</t>
        </is>
      </c>
      <c r="C70" t="inlineStr">
        <is>
          <t>Vegetables</t>
        </is>
      </c>
      <c r="D70" t="inlineStr">
        <is>
          <t>Fertiliser &amp; Seed</t>
        </is>
      </c>
      <c r="E70" t="inlineStr">
        <is>
          <t>Flock A</t>
        </is>
      </c>
      <c r="F70" t="inlineStr">
        <is>
          <t>CC-100 Operations</t>
        </is>
      </c>
      <c r="G70" s="3" t="n">
        <v>6135.08</v>
      </c>
    </row>
    <row r="71">
      <c r="A71" t="inlineStr">
        <is>
          <t>2025-11-01</t>
        </is>
      </c>
      <c r="B71" t="inlineStr">
        <is>
          <t>2025-Q4</t>
        </is>
      </c>
      <c r="C71" t="inlineStr">
        <is>
          <t>Vegetables</t>
        </is>
      </c>
      <c r="D71" t="inlineStr">
        <is>
          <t>Transport</t>
        </is>
      </c>
      <c r="E71" t="inlineStr">
        <is>
          <t>Paddock B</t>
        </is>
      </c>
      <c r="F71" t="inlineStr">
        <is>
          <t>CC-200 Feed &amp; Vet</t>
        </is>
      </c>
      <c r="G71" s="3" t="n">
        <v>3648.3</v>
      </c>
    </row>
    <row r="72">
      <c r="A72" t="inlineStr">
        <is>
          <t>2026-03-31</t>
        </is>
      </c>
      <c r="B72" t="inlineStr">
        <is>
          <t>2026-Q1</t>
        </is>
      </c>
      <c r="C72" t="inlineStr">
        <is>
          <t>Vegetables</t>
        </is>
      </c>
      <c r="D72" t="inlineStr">
        <is>
          <t>Utilities</t>
        </is>
      </c>
      <c r="E72" t="inlineStr">
        <is>
          <t>Paddock A</t>
        </is>
      </c>
      <c r="F72" t="inlineStr">
        <is>
          <t>CC-400 Admin</t>
        </is>
      </c>
      <c r="G72" s="3" t="n">
        <v>265.97</v>
      </c>
    </row>
    <row r="73">
      <c r="A73" t="inlineStr">
        <is>
          <t>2026-06-08</t>
        </is>
      </c>
      <c r="B73" t="inlineStr">
        <is>
          <t>2026-Q2</t>
        </is>
      </c>
      <c r="C73" t="inlineStr">
        <is>
          <t>Vegetables</t>
        </is>
      </c>
      <c r="D73" t="inlineStr">
        <is>
          <t>Other</t>
        </is>
      </c>
      <c r="E73" t="inlineStr">
        <is>
          <t>Paddock A</t>
        </is>
      </c>
      <c r="F73" t="inlineStr">
        <is>
          <t>CC-100 Operations</t>
        </is>
      </c>
      <c r="G73" s="3" t="n">
        <v>5388.94</v>
      </c>
    </row>
    <row r="74">
      <c r="A74" t="inlineStr">
        <is>
          <t>2025-08-27</t>
        </is>
      </c>
      <c r="B74" t="inlineStr">
        <is>
          <t>2025-Q3</t>
        </is>
      </c>
      <c r="C74" t="inlineStr">
        <is>
          <t>Poultry</t>
        </is>
      </c>
      <c r="D74" t="inlineStr">
        <is>
          <t>Feed</t>
        </is>
      </c>
      <c r="E74" t="inlineStr">
        <is>
          <t>Paddock A</t>
        </is>
      </c>
      <c r="F74" t="inlineStr">
        <is>
          <t>CC-300 Machinery</t>
        </is>
      </c>
      <c r="G74" s="3" t="n">
        <v>5415.66</v>
      </c>
    </row>
    <row r="75">
      <c r="A75" t="inlineStr">
        <is>
          <t>2025-10-18</t>
        </is>
      </c>
      <c r="B75" t="inlineStr">
        <is>
          <t>2025-Q4</t>
        </is>
      </c>
      <c r="C75" t="inlineStr">
        <is>
          <t>Poultry</t>
        </is>
      </c>
      <c r="D75" t="inlineStr">
        <is>
          <t>Labour</t>
        </is>
      </c>
      <c r="E75" t="inlineStr">
        <is>
          <t>Herd 2</t>
        </is>
      </c>
      <c r="F75" t="inlineStr">
        <is>
          <t>CC-100 Operations</t>
        </is>
      </c>
      <c r="G75" s="3" t="n">
        <v>4286.12</v>
      </c>
    </row>
    <row r="76">
      <c r="A76" t="inlineStr">
        <is>
          <t>2026-03-21</t>
        </is>
      </c>
      <c r="B76" t="inlineStr">
        <is>
          <t>2026-Q1</t>
        </is>
      </c>
      <c r="C76" t="inlineStr">
        <is>
          <t>Poultry</t>
        </is>
      </c>
      <c r="D76" t="inlineStr">
        <is>
          <t>Veterinary</t>
        </is>
      </c>
      <c r="E76" t="inlineStr">
        <is>
          <t>Herd 2</t>
        </is>
      </c>
      <c r="F76" t="inlineStr">
        <is>
          <t>CC-300 Machinery</t>
        </is>
      </c>
      <c r="G76" s="3" t="n">
        <v>5885.38</v>
      </c>
    </row>
    <row r="77">
      <c r="A77" t="inlineStr">
        <is>
          <t>2026-05-26</t>
        </is>
      </c>
      <c r="B77" t="inlineStr">
        <is>
          <t>2026-Q2</t>
        </is>
      </c>
      <c r="C77" t="inlineStr">
        <is>
          <t>Poultry</t>
        </is>
      </c>
      <c r="D77" t="inlineStr">
        <is>
          <t>Fuel &amp; Machinery</t>
        </is>
      </c>
      <c r="E77" t="inlineStr">
        <is>
          <t>Flock A</t>
        </is>
      </c>
      <c r="F77" t="inlineStr">
        <is>
          <t>CC-100 Operations</t>
        </is>
      </c>
      <c r="G77" s="3" t="n">
        <v>5899.88</v>
      </c>
    </row>
    <row r="78">
      <c r="A78" t="inlineStr">
        <is>
          <t>2025-09-13</t>
        </is>
      </c>
      <c r="B78" t="inlineStr">
        <is>
          <t>2025-Q3</t>
        </is>
      </c>
      <c r="C78" t="inlineStr">
        <is>
          <t>Sheep</t>
        </is>
      </c>
      <c r="D78" t="inlineStr">
        <is>
          <t>Fertiliser &amp; Seed</t>
        </is>
      </c>
      <c r="E78" t="inlineStr">
        <is>
          <t>Paddock B</t>
        </is>
      </c>
      <c r="F78" t="inlineStr">
        <is>
          <t>CC-400 Admin</t>
        </is>
      </c>
      <c r="G78" s="3" t="n">
        <v>321.94</v>
      </c>
    </row>
    <row r="79">
      <c r="A79" t="inlineStr">
        <is>
          <t>2025-11-06</t>
        </is>
      </c>
      <c r="B79" t="inlineStr">
        <is>
          <t>2025-Q4</t>
        </is>
      </c>
      <c r="C79" t="inlineStr">
        <is>
          <t>Sheep</t>
        </is>
      </c>
      <c r="D79" t="inlineStr">
        <is>
          <t>Transport</t>
        </is>
      </c>
      <c r="E79" t="inlineStr">
        <is>
          <t>Herd 1</t>
        </is>
      </c>
      <c r="F79" t="inlineStr">
        <is>
          <t>CC-200 Feed &amp; Vet</t>
        </is>
      </c>
      <c r="G79" s="3" t="n">
        <v>1582.19</v>
      </c>
    </row>
    <row r="80">
      <c r="A80" t="inlineStr">
        <is>
          <t>2026-02-08</t>
        </is>
      </c>
      <c r="B80" t="inlineStr">
        <is>
          <t>2026-Q1</t>
        </is>
      </c>
      <c r="C80" t="inlineStr">
        <is>
          <t>Sheep</t>
        </is>
      </c>
      <c r="D80" t="inlineStr">
        <is>
          <t>Utilities</t>
        </is>
      </c>
      <c r="E80" t="inlineStr">
        <is>
          <t>Paddock A</t>
        </is>
      </c>
      <c r="F80" t="inlineStr">
        <is>
          <t>CC-300 Machinery</t>
        </is>
      </c>
      <c r="G80" s="3" t="n">
        <v>5521.16</v>
      </c>
    </row>
    <row r="81">
      <c r="A81" t="inlineStr">
        <is>
          <t>2026-04-18</t>
        </is>
      </c>
      <c r="B81" t="inlineStr">
        <is>
          <t>2026-Q2</t>
        </is>
      </c>
      <c r="C81" t="inlineStr">
        <is>
          <t>Sheep</t>
        </is>
      </c>
      <c r="D81" t="inlineStr">
        <is>
          <t>Other</t>
        </is>
      </c>
      <c r="E81" t="inlineStr">
        <is>
          <t>Herd 1</t>
        </is>
      </c>
      <c r="F81" t="inlineStr">
        <is>
          <t>CC-200 Feed &amp; Vet</t>
        </is>
      </c>
      <c r="G81" s="3" t="n">
        <v>3610.61</v>
      </c>
    </row>
    <row r="82">
      <c r="A82" t="inlineStr">
        <is>
          <t>2025-08-21</t>
        </is>
      </c>
      <c r="B82" t="inlineStr">
        <is>
          <t>2025-Q3</t>
        </is>
      </c>
      <c r="C82" t="inlineStr">
        <is>
          <t>Dairy</t>
        </is>
      </c>
      <c r="D82" t="inlineStr">
        <is>
          <t>Feed</t>
        </is>
      </c>
      <c r="E82" t="inlineStr">
        <is>
          <t>Flock A</t>
        </is>
      </c>
      <c r="F82" t="inlineStr">
        <is>
          <t>CC-300 Machinery</t>
        </is>
      </c>
      <c r="G82" s="3" t="n">
        <v>1791.68</v>
      </c>
    </row>
    <row r="83">
      <c r="A83" t="inlineStr">
        <is>
          <t>2025-10-18</t>
        </is>
      </c>
      <c r="B83" t="inlineStr">
        <is>
          <t>2025-Q4</t>
        </is>
      </c>
      <c r="C83" t="inlineStr">
        <is>
          <t>Dairy</t>
        </is>
      </c>
      <c r="D83" t="inlineStr">
        <is>
          <t>Labour</t>
        </is>
      </c>
      <c r="E83" t="inlineStr">
        <is>
          <t>Paddock C</t>
        </is>
      </c>
      <c r="F83" t="inlineStr">
        <is>
          <t>CC-200 Feed &amp; Vet</t>
        </is>
      </c>
      <c r="G83" s="3" t="n">
        <v>5771.09</v>
      </c>
    </row>
    <row r="84">
      <c r="A84" t="inlineStr">
        <is>
          <t>2026-01-19</t>
        </is>
      </c>
      <c r="B84" t="inlineStr">
        <is>
          <t>2026-Q1</t>
        </is>
      </c>
      <c r="C84" t="inlineStr">
        <is>
          <t>Dairy</t>
        </is>
      </c>
      <c r="D84" t="inlineStr">
        <is>
          <t>Veterinary</t>
        </is>
      </c>
      <c r="E84" t="inlineStr">
        <is>
          <t>Paddock B</t>
        </is>
      </c>
      <c r="F84" t="inlineStr">
        <is>
          <t>CC-400 Admin</t>
        </is>
      </c>
      <c r="G84" s="3" t="n">
        <v>3135.99</v>
      </c>
    </row>
    <row r="85">
      <c r="A85" t="inlineStr">
        <is>
          <t>2026-05-04</t>
        </is>
      </c>
      <c r="B85" t="inlineStr">
        <is>
          <t>2026-Q2</t>
        </is>
      </c>
      <c r="C85" t="inlineStr">
        <is>
          <t>Dairy</t>
        </is>
      </c>
      <c r="D85" t="inlineStr">
        <is>
          <t>Fuel &amp; Machinery</t>
        </is>
      </c>
      <c r="E85" t="inlineStr">
        <is>
          <t>Flock A</t>
        </is>
      </c>
      <c r="F85" t="inlineStr">
        <is>
          <t>CC-300 Machinery</t>
        </is>
      </c>
      <c r="G85" s="3" t="n">
        <v>2962.05</v>
      </c>
    </row>
    <row r="86">
      <c r="A86" t="inlineStr">
        <is>
          <t>2025-08-05</t>
        </is>
      </c>
      <c r="B86" t="inlineStr">
        <is>
          <t>2025-Q3</t>
        </is>
      </c>
      <c r="C86" t="inlineStr">
        <is>
          <t>Wheat</t>
        </is>
      </c>
      <c r="D86" t="inlineStr">
        <is>
          <t>Fertiliser &amp; Seed</t>
        </is>
      </c>
      <c r="E86" t="inlineStr">
        <is>
          <t>Herd 2</t>
        </is>
      </c>
      <c r="F86" t="inlineStr">
        <is>
          <t>CC-200 Feed &amp; Vet</t>
        </is>
      </c>
      <c r="G86" s="3" t="n">
        <v>5677.44</v>
      </c>
    </row>
    <row r="87">
      <c r="A87" t="inlineStr">
        <is>
          <t>2025-12-17</t>
        </is>
      </c>
      <c r="B87" t="inlineStr">
        <is>
          <t>2025-Q4</t>
        </is>
      </c>
      <c r="C87" t="inlineStr">
        <is>
          <t>Wheat</t>
        </is>
      </c>
      <c r="D87" t="inlineStr">
        <is>
          <t>Transport</t>
        </is>
      </c>
      <c r="E87" t="inlineStr">
        <is>
          <t>Paddock C</t>
        </is>
      </c>
      <c r="F87" t="inlineStr">
        <is>
          <t>CC-400 Admin</t>
        </is>
      </c>
      <c r="G87" s="3" t="n">
        <v>2467.37</v>
      </c>
    </row>
    <row r="88">
      <c r="A88" t="inlineStr">
        <is>
          <t>2026-03-08</t>
        </is>
      </c>
      <c r="B88" t="inlineStr">
        <is>
          <t>2026-Q1</t>
        </is>
      </c>
      <c r="C88" t="inlineStr">
        <is>
          <t>Wheat</t>
        </is>
      </c>
      <c r="D88" t="inlineStr">
        <is>
          <t>Utilities</t>
        </is>
      </c>
      <c r="E88" t="inlineStr">
        <is>
          <t>Herd 1</t>
        </is>
      </c>
      <c r="F88" t="inlineStr">
        <is>
          <t>CC-300 Machinery</t>
        </is>
      </c>
      <c r="G88" s="3" t="n">
        <v>936.0700000000001</v>
      </c>
    </row>
    <row r="89">
      <c r="A89" t="inlineStr">
        <is>
          <t>2026-06-11</t>
        </is>
      </c>
      <c r="B89" t="inlineStr">
        <is>
          <t>2026-Q2</t>
        </is>
      </c>
      <c r="C89" t="inlineStr">
        <is>
          <t>Wheat</t>
        </is>
      </c>
      <c r="D89" t="inlineStr">
        <is>
          <t>Other</t>
        </is>
      </c>
      <c r="E89" t="inlineStr">
        <is>
          <t>Paddock A</t>
        </is>
      </c>
      <c r="F89" t="inlineStr">
        <is>
          <t>CC-200 Feed &amp; Vet</t>
        </is>
      </c>
      <c r="G89" s="3" t="n">
        <v>2240.9</v>
      </c>
    </row>
    <row r="90">
      <c r="A90" t="inlineStr">
        <is>
          <t>2025-08-11</t>
        </is>
      </c>
      <c r="B90" t="inlineStr">
        <is>
          <t>2025-Q3</t>
        </is>
      </c>
      <c r="C90" t="inlineStr">
        <is>
          <t>Vegetables</t>
        </is>
      </c>
      <c r="D90" t="inlineStr">
        <is>
          <t>Feed</t>
        </is>
      </c>
      <c r="E90" t="inlineStr">
        <is>
          <t>Herd 2</t>
        </is>
      </c>
      <c r="F90" t="inlineStr">
        <is>
          <t>CC-200 Feed &amp; Vet</t>
        </is>
      </c>
      <c r="G90" s="3" t="n">
        <v>4363.3</v>
      </c>
    </row>
    <row r="91">
      <c r="A91" t="inlineStr">
        <is>
          <t>2025-12-12</t>
        </is>
      </c>
      <c r="B91" t="inlineStr">
        <is>
          <t>2025-Q4</t>
        </is>
      </c>
      <c r="C91" t="inlineStr">
        <is>
          <t>Vegetables</t>
        </is>
      </c>
      <c r="D91" t="inlineStr">
        <is>
          <t>Labour</t>
        </is>
      </c>
      <c r="E91" t="inlineStr">
        <is>
          <t>Paddock A</t>
        </is>
      </c>
      <c r="F91" t="inlineStr">
        <is>
          <t>CC-400 Admin</t>
        </is>
      </c>
      <c r="G91" s="3" t="n">
        <v>6095.69</v>
      </c>
    </row>
    <row r="92">
      <c r="A92" t="inlineStr">
        <is>
          <t>2026-02-08</t>
        </is>
      </c>
      <c r="B92" t="inlineStr">
        <is>
          <t>2026-Q1</t>
        </is>
      </c>
      <c r="C92" t="inlineStr">
        <is>
          <t>Vegetables</t>
        </is>
      </c>
      <c r="D92" t="inlineStr">
        <is>
          <t>Veterinary</t>
        </is>
      </c>
      <c r="E92" t="inlineStr">
        <is>
          <t>Paddock A</t>
        </is>
      </c>
      <c r="F92" t="inlineStr">
        <is>
          <t>CC-200 Feed &amp; Vet</t>
        </is>
      </c>
      <c r="G92" s="3" t="n">
        <v>6192.26</v>
      </c>
    </row>
    <row r="93">
      <c r="A93" t="inlineStr">
        <is>
          <t>2026-05-01</t>
        </is>
      </c>
      <c r="B93" t="inlineStr">
        <is>
          <t>2026-Q2</t>
        </is>
      </c>
      <c r="C93" t="inlineStr">
        <is>
          <t>Vegetables</t>
        </is>
      </c>
      <c r="D93" t="inlineStr">
        <is>
          <t>Fuel &amp; Machinery</t>
        </is>
      </c>
      <c r="E93" t="inlineStr">
        <is>
          <t>Herd 1</t>
        </is>
      </c>
      <c r="F93" t="inlineStr">
        <is>
          <t>CC-100 Operations</t>
        </is>
      </c>
      <c r="G93" s="3" t="n">
        <v>1075.25</v>
      </c>
    </row>
    <row r="94">
      <c r="A94" t="inlineStr">
        <is>
          <t>2025-07-02</t>
        </is>
      </c>
      <c r="B94" t="inlineStr">
        <is>
          <t>2025-Q3</t>
        </is>
      </c>
      <c r="C94" t="inlineStr">
        <is>
          <t>Poultry</t>
        </is>
      </c>
      <c r="D94" t="inlineStr">
        <is>
          <t>Fertiliser &amp; Seed</t>
        </is>
      </c>
      <c r="E94" t="inlineStr">
        <is>
          <t>Flock A</t>
        </is>
      </c>
      <c r="F94" t="inlineStr">
        <is>
          <t>CC-100 Operations</t>
        </is>
      </c>
      <c r="G94" s="3" t="n">
        <v>678.1900000000001</v>
      </c>
    </row>
    <row r="95">
      <c r="A95" t="inlineStr">
        <is>
          <t>2025-11-17</t>
        </is>
      </c>
      <c r="B95" t="inlineStr">
        <is>
          <t>2025-Q4</t>
        </is>
      </c>
      <c r="C95" t="inlineStr">
        <is>
          <t>Poultry</t>
        </is>
      </c>
      <c r="D95" t="inlineStr">
        <is>
          <t>Transport</t>
        </is>
      </c>
      <c r="E95" t="inlineStr">
        <is>
          <t>Flock A</t>
        </is>
      </c>
      <c r="F95" t="inlineStr">
        <is>
          <t>CC-200 Feed &amp; Vet</t>
        </is>
      </c>
      <c r="G95" s="3" t="n">
        <v>1673.78</v>
      </c>
    </row>
    <row r="96">
      <c r="A96" t="inlineStr">
        <is>
          <t>2026-02-10</t>
        </is>
      </c>
      <c r="B96" t="inlineStr">
        <is>
          <t>2026-Q1</t>
        </is>
      </c>
      <c r="C96" t="inlineStr">
        <is>
          <t>Poultry</t>
        </is>
      </c>
      <c r="D96" t="inlineStr">
        <is>
          <t>Utilities</t>
        </is>
      </c>
      <c r="E96" t="inlineStr">
        <is>
          <t>Paddock A</t>
        </is>
      </c>
      <c r="F96" t="inlineStr">
        <is>
          <t>CC-400 Admin</t>
        </is>
      </c>
      <c r="G96" s="3" t="n">
        <v>3287.44</v>
      </c>
    </row>
    <row r="97">
      <c r="A97" t="inlineStr">
        <is>
          <t>2026-06-02</t>
        </is>
      </c>
      <c r="B97" t="inlineStr">
        <is>
          <t>2026-Q2</t>
        </is>
      </c>
      <c r="C97" t="inlineStr">
        <is>
          <t>Poultry</t>
        </is>
      </c>
      <c r="D97" t="inlineStr">
        <is>
          <t>Other</t>
        </is>
      </c>
      <c r="E97" t="inlineStr">
        <is>
          <t>Paddock B</t>
        </is>
      </c>
      <c r="F97" t="inlineStr">
        <is>
          <t>CC-100 Operations</t>
        </is>
      </c>
      <c r="G97" s="3" t="n">
        <v>825.23</v>
      </c>
    </row>
    <row r="98">
      <c r="A98" t="inlineStr">
        <is>
          <t>2025-07-17</t>
        </is>
      </c>
      <c r="B98" t="inlineStr">
        <is>
          <t>2025-Q3</t>
        </is>
      </c>
      <c r="C98" t="inlineStr">
        <is>
          <t>Sheep</t>
        </is>
      </c>
      <c r="D98" t="inlineStr">
        <is>
          <t>Feed</t>
        </is>
      </c>
      <c r="E98" t="inlineStr">
        <is>
          <t>Paddock B</t>
        </is>
      </c>
      <c r="F98" t="inlineStr">
        <is>
          <t>CC-400 Admin</t>
        </is>
      </c>
      <c r="G98" s="3" t="n">
        <v>3359.08</v>
      </c>
    </row>
    <row r="99">
      <c r="A99" t="inlineStr">
        <is>
          <t>2025-10-13</t>
        </is>
      </c>
      <c r="B99" t="inlineStr">
        <is>
          <t>2025-Q4</t>
        </is>
      </c>
      <c r="C99" t="inlineStr">
        <is>
          <t>Sheep</t>
        </is>
      </c>
      <c r="D99" t="inlineStr">
        <is>
          <t>Labour</t>
        </is>
      </c>
      <c r="E99" t="inlineStr">
        <is>
          <t>Herd 1</t>
        </is>
      </c>
      <c r="F99" t="inlineStr">
        <is>
          <t>CC-300 Machinery</t>
        </is>
      </c>
      <c r="G99" s="3" t="n">
        <v>5437.83</v>
      </c>
    </row>
    <row r="100">
      <c r="A100" t="inlineStr">
        <is>
          <t>2026-01-18</t>
        </is>
      </c>
      <c r="B100" t="inlineStr">
        <is>
          <t>2026-Q1</t>
        </is>
      </c>
      <c r="C100" t="inlineStr">
        <is>
          <t>Sheep</t>
        </is>
      </c>
      <c r="D100" t="inlineStr">
        <is>
          <t>Veterinary</t>
        </is>
      </c>
      <c r="E100" t="inlineStr">
        <is>
          <t>Flock A</t>
        </is>
      </c>
      <c r="F100" t="inlineStr">
        <is>
          <t>CC-300 Machinery</t>
        </is>
      </c>
      <c r="G100" s="3" t="n">
        <v>4474.41</v>
      </c>
    </row>
    <row r="101">
      <c r="A101" t="inlineStr">
        <is>
          <t>2026-05-27</t>
        </is>
      </c>
      <c r="B101" t="inlineStr">
        <is>
          <t>2026-Q2</t>
        </is>
      </c>
      <c r="C101" t="inlineStr">
        <is>
          <t>Sheep</t>
        </is>
      </c>
      <c r="D101" t="inlineStr">
        <is>
          <t>Fuel &amp; Machinery</t>
        </is>
      </c>
      <c r="E101" t="inlineStr">
        <is>
          <t>Herd 1</t>
        </is>
      </c>
      <c r="F101" t="inlineStr">
        <is>
          <t>CC-200 Feed &amp; Vet</t>
        </is>
      </c>
      <c r="G101" s="3" t="n">
        <v>2104.32</v>
      </c>
    </row>
    <row r="102">
      <c r="A102" t="inlineStr">
        <is>
          <t>2025-09-10</t>
        </is>
      </c>
      <c r="B102" t="inlineStr">
        <is>
          <t>2025-Q3</t>
        </is>
      </c>
      <c r="C102" t="inlineStr">
        <is>
          <t>Dairy</t>
        </is>
      </c>
      <c r="D102" t="inlineStr">
        <is>
          <t>Fertiliser &amp; Seed</t>
        </is>
      </c>
      <c r="E102" t="inlineStr">
        <is>
          <t>Paddock A</t>
        </is>
      </c>
      <c r="F102" t="inlineStr">
        <is>
          <t>CC-200 Feed &amp; Vet</t>
        </is>
      </c>
      <c r="G102" s="3" t="n">
        <v>948.24</v>
      </c>
    </row>
    <row r="103">
      <c r="A103" t="inlineStr">
        <is>
          <t>2025-12-02</t>
        </is>
      </c>
      <c r="B103" t="inlineStr">
        <is>
          <t>2025-Q4</t>
        </is>
      </c>
      <c r="C103" t="inlineStr">
        <is>
          <t>Dairy</t>
        </is>
      </c>
      <c r="D103" t="inlineStr">
        <is>
          <t>Transport</t>
        </is>
      </c>
      <c r="E103" t="inlineStr">
        <is>
          <t>Flock A</t>
        </is>
      </c>
      <c r="F103" t="inlineStr">
        <is>
          <t>CC-300 Machinery</t>
        </is>
      </c>
      <c r="G103" s="3" t="n">
        <v>485.59</v>
      </c>
    </row>
    <row r="104">
      <c r="A104" t="inlineStr">
        <is>
          <t>2026-03-25</t>
        </is>
      </c>
      <c r="B104" t="inlineStr">
        <is>
          <t>2026-Q1</t>
        </is>
      </c>
      <c r="C104" t="inlineStr">
        <is>
          <t>Dairy</t>
        </is>
      </c>
      <c r="D104" t="inlineStr">
        <is>
          <t>Utilities</t>
        </is>
      </c>
      <c r="E104" t="inlineStr">
        <is>
          <t>Flock A</t>
        </is>
      </c>
      <c r="F104" t="inlineStr">
        <is>
          <t>CC-200 Feed &amp; Vet</t>
        </is>
      </c>
      <c r="G104" s="3" t="n">
        <v>4272.39</v>
      </c>
    </row>
    <row r="105">
      <c r="A105" t="inlineStr">
        <is>
          <t>2026-05-05</t>
        </is>
      </c>
      <c r="B105" t="inlineStr">
        <is>
          <t>2026-Q2</t>
        </is>
      </c>
      <c r="C105" t="inlineStr">
        <is>
          <t>Dairy</t>
        </is>
      </c>
      <c r="D105" t="inlineStr">
        <is>
          <t>Other</t>
        </is>
      </c>
      <c r="E105" t="inlineStr">
        <is>
          <t>Paddock C</t>
        </is>
      </c>
      <c r="F105" t="inlineStr">
        <is>
          <t>CC-400 Admin</t>
        </is>
      </c>
      <c r="G105" s="3" t="n">
        <v>2659.61</v>
      </c>
    </row>
    <row r="106">
      <c r="A106" t="inlineStr">
        <is>
          <t>2025-08-09</t>
        </is>
      </c>
      <c r="B106" t="inlineStr">
        <is>
          <t>2025-Q3</t>
        </is>
      </c>
      <c r="C106" t="inlineStr">
        <is>
          <t>Wheat</t>
        </is>
      </c>
      <c r="D106" t="inlineStr">
        <is>
          <t>Feed</t>
        </is>
      </c>
      <c r="E106" t="inlineStr">
        <is>
          <t>Paddock A</t>
        </is>
      </c>
      <c r="F106" t="inlineStr">
        <is>
          <t>CC-100 Operations</t>
        </is>
      </c>
      <c r="G106" s="3" t="n">
        <v>6055.19</v>
      </c>
    </row>
    <row r="107">
      <c r="A107" t="inlineStr">
        <is>
          <t>2025-11-13</t>
        </is>
      </c>
      <c r="B107" t="inlineStr">
        <is>
          <t>2025-Q4</t>
        </is>
      </c>
      <c r="C107" t="inlineStr">
        <is>
          <t>Wheat</t>
        </is>
      </c>
      <c r="D107" t="inlineStr">
        <is>
          <t>Labour</t>
        </is>
      </c>
      <c r="E107" t="inlineStr">
        <is>
          <t>Herd 2</t>
        </is>
      </c>
      <c r="F107" t="inlineStr">
        <is>
          <t>CC-300 Machinery</t>
        </is>
      </c>
      <c r="G107" s="3" t="n">
        <v>5678.25</v>
      </c>
    </row>
    <row r="108">
      <c r="A108" t="inlineStr">
        <is>
          <t>2026-01-02</t>
        </is>
      </c>
      <c r="B108" t="inlineStr">
        <is>
          <t>2026-Q1</t>
        </is>
      </c>
      <c r="C108" t="inlineStr">
        <is>
          <t>Wheat</t>
        </is>
      </c>
      <c r="D108" t="inlineStr">
        <is>
          <t>Veterinary</t>
        </is>
      </c>
      <c r="E108" t="inlineStr">
        <is>
          <t>Herd 2</t>
        </is>
      </c>
      <c r="F108" t="inlineStr">
        <is>
          <t>CC-100 Operations</t>
        </is>
      </c>
      <c r="G108" s="3" t="n">
        <v>1228.87</v>
      </c>
    </row>
    <row r="109">
      <c r="A109" t="inlineStr">
        <is>
          <t>2026-05-12</t>
        </is>
      </c>
      <c r="B109" t="inlineStr">
        <is>
          <t>2026-Q2</t>
        </is>
      </c>
      <c r="C109" t="inlineStr">
        <is>
          <t>Wheat</t>
        </is>
      </c>
      <c r="D109" t="inlineStr">
        <is>
          <t>Fuel &amp; Machinery</t>
        </is>
      </c>
      <c r="E109" t="inlineStr">
        <is>
          <t>Paddock B</t>
        </is>
      </c>
      <c r="F109" t="inlineStr">
        <is>
          <t>CC-400 Admin</t>
        </is>
      </c>
      <c r="G109" s="3" t="n">
        <v>925.86</v>
      </c>
    </row>
    <row r="110">
      <c r="A110" t="inlineStr">
        <is>
          <t>2025-09-16</t>
        </is>
      </c>
      <c r="B110" t="inlineStr">
        <is>
          <t>2025-Q3</t>
        </is>
      </c>
      <c r="C110" t="inlineStr">
        <is>
          <t>Vegetables</t>
        </is>
      </c>
      <c r="D110" t="inlineStr">
        <is>
          <t>Fertiliser &amp; Seed</t>
        </is>
      </c>
      <c r="E110" t="inlineStr">
        <is>
          <t>Herd 2</t>
        </is>
      </c>
      <c r="F110" t="inlineStr">
        <is>
          <t>CC-300 Machinery</t>
        </is>
      </c>
      <c r="G110" s="3" t="n">
        <v>2720.94</v>
      </c>
    </row>
    <row r="111">
      <c r="A111" t="inlineStr">
        <is>
          <t>2025-10-09</t>
        </is>
      </c>
      <c r="B111" t="inlineStr">
        <is>
          <t>2025-Q4</t>
        </is>
      </c>
      <c r="C111" t="inlineStr">
        <is>
          <t>Vegetables</t>
        </is>
      </c>
      <c r="D111" t="inlineStr">
        <is>
          <t>Transport</t>
        </is>
      </c>
      <c r="E111" t="inlineStr">
        <is>
          <t>Paddock C</t>
        </is>
      </c>
      <c r="F111" t="inlineStr">
        <is>
          <t>CC-200 Feed &amp; Vet</t>
        </is>
      </c>
      <c r="G111" s="3" t="n">
        <v>282.56</v>
      </c>
    </row>
    <row r="112">
      <c r="A112" t="inlineStr">
        <is>
          <t>2026-02-12</t>
        </is>
      </c>
      <c r="B112" t="inlineStr">
        <is>
          <t>2026-Q1</t>
        </is>
      </c>
      <c r="C112" t="inlineStr">
        <is>
          <t>Vegetables</t>
        </is>
      </c>
      <c r="D112" t="inlineStr">
        <is>
          <t>Utilities</t>
        </is>
      </c>
      <c r="E112" t="inlineStr">
        <is>
          <t>Herd 1</t>
        </is>
      </c>
      <c r="F112" t="inlineStr">
        <is>
          <t>CC-300 Machinery</t>
        </is>
      </c>
      <c r="G112" s="3" t="n">
        <v>4620.04</v>
      </c>
    </row>
    <row r="113">
      <c r="A113" t="inlineStr">
        <is>
          <t>2026-04-02</t>
        </is>
      </c>
      <c r="B113" t="inlineStr">
        <is>
          <t>2026-Q2</t>
        </is>
      </c>
      <c r="C113" t="inlineStr">
        <is>
          <t>Vegetables</t>
        </is>
      </c>
      <c r="D113" t="inlineStr">
        <is>
          <t>Other</t>
        </is>
      </c>
      <c r="E113" t="inlineStr">
        <is>
          <t>Herd 1</t>
        </is>
      </c>
      <c r="F113" t="inlineStr">
        <is>
          <t>CC-300 Machinery</t>
        </is>
      </c>
      <c r="G113" s="3" t="n">
        <v>2611.95</v>
      </c>
    </row>
    <row r="114">
      <c r="A114" t="inlineStr">
        <is>
          <t>2025-08-06</t>
        </is>
      </c>
      <c r="B114" t="inlineStr">
        <is>
          <t>2025-Q3</t>
        </is>
      </c>
      <c r="C114" t="inlineStr">
        <is>
          <t>Poultry</t>
        </is>
      </c>
      <c r="D114" t="inlineStr">
        <is>
          <t>Feed</t>
        </is>
      </c>
      <c r="E114" t="inlineStr">
        <is>
          <t>Paddock B</t>
        </is>
      </c>
      <c r="F114" t="inlineStr">
        <is>
          <t>CC-300 Machinery</t>
        </is>
      </c>
      <c r="G114" s="3" t="n">
        <v>3219.14</v>
      </c>
    </row>
    <row r="115">
      <c r="A115" t="inlineStr">
        <is>
          <t>2025-10-30</t>
        </is>
      </c>
      <c r="B115" t="inlineStr">
        <is>
          <t>2025-Q4</t>
        </is>
      </c>
      <c r="C115" t="inlineStr">
        <is>
          <t>Poultry</t>
        </is>
      </c>
      <c r="D115" t="inlineStr">
        <is>
          <t>Labour</t>
        </is>
      </c>
      <c r="E115" t="inlineStr">
        <is>
          <t>Paddock A</t>
        </is>
      </c>
      <c r="F115" t="inlineStr">
        <is>
          <t>CC-300 Machinery</t>
        </is>
      </c>
      <c r="G115" s="3" t="n">
        <v>2301.26</v>
      </c>
    </row>
    <row r="116">
      <c r="A116" t="inlineStr">
        <is>
          <t>2026-01-10</t>
        </is>
      </c>
      <c r="B116" t="inlineStr">
        <is>
          <t>2026-Q1</t>
        </is>
      </c>
      <c r="C116" t="inlineStr">
        <is>
          <t>Poultry</t>
        </is>
      </c>
      <c r="D116" t="inlineStr">
        <is>
          <t>Veterinary</t>
        </is>
      </c>
      <c r="E116" t="inlineStr">
        <is>
          <t>Herd 2</t>
        </is>
      </c>
      <c r="F116" t="inlineStr">
        <is>
          <t>CC-400 Admin</t>
        </is>
      </c>
      <c r="G116" s="3" t="n">
        <v>1474.89</v>
      </c>
    </row>
    <row r="117">
      <c r="A117" t="inlineStr">
        <is>
          <t>2026-06-19</t>
        </is>
      </c>
      <c r="B117" t="inlineStr">
        <is>
          <t>2026-Q2</t>
        </is>
      </c>
      <c r="C117" t="inlineStr">
        <is>
          <t>Poultry</t>
        </is>
      </c>
      <c r="D117" t="inlineStr">
        <is>
          <t>Fuel &amp; Machinery</t>
        </is>
      </c>
      <c r="E117" t="inlineStr">
        <is>
          <t>Flock A</t>
        </is>
      </c>
      <c r="F117" t="inlineStr">
        <is>
          <t>CC-100 Operations</t>
        </is>
      </c>
      <c r="G117" s="3" t="n">
        <v>3637.53</v>
      </c>
    </row>
    <row r="118">
      <c r="A118" t="inlineStr">
        <is>
          <t>2025-09-04</t>
        </is>
      </c>
      <c r="B118" t="inlineStr">
        <is>
          <t>2025-Q3</t>
        </is>
      </c>
      <c r="C118" t="inlineStr">
        <is>
          <t>Sheep</t>
        </is>
      </c>
      <c r="D118" t="inlineStr">
        <is>
          <t>Fertiliser &amp; Seed</t>
        </is>
      </c>
      <c r="E118" t="inlineStr">
        <is>
          <t>Herd 1</t>
        </is>
      </c>
      <c r="F118" t="inlineStr">
        <is>
          <t>CC-100 Operations</t>
        </is>
      </c>
      <c r="G118" s="3" t="n">
        <v>1677.88</v>
      </c>
    </row>
    <row r="119">
      <c r="A119" t="inlineStr">
        <is>
          <t>2025-11-30</t>
        </is>
      </c>
      <c r="B119" t="inlineStr">
        <is>
          <t>2025-Q4</t>
        </is>
      </c>
      <c r="C119" t="inlineStr">
        <is>
          <t>Sheep</t>
        </is>
      </c>
      <c r="D119" t="inlineStr">
        <is>
          <t>Transport</t>
        </is>
      </c>
      <c r="E119" t="inlineStr">
        <is>
          <t>Paddock C</t>
        </is>
      </c>
      <c r="F119" t="inlineStr">
        <is>
          <t>CC-200 Feed &amp; Vet</t>
        </is>
      </c>
      <c r="G119" s="3" t="n">
        <v>4002.37</v>
      </c>
    </row>
    <row r="120">
      <c r="A120" t="inlineStr">
        <is>
          <t>2026-03-13</t>
        </is>
      </c>
      <c r="B120" t="inlineStr">
        <is>
          <t>2026-Q1</t>
        </is>
      </c>
      <c r="C120" t="inlineStr">
        <is>
          <t>Sheep</t>
        </is>
      </c>
      <c r="D120" t="inlineStr">
        <is>
          <t>Utilities</t>
        </is>
      </c>
      <c r="E120" t="inlineStr">
        <is>
          <t>Herd 1</t>
        </is>
      </c>
      <c r="F120" t="inlineStr">
        <is>
          <t>CC-100 Operations</t>
        </is>
      </c>
      <c r="G120" s="3" t="n">
        <v>6052.74</v>
      </c>
    </row>
    <row r="121">
      <c r="A121" t="inlineStr">
        <is>
          <t>2026-06-17</t>
        </is>
      </c>
      <c r="B121" t="inlineStr">
        <is>
          <t>2026-Q2</t>
        </is>
      </c>
      <c r="C121" t="inlineStr">
        <is>
          <t>Sheep</t>
        </is>
      </c>
      <c r="D121" t="inlineStr">
        <is>
          <t>Other</t>
        </is>
      </c>
      <c r="E121" t="inlineStr">
        <is>
          <t>Herd 2</t>
        </is>
      </c>
      <c r="F121" t="inlineStr">
        <is>
          <t>CC-100 Operations</t>
        </is>
      </c>
      <c r="G121" s="3" t="n">
        <v>1699.72</v>
      </c>
    </row>
    <row r="122">
      <c r="A122" t="inlineStr">
        <is>
          <t>2025-09-18</t>
        </is>
      </c>
      <c r="B122" t="inlineStr">
        <is>
          <t>2025-Q3</t>
        </is>
      </c>
      <c r="C122" t="inlineStr">
        <is>
          <t>Dairy</t>
        </is>
      </c>
      <c r="D122" t="inlineStr">
        <is>
          <t>Feed</t>
        </is>
      </c>
      <c r="E122" t="inlineStr">
        <is>
          <t>Paddock B</t>
        </is>
      </c>
      <c r="F122" t="inlineStr">
        <is>
          <t>CC-400 Admin</t>
        </is>
      </c>
      <c r="G122" s="3" t="n">
        <v>5085.68</v>
      </c>
    </row>
    <row r="123">
      <c r="A123" t="inlineStr">
        <is>
          <t>2025-10-09</t>
        </is>
      </c>
      <c r="B123" t="inlineStr">
        <is>
          <t>2025-Q4</t>
        </is>
      </c>
      <c r="C123" t="inlineStr">
        <is>
          <t>Dairy</t>
        </is>
      </c>
      <c r="D123" t="inlineStr">
        <is>
          <t>Labour</t>
        </is>
      </c>
      <c r="E123" t="inlineStr">
        <is>
          <t>Herd 1</t>
        </is>
      </c>
      <c r="F123" t="inlineStr">
        <is>
          <t>CC-100 Operations</t>
        </is>
      </c>
      <c r="G123" s="3" t="n">
        <v>685.76</v>
      </c>
    </row>
    <row r="124">
      <c r="A124" t="inlineStr">
        <is>
          <t>2026-01-17</t>
        </is>
      </c>
      <c r="B124" t="inlineStr">
        <is>
          <t>2026-Q1</t>
        </is>
      </c>
      <c r="C124" t="inlineStr">
        <is>
          <t>Dairy</t>
        </is>
      </c>
      <c r="D124" t="inlineStr">
        <is>
          <t>Veterinary</t>
        </is>
      </c>
      <c r="E124" t="inlineStr">
        <is>
          <t>Herd 2</t>
        </is>
      </c>
      <c r="F124" t="inlineStr">
        <is>
          <t>CC-400 Admin</t>
        </is>
      </c>
      <c r="G124" s="3" t="n">
        <v>1804.69</v>
      </c>
    </row>
    <row r="125">
      <c r="A125" t="inlineStr">
        <is>
          <t>2026-06-29</t>
        </is>
      </c>
      <c r="B125" t="inlineStr">
        <is>
          <t>2026-Q2</t>
        </is>
      </c>
      <c r="C125" t="inlineStr">
        <is>
          <t>Dairy</t>
        </is>
      </c>
      <c r="D125" t="inlineStr">
        <is>
          <t>Fuel &amp; Machinery</t>
        </is>
      </c>
      <c r="E125" t="inlineStr">
        <is>
          <t>Herd 1</t>
        </is>
      </c>
      <c r="F125" t="inlineStr">
        <is>
          <t>CC-200 Feed &amp; Vet</t>
        </is>
      </c>
      <c r="G125" s="3" t="n">
        <v>3741.76</v>
      </c>
    </row>
    <row r="126">
      <c r="A126" t="inlineStr">
        <is>
          <t>2025-08-24</t>
        </is>
      </c>
      <c r="B126" t="inlineStr">
        <is>
          <t>2025-Q3</t>
        </is>
      </c>
      <c r="C126" t="inlineStr">
        <is>
          <t>Wheat</t>
        </is>
      </c>
      <c r="D126" t="inlineStr">
        <is>
          <t>Fertiliser &amp; Seed</t>
        </is>
      </c>
      <c r="E126" t="inlineStr">
        <is>
          <t>Herd 1</t>
        </is>
      </c>
      <c r="F126" t="inlineStr">
        <is>
          <t>CC-100 Operations</t>
        </is>
      </c>
      <c r="G126" s="3" t="n">
        <v>492.17</v>
      </c>
    </row>
    <row r="127">
      <c r="A127" t="inlineStr">
        <is>
          <t>2025-11-16</t>
        </is>
      </c>
      <c r="B127" t="inlineStr">
        <is>
          <t>2025-Q4</t>
        </is>
      </c>
      <c r="C127" t="inlineStr">
        <is>
          <t>Wheat</t>
        </is>
      </c>
      <c r="D127" t="inlineStr">
        <is>
          <t>Transport</t>
        </is>
      </c>
      <c r="E127" t="inlineStr">
        <is>
          <t>Flock A</t>
        </is>
      </c>
      <c r="F127" t="inlineStr">
        <is>
          <t>CC-100 Operations</t>
        </is>
      </c>
      <c r="G127" s="3" t="n">
        <v>1948.28</v>
      </c>
    </row>
    <row r="128">
      <c r="A128" t="inlineStr">
        <is>
          <t>2026-01-09</t>
        </is>
      </c>
      <c r="B128" t="inlineStr">
        <is>
          <t>2026-Q1</t>
        </is>
      </c>
      <c r="C128" t="inlineStr">
        <is>
          <t>Wheat</t>
        </is>
      </c>
      <c r="D128" t="inlineStr">
        <is>
          <t>Utilities</t>
        </is>
      </c>
      <c r="E128" t="inlineStr">
        <is>
          <t>Herd 1</t>
        </is>
      </c>
      <c r="F128" t="inlineStr">
        <is>
          <t>CC-200 Feed &amp; Vet</t>
        </is>
      </c>
      <c r="G128" s="3" t="n">
        <v>4930.94</v>
      </c>
    </row>
    <row r="129">
      <c r="A129" t="inlineStr">
        <is>
          <t>2026-05-01</t>
        </is>
      </c>
      <c r="B129" t="inlineStr">
        <is>
          <t>2026-Q2</t>
        </is>
      </c>
      <c r="C129" t="inlineStr">
        <is>
          <t>Wheat</t>
        </is>
      </c>
      <c r="D129" t="inlineStr">
        <is>
          <t>Other</t>
        </is>
      </c>
      <c r="E129" t="inlineStr">
        <is>
          <t>Herd 1</t>
        </is>
      </c>
      <c r="F129" t="inlineStr">
        <is>
          <t>CC-300 Machinery</t>
        </is>
      </c>
      <c r="G129" s="3" t="n">
        <v>654.22</v>
      </c>
    </row>
    <row r="130">
      <c r="A130" t="inlineStr">
        <is>
          <t>2025-08-20</t>
        </is>
      </c>
      <c r="B130" t="inlineStr">
        <is>
          <t>2025-Q3</t>
        </is>
      </c>
      <c r="C130" t="inlineStr">
        <is>
          <t>Vegetables</t>
        </is>
      </c>
      <c r="D130" t="inlineStr">
        <is>
          <t>Feed</t>
        </is>
      </c>
      <c r="E130" t="inlineStr">
        <is>
          <t>Paddock C</t>
        </is>
      </c>
      <c r="F130" t="inlineStr">
        <is>
          <t>CC-400 Admin</t>
        </is>
      </c>
      <c r="G130" s="3" t="n">
        <v>4691.6</v>
      </c>
    </row>
    <row r="131">
      <c r="A131" t="inlineStr">
        <is>
          <t>2025-11-18</t>
        </is>
      </c>
      <c r="B131" t="inlineStr">
        <is>
          <t>2025-Q4</t>
        </is>
      </c>
      <c r="C131" t="inlineStr">
        <is>
          <t>Vegetables</t>
        </is>
      </c>
      <c r="D131" t="inlineStr">
        <is>
          <t>Labour</t>
        </is>
      </c>
      <c r="E131" t="inlineStr">
        <is>
          <t>Paddock B</t>
        </is>
      </c>
      <c r="F131" t="inlineStr">
        <is>
          <t>CC-400 Admin</t>
        </is>
      </c>
      <c r="G131" s="3" t="n">
        <v>4611.25</v>
      </c>
    </row>
    <row r="132">
      <c r="A132" t="inlineStr">
        <is>
          <t>2026-01-25</t>
        </is>
      </c>
      <c r="B132" t="inlineStr">
        <is>
          <t>2026-Q1</t>
        </is>
      </c>
      <c r="C132" t="inlineStr">
        <is>
          <t>Vegetables</t>
        </is>
      </c>
      <c r="D132" t="inlineStr">
        <is>
          <t>Veterinary</t>
        </is>
      </c>
      <c r="E132" t="inlineStr">
        <is>
          <t>Paddock B</t>
        </is>
      </c>
      <c r="F132" t="inlineStr">
        <is>
          <t>CC-400 Admin</t>
        </is>
      </c>
      <c r="G132" s="3" t="n">
        <v>3647.57</v>
      </c>
    </row>
    <row r="133">
      <c r="A133" t="inlineStr">
        <is>
          <t>2026-04-30</t>
        </is>
      </c>
      <c r="B133" t="inlineStr">
        <is>
          <t>2026-Q2</t>
        </is>
      </c>
      <c r="C133" t="inlineStr">
        <is>
          <t>Vegetables</t>
        </is>
      </c>
      <c r="D133" t="inlineStr">
        <is>
          <t>Fuel &amp; Machinery</t>
        </is>
      </c>
      <c r="E133" t="inlineStr">
        <is>
          <t>Herd 2</t>
        </is>
      </c>
      <c r="F133" t="inlineStr">
        <is>
          <t>CC-200 Feed &amp; Vet</t>
        </is>
      </c>
      <c r="G133" s="3" t="n">
        <v>3899.32</v>
      </c>
    </row>
    <row r="134">
      <c r="A134" t="inlineStr">
        <is>
          <t>2025-08-07</t>
        </is>
      </c>
      <c r="B134" t="inlineStr">
        <is>
          <t>2025-Q3</t>
        </is>
      </c>
      <c r="C134" t="inlineStr">
        <is>
          <t>Poultry</t>
        </is>
      </c>
      <c r="D134" t="inlineStr">
        <is>
          <t>Fertiliser &amp; Seed</t>
        </is>
      </c>
      <c r="E134" t="inlineStr">
        <is>
          <t>Paddock C</t>
        </is>
      </c>
      <c r="F134" t="inlineStr">
        <is>
          <t>CC-100 Operations</t>
        </is>
      </c>
      <c r="G134" s="3" t="n">
        <v>4505.2</v>
      </c>
    </row>
    <row r="135">
      <c r="A135" t="inlineStr">
        <is>
          <t>2025-12-20</t>
        </is>
      </c>
      <c r="B135" t="inlineStr">
        <is>
          <t>2025-Q4</t>
        </is>
      </c>
      <c r="C135" t="inlineStr">
        <is>
          <t>Poultry</t>
        </is>
      </c>
      <c r="D135" t="inlineStr">
        <is>
          <t>Transport</t>
        </is>
      </c>
      <c r="E135" t="inlineStr">
        <is>
          <t>Herd 2</t>
        </is>
      </c>
      <c r="F135" t="inlineStr">
        <is>
          <t>CC-400 Admin</t>
        </is>
      </c>
      <c r="G135" s="3" t="n">
        <v>1303.64</v>
      </c>
    </row>
    <row r="136">
      <c r="A136" t="inlineStr">
        <is>
          <t>2026-01-02</t>
        </is>
      </c>
      <c r="B136" t="inlineStr">
        <is>
          <t>2026-Q1</t>
        </is>
      </c>
      <c r="C136" t="inlineStr">
        <is>
          <t>Poultry</t>
        </is>
      </c>
      <c r="D136" t="inlineStr">
        <is>
          <t>Utilities</t>
        </is>
      </c>
      <c r="E136" t="inlineStr">
        <is>
          <t>Herd 2</t>
        </is>
      </c>
      <c r="F136" t="inlineStr">
        <is>
          <t>CC-300 Machinery</t>
        </is>
      </c>
      <c r="G136" s="3" t="n">
        <v>3093.07</v>
      </c>
    </row>
    <row r="137">
      <c r="A137" t="inlineStr">
        <is>
          <t>2026-06-08</t>
        </is>
      </c>
      <c r="B137" t="inlineStr">
        <is>
          <t>2026-Q2</t>
        </is>
      </c>
      <c r="C137" t="inlineStr">
        <is>
          <t>Poultry</t>
        </is>
      </c>
      <c r="D137" t="inlineStr">
        <is>
          <t>Other</t>
        </is>
      </c>
      <c r="E137" t="inlineStr">
        <is>
          <t>Flock A</t>
        </is>
      </c>
      <c r="F137" t="inlineStr">
        <is>
          <t>CC-300 Machinery</t>
        </is>
      </c>
      <c r="G137" s="3" t="n">
        <v>5040.79</v>
      </c>
    </row>
    <row r="138">
      <c r="A138" t="inlineStr">
        <is>
          <t>2025-08-13</t>
        </is>
      </c>
      <c r="B138" t="inlineStr">
        <is>
          <t>2025-Q3</t>
        </is>
      </c>
      <c r="C138" t="inlineStr">
        <is>
          <t>Sheep</t>
        </is>
      </c>
      <c r="D138" t="inlineStr">
        <is>
          <t>Feed</t>
        </is>
      </c>
      <c r="E138" t="inlineStr">
        <is>
          <t>Herd 1</t>
        </is>
      </c>
      <c r="F138" t="inlineStr">
        <is>
          <t>CC-300 Machinery</t>
        </is>
      </c>
      <c r="G138" s="3" t="n">
        <v>2860.11</v>
      </c>
    </row>
    <row r="139">
      <c r="A139" t="inlineStr">
        <is>
          <t>2025-11-18</t>
        </is>
      </c>
      <c r="B139" t="inlineStr">
        <is>
          <t>2025-Q4</t>
        </is>
      </c>
      <c r="C139" t="inlineStr">
        <is>
          <t>Sheep</t>
        </is>
      </c>
      <c r="D139" t="inlineStr">
        <is>
          <t>Labour</t>
        </is>
      </c>
      <c r="E139" t="inlineStr">
        <is>
          <t>Paddock B</t>
        </is>
      </c>
      <c r="F139" t="inlineStr">
        <is>
          <t>CC-100 Operations</t>
        </is>
      </c>
      <c r="G139" s="3" t="n">
        <v>3664.62</v>
      </c>
    </row>
    <row r="140">
      <c r="A140" t="inlineStr">
        <is>
          <t>2026-02-26</t>
        </is>
      </c>
      <c r="B140" t="inlineStr">
        <is>
          <t>2026-Q1</t>
        </is>
      </c>
      <c r="C140" t="inlineStr">
        <is>
          <t>Sheep</t>
        </is>
      </c>
      <c r="D140" t="inlineStr">
        <is>
          <t>Veterinary</t>
        </is>
      </c>
      <c r="E140" t="inlineStr">
        <is>
          <t>Paddock B</t>
        </is>
      </c>
      <c r="F140" t="inlineStr">
        <is>
          <t>CC-300 Machinery</t>
        </is>
      </c>
      <c r="G140" s="3" t="n">
        <v>4058.07</v>
      </c>
    </row>
    <row r="141">
      <c r="A141" t="inlineStr">
        <is>
          <t>2026-04-15</t>
        </is>
      </c>
      <c r="B141" t="inlineStr">
        <is>
          <t>2026-Q2</t>
        </is>
      </c>
      <c r="C141" t="inlineStr">
        <is>
          <t>Sheep</t>
        </is>
      </c>
      <c r="D141" t="inlineStr">
        <is>
          <t>Fuel &amp; Machinery</t>
        </is>
      </c>
      <c r="E141" t="inlineStr">
        <is>
          <t>Paddock A</t>
        </is>
      </c>
      <c r="F141" t="inlineStr">
        <is>
          <t>CC-100 Operations</t>
        </is>
      </c>
      <c r="G141" s="3" t="n">
        <v>5940.37</v>
      </c>
    </row>
    <row r="142">
      <c r="A142" t="inlineStr">
        <is>
          <t>2025-08-14</t>
        </is>
      </c>
      <c r="B142" t="inlineStr">
        <is>
          <t>2025-Q3</t>
        </is>
      </c>
      <c r="C142" t="inlineStr">
        <is>
          <t>Dairy</t>
        </is>
      </c>
      <c r="D142" t="inlineStr">
        <is>
          <t>Fertiliser &amp; Seed</t>
        </is>
      </c>
      <c r="E142" t="inlineStr">
        <is>
          <t>Herd 2</t>
        </is>
      </c>
      <c r="F142" t="inlineStr">
        <is>
          <t>CC-300 Machinery</t>
        </is>
      </c>
      <c r="G142" s="3" t="n">
        <v>5611.2</v>
      </c>
    </row>
    <row r="143">
      <c r="A143" t="inlineStr">
        <is>
          <t>2025-11-17</t>
        </is>
      </c>
      <c r="B143" t="inlineStr">
        <is>
          <t>2025-Q4</t>
        </is>
      </c>
      <c r="C143" t="inlineStr">
        <is>
          <t>Dairy</t>
        </is>
      </c>
      <c r="D143" t="inlineStr">
        <is>
          <t>Transport</t>
        </is>
      </c>
      <c r="E143" t="inlineStr">
        <is>
          <t>Paddock B</t>
        </is>
      </c>
      <c r="F143" t="inlineStr">
        <is>
          <t>CC-300 Machinery</t>
        </is>
      </c>
      <c r="G143" s="3" t="n">
        <v>1392.38</v>
      </c>
    </row>
    <row r="144">
      <c r="A144" t="inlineStr">
        <is>
          <t>2026-01-04</t>
        </is>
      </c>
      <c r="B144" t="inlineStr">
        <is>
          <t>2026-Q1</t>
        </is>
      </c>
      <c r="C144" t="inlineStr">
        <is>
          <t>Dairy</t>
        </is>
      </c>
      <c r="D144" t="inlineStr">
        <is>
          <t>Utilities</t>
        </is>
      </c>
      <c r="E144" t="inlineStr">
        <is>
          <t>Flock A</t>
        </is>
      </c>
      <c r="F144" t="inlineStr">
        <is>
          <t>CC-200 Feed &amp; Vet</t>
        </is>
      </c>
      <c r="G144" s="3" t="n">
        <v>1114.88</v>
      </c>
    </row>
    <row r="145">
      <c r="A145" t="inlineStr">
        <is>
          <t>2026-05-16</t>
        </is>
      </c>
      <c r="B145" t="inlineStr">
        <is>
          <t>2026-Q2</t>
        </is>
      </c>
      <c r="C145" t="inlineStr">
        <is>
          <t>Dairy</t>
        </is>
      </c>
      <c r="D145" t="inlineStr">
        <is>
          <t>Other</t>
        </is>
      </c>
      <c r="E145" t="inlineStr">
        <is>
          <t>Flock A</t>
        </is>
      </c>
      <c r="F145" t="inlineStr">
        <is>
          <t>CC-400 Admin</t>
        </is>
      </c>
      <c r="G145" s="3" t="n">
        <v>1299.3</v>
      </c>
    </row>
    <row r="146">
      <c r="A146" t="inlineStr">
        <is>
          <t>2025-07-20</t>
        </is>
      </c>
      <c r="B146" t="inlineStr">
        <is>
          <t>2025-Q3</t>
        </is>
      </c>
      <c r="C146" t="inlineStr">
        <is>
          <t>Wheat</t>
        </is>
      </c>
      <c r="D146" t="inlineStr">
        <is>
          <t>Feed</t>
        </is>
      </c>
      <c r="E146" t="inlineStr">
        <is>
          <t>Paddock A</t>
        </is>
      </c>
      <c r="F146" t="inlineStr">
        <is>
          <t>CC-100 Operations</t>
        </is>
      </c>
      <c r="G146" s="3" t="n">
        <v>1134.64</v>
      </c>
    </row>
    <row r="147">
      <c r="A147" t="inlineStr">
        <is>
          <t>2025-10-09</t>
        </is>
      </c>
      <c r="B147" t="inlineStr">
        <is>
          <t>2025-Q4</t>
        </is>
      </c>
      <c r="C147" t="inlineStr">
        <is>
          <t>Wheat</t>
        </is>
      </c>
      <c r="D147" t="inlineStr">
        <is>
          <t>Labour</t>
        </is>
      </c>
      <c r="E147" t="inlineStr">
        <is>
          <t>Flock A</t>
        </is>
      </c>
      <c r="F147" t="inlineStr">
        <is>
          <t>CC-300 Machinery</t>
        </is>
      </c>
      <c r="G147" s="3" t="n">
        <v>630.76</v>
      </c>
    </row>
    <row r="148">
      <c r="A148" t="inlineStr">
        <is>
          <t>2026-03-26</t>
        </is>
      </c>
      <c r="B148" t="inlineStr">
        <is>
          <t>2026-Q1</t>
        </is>
      </c>
      <c r="C148" t="inlineStr">
        <is>
          <t>Wheat</t>
        </is>
      </c>
      <c r="D148" t="inlineStr">
        <is>
          <t>Veterinary</t>
        </is>
      </c>
      <c r="E148" t="inlineStr">
        <is>
          <t>Herd 1</t>
        </is>
      </c>
      <c r="F148" t="inlineStr">
        <is>
          <t>CC-300 Machinery</t>
        </is>
      </c>
      <c r="G148" s="3" t="n">
        <v>3089.99</v>
      </c>
    </row>
    <row r="149">
      <c r="A149" t="inlineStr">
        <is>
          <t>2026-05-01</t>
        </is>
      </c>
      <c r="B149" t="inlineStr">
        <is>
          <t>2026-Q2</t>
        </is>
      </c>
      <c r="C149" t="inlineStr">
        <is>
          <t>Wheat</t>
        </is>
      </c>
      <c r="D149" t="inlineStr">
        <is>
          <t>Fuel &amp; Machinery</t>
        </is>
      </c>
      <c r="E149" t="inlineStr">
        <is>
          <t>Herd 1</t>
        </is>
      </c>
      <c r="F149" t="inlineStr">
        <is>
          <t>CC-400 Admin</t>
        </is>
      </c>
      <c r="G149" s="3" t="n">
        <v>2392.95</v>
      </c>
    </row>
    <row r="150">
      <c r="A150" t="inlineStr">
        <is>
          <t>2025-09-18</t>
        </is>
      </c>
      <c r="B150" t="inlineStr">
        <is>
          <t>2025-Q3</t>
        </is>
      </c>
      <c r="C150" t="inlineStr">
        <is>
          <t>Vegetables</t>
        </is>
      </c>
      <c r="D150" t="inlineStr">
        <is>
          <t>Fertiliser &amp; Seed</t>
        </is>
      </c>
      <c r="E150" t="inlineStr">
        <is>
          <t>Flock A</t>
        </is>
      </c>
      <c r="F150" t="inlineStr">
        <is>
          <t>CC-400 Admin</t>
        </is>
      </c>
      <c r="G150" s="3" t="n">
        <v>3509.32</v>
      </c>
    </row>
    <row r="151">
      <c r="A151" t="inlineStr">
        <is>
          <t>2025-12-11</t>
        </is>
      </c>
      <c r="B151" t="inlineStr">
        <is>
          <t>2025-Q4</t>
        </is>
      </c>
      <c r="C151" t="inlineStr">
        <is>
          <t>Vegetables</t>
        </is>
      </c>
      <c r="D151" t="inlineStr">
        <is>
          <t>Transport</t>
        </is>
      </c>
      <c r="E151" t="inlineStr">
        <is>
          <t>Flock A</t>
        </is>
      </c>
      <c r="F151" t="inlineStr">
        <is>
          <t>CC-400 Admin</t>
        </is>
      </c>
      <c r="G151" s="3" t="n">
        <v>3933.99</v>
      </c>
    </row>
    <row r="152">
      <c r="A152" t="inlineStr">
        <is>
          <t>2026-01-09</t>
        </is>
      </c>
      <c r="B152" t="inlineStr">
        <is>
          <t>2026-Q1</t>
        </is>
      </c>
      <c r="C152" t="inlineStr">
        <is>
          <t>Vegetables</t>
        </is>
      </c>
      <c r="D152" t="inlineStr">
        <is>
          <t>Utilities</t>
        </is>
      </c>
      <c r="E152" t="inlineStr">
        <is>
          <t>Herd 1</t>
        </is>
      </c>
      <c r="F152" t="inlineStr">
        <is>
          <t>CC-400 Admin</t>
        </is>
      </c>
      <c r="G152" s="3" t="n">
        <v>6005.49</v>
      </c>
    </row>
    <row r="153">
      <c r="A153" t="inlineStr">
        <is>
          <t>2026-06-02</t>
        </is>
      </c>
      <c r="B153" t="inlineStr">
        <is>
          <t>2026-Q2</t>
        </is>
      </c>
      <c r="C153" t="inlineStr">
        <is>
          <t>Vegetables</t>
        </is>
      </c>
      <c r="D153" t="inlineStr">
        <is>
          <t>Other</t>
        </is>
      </c>
      <c r="E153" t="inlineStr">
        <is>
          <t>Paddock A</t>
        </is>
      </c>
      <c r="F153" t="inlineStr">
        <is>
          <t>CC-200 Feed &amp; Vet</t>
        </is>
      </c>
      <c r="G153" s="3" t="n">
        <v>528.24</v>
      </c>
    </row>
    <row r="154">
      <c r="A154" t="inlineStr">
        <is>
          <t>2025-09-15</t>
        </is>
      </c>
      <c r="B154" t="inlineStr">
        <is>
          <t>2025-Q3</t>
        </is>
      </c>
      <c r="C154" t="inlineStr">
        <is>
          <t>Poultry</t>
        </is>
      </c>
      <c r="D154" t="inlineStr">
        <is>
          <t>Feed</t>
        </is>
      </c>
      <c r="E154" t="inlineStr">
        <is>
          <t>Paddock C</t>
        </is>
      </c>
      <c r="F154" t="inlineStr">
        <is>
          <t>CC-200 Feed &amp; Vet</t>
        </is>
      </c>
      <c r="G154" s="3" t="n">
        <v>5965.53</v>
      </c>
    </row>
    <row r="155">
      <c r="A155" t="inlineStr">
        <is>
          <t>2025-11-15</t>
        </is>
      </c>
      <c r="B155" t="inlineStr">
        <is>
          <t>2025-Q4</t>
        </is>
      </c>
      <c r="C155" t="inlineStr">
        <is>
          <t>Poultry</t>
        </is>
      </c>
      <c r="D155" t="inlineStr">
        <is>
          <t>Labour</t>
        </is>
      </c>
      <c r="E155" t="inlineStr">
        <is>
          <t>Paddock C</t>
        </is>
      </c>
      <c r="F155" t="inlineStr">
        <is>
          <t>CC-100 Operations</t>
        </is>
      </c>
      <c r="G155" s="3" t="n">
        <v>2203.13</v>
      </c>
    </row>
    <row r="156">
      <c r="A156" t="inlineStr">
        <is>
          <t>2026-02-15</t>
        </is>
      </c>
      <c r="B156" t="inlineStr">
        <is>
          <t>2026-Q1</t>
        </is>
      </c>
      <c r="C156" t="inlineStr">
        <is>
          <t>Poultry</t>
        </is>
      </c>
      <c r="D156" t="inlineStr">
        <is>
          <t>Veterinary</t>
        </is>
      </c>
      <c r="E156" t="inlineStr">
        <is>
          <t>Paddock A</t>
        </is>
      </c>
      <c r="F156" t="inlineStr">
        <is>
          <t>CC-400 Admin</t>
        </is>
      </c>
      <c r="G156" s="3" t="n">
        <v>2740.97</v>
      </c>
    </row>
    <row r="157">
      <c r="A157" t="inlineStr">
        <is>
          <t>2026-06-29</t>
        </is>
      </c>
      <c r="B157" t="inlineStr">
        <is>
          <t>2026-Q2</t>
        </is>
      </c>
      <c r="C157" t="inlineStr">
        <is>
          <t>Poultry</t>
        </is>
      </c>
      <c r="D157" t="inlineStr">
        <is>
          <t>Fuel &amp; Machinery</t>
        </is>
      </c>
      <c r="E157" t="inlineStr">
        <is>
          <t>Flock A</t>
        </is>
      </c>
      <c r="F157" t="inlineStr">
        <is>
          <t>CC-300 Machinery</t>
        </is>
      </c>
      <c r="G157" s="3" t="n">
        <v>4558.44</v>
      </c>
    </row>
    <row r="158">
      <c r="A158" t="inlineStr">
        <is>
          <t>2025-07-05</t>
        </is>
      </c>
      <c r="B158" t="inlineStr">
        <is>
          <t>2025-Q3</t>
        </is>
      </c>
      <c r="C158" t="inlineStr">
        <is>
          <t>Sheep</t>
        </is>
      </c>
      <c r="D158" t="inlineStr">
        <is>
          <t>Fertiliser &amp; Seed</t>
        </is>
      </c>
      <c r="E158" t="inlineStr">
        <is>
          <t>Paddock C</t>
        </is>
      </c>
      <c r="F158" t="inlineStr">
        <is>
          <t>CC-400 Admin</t>
        </is>
      </c>
      <c r="G158" s="3" t="n">
        <v>1303.25</v>
      </c>
    </row>
    <row r="159">
      <c r="A159" t="inlineStr">
        <is>
          <t>2025-10-04</t>
        </is>
      </c>
      <c r="B159" t="inlineStr">
        <is>
          <t>2025-Q4</t>
        </is>
      </c>
      <c r="C159" t="inlineStr">
        <is>
          <t>Sheep</t>
        </is>
      </c>
      <c r="D159" t="inlineStr">
        <is>
          <t>Transport</t>
        </is>
      </c>
      <c r="E159" t="inlineStr">
        <is>
          <t>Flock A</t>
        </is>
      </c>
      <c r="F159" t="inlineStr">
        <is>
          <t>CC-200 Feed &amp; Vet</t>
        </is>
      </c>
      <c r="G159" s="3" t="n">
        <v>1416.18</v>
      </c>
    </row>
    <row r="160">
      <c r="A160" t="inlineStr">
        <is>
          <t>2026-03-04</t>
        </is>
      </c>
      <c r="B160" t="inlineStr">
        <is>
          <t>2026-Q1</t>
        </is>
      </c>
      <c r="C160" t="inlineStr">
        <is>
          <t>Sheep</t>
        </is>
      </c>
      <c r="D160" t="inlineStr">
        <is>
          <t>Utilities</t>
        </is>
      </c>
      <c r="E160" t="inlineStr">
        <is>
          <t>Paddock A</t>
        </is>
      </c>
      <c r="F160" t="inlineStr">
        <is>
          <t>CC-400 Admin</t>
        </is>
      </c>
      <c r="G160" s="3" t="n">
        <v>498.88</v>
      </c>
    </row>
    <row r="161">
      <c r="A161" t="inlineStr">
        <is>
          <t>2026-05-03</t>
        </is>
      </c>
      <c r="B161" t="inlineStr">
        <is>
          <t>2026-Q2</t>
        </is>
      </c>
      <c r="C161" t="inlineStr">
        <is>
          <t>Sheep</t>
        </is>
      </c>
      <c r="D161" t="inlineStr">
        <is>
          <t>Other</t>
        </is>
      </c>
      <c r="E161" t="inlineStr">
        <is>
          <t>Herd 1</t>
        </is>
      </c>
      <c r="F161" t="inlineStr">
        <is>
          <t>CC-100 Operations</t>
        </is>
      </c>
      <c r="G161" s="3" t="n">
        <v>2344.6</v>
      </c>
    </row>
    <row r="162">
      <c r="A162" t="inlineStr">
        <is>
          <t>2025-08-18</t>
        </is>
      </c>
      <c r="B162" t="inlineStr">
        <is>
          <t>2025-Q3</t>
        </is>
      </c>
      <c r="C162" t="inlineStr">
        <is>
          <t>Dairy</t>
        </is>
      </c>
      <c r="D162" t="inlineStr">
        <is>
          <t>Feed</t>
        </is>
      </c>
      <c r="E162" t="inlineStr">
        <is>
          <t>Paddock C</t>
        </is>
      </c>
      <c r="F162" t="inlineStr">
        <is>
          <t>CC-100 Operations</t>
        </is>
      </c>
      <c r="G162" s="3" t="n">
        <v>3841.69</v>
      </c>
    </row>
    <row r="163">
      <c r="A163" t="inlineStr">
        <is>
          <t>2025-11-06</t>
        </is>
      </c>
      <c r="B163" t="inlineStr">
        <is>
          <t>2025-Q4</t>
        </is>
      </c>
      <c r="C163" t="inlineStr">
        <is>
          <t>Dairy</t>
        </is>
      </c>
      <c r="D163" t="inlineStr">
        <is>
          <t>Labour</t>
        </is>
      </c>
      <c r="E163" t="inlineStr">
        <is>
          <t>Flock A</t>
        </is>
      </c>
      <c r="F163" t="inlineStr">
        <is>
          <t>CC-100 Operations</t>
        </is>
      </c>
      <c r="G163" s="3" t="n">
        <v>5615.68</v>
      </c>
    </row>
    <row r="164">
      <c r="A164" t="inlineStr">
        <is>
          <t>2026-02-03</t>
        </is>
      </c>
      <c r="B164" t="inlineStr">
        <is>
          <t>2026-Q1</t>
        </is>
      </c>
      <c r="C164" t="inlineStr">
        <is>
          <t>Dairy</t>
        </is>
      </c>
      <c r="D164" t="inlineStr">
        <is>
          <t>Veterinary</t>
        </is>
      </c>
      <c r="E164" t="inlineStr">
        <is>
          <t>Herd 1</t>
        </is>
      </c>
      <c r="F164" t="inlineStr">
        <is>
          <t>CC-400 Admin</t>
        </is>
      </c>
      <c r="G164" s="3" t="n">
        <v>2741.09</v>
      </c>
    </row>
    <row r="165">
      <c r="A165" t="inlineStr">
        <is>
          <t>2026-05-07</t>
        </is>
      </c>
      <c r="B165" t="inlineStr">
        <is>
          <t>2026-Q2</t>
        </is>
      </c>
      <c r="C165" t="inlineStr">
        <is>
          <t>Dairy</t>
        </is>
      </c>
      <c r="D165" t="inlineStr">
        <is>
          <t>Fuel &amp; Machinery</t>
        </is>
      </c>
      <c r="E165" t="inlineStr">
        <is>
          <t>Paddock B</t>
        </is>
      </c>
      <c r="F165" t="inlineStr">
        <is>
          <t>CC-100 Operations</t>
        </is>
      </c>
      <c r="G165" s="3" t="n">
        <v>2867.33</v>
      </c>
    </row>
  </sheetData>
  <autoFilter ref="A1:G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Enterprise</t>
        </is>
      </c>
      <c r="B1" s="2" t="inlineStr">
        <is>
          <t>2025-Q3</t>
        </is>
      </c>
      <c r="C1" s="2" t="inlineStr">
        <is>
          <t>2025-Q4</t>
        </is>
      </c>
      <c r="D1" s="2" t="inlineStr">
        <is>
          <t>2026-Q1</t>
        </is>
      </c>
      <c r="E1" s="2" t="inlineStr">
        <is>
          <t>2026-Q2</t>
        </is>
      </c>
      <c r="F1" s="2" t="inlineStr">
        <is>
          <t>Total Profit</t>
        </is>
      </c>
      <c r="G1" s="2" t="inlineStr">
        <is>
          <t>Total Income</t>
        </is>
      </c>
      <c r="H1" s="2" t="inlineStr">
        <is>
          <t>Margin</t>
        </is>
      </c>
    </row>
    <row r="2">
      <c r="A2" t="inlineStr">
        <is>
          <t>Dairy</t>
        </is>
      </c>
      <c r="B2" s="3">
        <f>SUMIFS(Raw_Income!$G$2:$G$1000,Raw_Income!$C$2:$C$1000,$A2,Raw_Income!$B$2:$B$1000,B$1)-SUMIFS(Raw_Expense!$G$2:$G$1000,Raw_Expense!$C$2:$C$1000,$A2,Raw_Expense!$B$2:$B$1000,B$1)</f>
        <v/>
      </c>
      <c r="C2" s="3">
        <f>SUMIFS(Raw_Income!$G$2:$G$1000,Raw_Income!$C$2:$C$1000,$A2,Raw_Income!$B$2:$B$1000,C$1)-SUMIFS(Raw_Expense!$G$2:$G$1000,Raw_Expense!$C$2:$C$1000,$A2,Raw_Expense!$B$2:$B$1000,C$1)</f>
        <v/>
      </c>
      <c r="D2" s="3">
        <f>SUMIFS(Raw_Income!$G$2:$G$1000,Raw_Income!$C$2:$C$1000,$A2,Raw_Income!$B$2:$B$1000,D$1)-SUMIFS(Raw_Expense!$G$2:$G$1000,Raw_Expense!$C$2:$C$1000,$A2,Raw_Expense!$B$2:$B$1000,D$1)</f>
        <v/>
      </c>
      <c r="E2" s="3">
        <f>SUMIFS(Raw_Income!$G$2:$G$1000,Raw_Income!$C$2:$C$1000,$A2,Raw_Income!$B$2:$B$1000,E$1)-SUMIFS(Raw_Expense!$G$2:$G$1000,Raw_Expense!$C$2:$C$1000,$A2,Raw_Expense!$B$2:$B$1000,E$1)</f>
        <v/>
      </c>
      <c r="F2" s="3">
        <f>SUM(B2:E2)</f>
        <v/>
      </c>
      <c r="G2" s="3">
        <f>SUMIFS(Raw_Income!$G$2:$G$1000,Raw_Income!$C$2:$C$1000,$A2)</f>
        <v/>
      </c>
      <c r="H2" s="4">
        <f>IF(G2=0,0,F2/G2)</f>
        <v/>
      </c>
    </row>
    <row r="3">
      <c r="A3" t="inlineStr">
        <is>
          <t>Wheat</t>
        </is>
      </c>
      <c r="B3" s="3">
        <f>SUMIFS(Raw_Income!$G$2:$G$1000,Raw_Income!$C$2:$C$1000,$A3,Raw_Income!$B$2:$B$1000,B$1)-SUMIFS(Raw_Expense!$G$2:$G$1000,Raw_Expense!$C$2:$C$1000,$A3,Raw_Expense!$B$2:$B$1000,B$1)</f>
        <v/>
      </c>
      <c r="C3" s="3">
        <f>SUMIFS(Raw_Income!$G$2:$G$1000,Raw_Income!$C$2:$C$1000,$A3,Raw_Income!$B$2:$B$1000,C$1)-SUMIFS(Raw_Expense!$G$2:$G$1000,Raw_Expense!$C$2:$C$1000,$A3,Raw_Expense!$B$2:$B$1000,C$1)</f>
        <v/>
      </c>
      <c r="D3" s="3">
        <f>SUMIFS(Raw_Income!$G$2:$G$1000,Raw_Income!$C$2:$C$1000,$A3,Raw_Income!$B$2:$B$1000,D$1)-SUMIFS(Raw_Expense!$G$2:$G$1000,Raw_Expense!$C$2:$C$1000,$A3,Raw_Expense!$B$2:$B$1000,D$1)</f>
        <v/>
      </c>
      <c r="E3" s="3">
        <f>SUMIFS(Raw_Income!$G$2:$G$1000,Raw_Income!$C$2:$C$1000,$A3,Raw_Income!$B$2:$B$1000,E$1)-SUMIFS(Raw_Expense!$G$2:$G$1000,Raw_Expense!$C$2:$C$1000,$A3,Raw_Expense!$B$2:$B$1000,E$1)</f>
        <v/>
      </c>
      <c r="F3" s="3">
        <f>SUM(B3:E3)</f>
        <v/>
      </c>
      <c r="G3" s="3">
        <f>SUMIFS(Raw_Income!$G$2:$G$1000,Raw_Income!$C$2:$C$1000,$A3)</f>
        <v/>
      </c>
      <c r="H3" s="4">
        <f>IF(G3=0,0,F3/G3)</f>
        <v/>
      </c>
    </row>
    <row r="4">
      <c r="A4" t="inlineStr">
        <is>
          <t>Vegetables</t>
        </is>
      </c>
      <c r="B4" s="3">
        <f>SUMIFS(Raw_Income!$G$2:$G$1000,Raw_Income!$C$2:$C$1000,$A4,Raw_Income!$B$2:$B$1000,B$1)-SUMIFS(Raw_Expense!$G$2:$G$1000,Raw_Expense!$C$2:$C$1000,$A4,Raw_Expense!$B$2:$B$1000,B$1)</f>
        <v/>
      </c>
      <c r="C4" s="3">
        <f>SUMIFS(Raw_Income!$G$2:$G$1000,Raw_Income!$C$2:$C$1000,$A4,Raw_Income!$B$2:$B$1000,C$1)-SUMIFS(Raw_Expense!$G$2:$G$1000,Raw_Expense!$C$2:$C$1000,$A4,Raw_Expense!$B$2:$B$1000,C$1)</f>
        <v/>
      </c>
      <c r="D4" s="3">
        <f>SUMIFS(Raw_Income!$G$2:$G$1000,Raw_Income!$C$2:$C$1000,$A4,Raw_Income!$B$2:$B$1000,D$1)-SUMIFS(Raw_Expense!$G$2:$G$1000,Raw_Expense!$C$2:$C$1000,$A4,Raw_Expense!$B$2:$B$1000,D$1)</f>
        <v/>
      </c>
      <c r="E4" s="3">
        <f>SUMIFS(Raw_Income!$G$2:$G$1000,Raw_Income!$C$2:$C$1000,$A4,Raw_Income!$B$2:$B$1000,E$1)-SUMIFS(Raw_Expense!$G$2:$G$1000,Raw_Expense!$C$2:$C$1000,$A4,Raw_Expense!$B$2:$B$1000,E$1)</f>
        <v/>
      </c>
      <c r="F4" s="3">
        <f>SUM(B4:E4)</f>
        <v/>
      </c>
      <c r="G4" s="3">
        <f>SUMIFS(Raw_Income!$G$2:$G$1000,Raw_Income!$C$2:$C$1000,$A4)</f>
        <v/>
      </c>
      <c r="H4" s="4">
        <f>IF(G4=0,0,F4/G4)</f>
        <v/>
      </c>
    </row>
    <row r="5">
      <c r="A5" t="inlineStr">
        <is>
          <t>Poultry</t>
        </is>
      </c>
      <c r="B5" s="3">
        <f>SUMIFS(Raw_Income!$G$2:$G$1000,Raw_Income!$C$2:$C$1000,$A5,Raw_Income!$B$2:$B$1000,B$1)-SUMIFS(Raw_Expense!$G$2:$G$1000,Raw_Expense!$C$2:$C$1000,$A5,Raw_Expense!$B$2:$B$1000,B$1)</f>
        <v/>
      </c>
      <c r="C5" s="3">
        <f>SUMIFS(Raw_Income!$G$2:$G$1000,Raw_Income!$C$2:$C$1000,$A5,Raw_Income!$B$2:$B$1000,C$1)-SUMIFS(Raw_Expense!$G$2:$G$1000,Raw_Expense!$C$2:$C$1000,$A5,Raw_Expense!$B$2:$B$1000,C$1)</f>
        <v/>
      </c>
      <c r="D5" s="3">
        <f>SUMIFS(Raw_Income!$G$2:$G$1000,Raw_Income!$C$2:$C$1000,$A5,Raw_Income!$B$2:$B$1000,D$1)-SUMIFS(Raw_Expense!$G$2:$G$1000,Raw_Expense!$C$2:$C$1000,$A5,Raw_Expense!$B$2:$B$1000,D$1)</f>
        <v/>
      </c>
      <c r="E5" s="3">
        <f>SUMIFS(Raw_Income!$G$2:$G$1000,Raw_Income!$C$2:$C$1000,$A5,Raw_Income!$B$2:$B$1000,E$1)-SUMIFS(Raw_Expense!$G$2:$G$1000,Raw_Expense!$C$2:$C$1000,$A5,Raw_Expense!$B$2:$B$1000,E$1)</f>
        <v/>
      </c>
      <c r="F5" s="3">
        <f>SUM(B5:E5)</f>
        <v/>
      </c>
      <c r="G5" s="3">
        <f>SUMIFS(Raw_Income!$G$2:$G$1000,Raw_Income!$C$2:$C$1000,$A5)</f>
        <v/>
      </c>
      <c r="H5" s="4">
        <f>IF(G5=0,0,F5/G5)</f>
        <v/>
      </c>
    </row>
    <row r="6">
      <c r="A6" t="inlineStr">
        <is>
          <t>Sheep</t>
        </is>
      </c>
      <c r="B6" s="3">
        <f>SUMIFS(Raw_Income!$G$2:$G$1000,Raw_Income!$C$2:$C$1000,$A6,Raw_Income!$B$2:$B$1000,B$1)-SUMIFS(Raw_Expense!$G$2:$G$1000,Raw_Expense!$C$2:$C$1000,$A6,Raw_Expense!$B$2:$B$1000,B$1)</f>
        <v/>
      </c>
      <c r="C6" s="3">
        <f>SUMIFS(Raw_Income!$G$2:$G$1000,Raw_Income!$C$2:$C$1000,$A6,Raw_Income!$B$2:$B$1000,C$1)-SUMIFS(Raw_Expense!$G$2:$G$1000,Raw_Expense!$C$2:$C$1000,$A6,Raw_Expense!$B$2:$B$1000,C$1)</f>
        <v/>
      </c>
      <c r="D6" s="3">
        <f>SUMIFS(Raw_Income!$G$2:$G$1000,Raw_Income!$C$2:$C$1000,$A6,Raw_Income!$B$2:$B$1000,D$1)-SUMIFS(Raw_Expense!$G$2:$G$1000,Raw_Expense!$C$2:$C$1000,$A6,Raw_Expense!$B$2:$B$1000,D$1)</f>
        <v/>
      </c>
      <c r="E6" s="3">
        <f>SUMIFS(Raw_Income!$G$2:$G$1000,Raw_Income!$C$2:$C$1000,$A6,Raw_Income!$B$2:$B$1000,E$1)-SUMIFS(Raw_Expense!$G$2:$G$1000,Raw_Expense!$C$2:$C$1000,$A6,Raw_Expense!$B$2:$B$1000,E$1)</f>
        <v/>
      </c>
      <c r="F6" s="3">
        <f>SUM(B6:E6)</f>
        <v/>
      </c>
      <c r="G6" s="3">
        <f>SUMIFS(Raw_Income!$G$2:$G$1000,Raw_Income!$C$2:$C$1000,$A6)</f>
        <v/>
      </c>
      <c r="H6" s="4">
        <f>IF(G6=0,0,F6/G6)</f>
        <v/>
      </c>
    </row>
    <row r="7">
      <c r="A7" s="5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7">
        <f>IF(G7=0,0,F7/G7)</f>
        <v/>
      </c>
    </row>
  </sheetData>
  <conditionalFormatting sqref="H2:H6">
    <cfRule type="cellIs" priority="1" operator="greaterThan" dxfId="0">
      <formula>0.2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Activity</t>
        </is>
      </c>
      <c r="B1" s="2" t="inlineStr">
        <is>
          <t>2025-Q3</t>
        </is>
      </c>
      <c r="C1" s="2" t="inlineStr">
        <is>
          <t>2025-Q4</t>
        </is>
      </c>
      <c r="D1" s="2" t="inlineStr">
        <is>
          <t>2026-Q1</t>
        </is>
      </c>
      <c r="E1" s="2" t="inlineStr">
        <is>
          <t>2026-Q2</t>
        </is>
      </c>
      <c r="F1" s="2" t="inlineStr">
        <is>
          <t>Total</t>
        </is>
      </c>
    </row>
    <row r="2">
      <c r="A2" t="inlineStr">
        <is>
          <t>Milk Sales</t>
        </is>
      </c>
      <c r="B2" s="3">
        <f>SUMIFS(Raw_Income!$G$2:$G$1000,Raw_Income!$D$2:$D$1000,$A2,Raw_Income!$B$2:$B$1000,B$1)</f>
        <v/>
      </c>
      <c r="C2" s="3">
        <f>SUMIFS(Raw_Income!$G$2:$G$1000,Raw_Income!$D$2:$D$1000,$A2,Raw_Income!$B$2:$B$1000,C$1)</f>
        <v/>
      </c>
      <c r="D2" s="3">
        <f>SUMIFS(Raw_Income!$G$2:$G$1000,Raw_Income!$D$2:$D$1000,$A2,Raw_Income!$B$2:$B$1000,D$1)</f>
        <v/>
      </c>
      <c r="E2" s="3">
        <f>SUMIFS(Raw_Income!$G$2:$G$1000,Raw_Income!$D$2:$D$1000,$A2,Raw_Income!$B$2:$B$1000,E$1)</f>
        <v/>
      </c>
      <c r="F2" s="3">
        <f>SUM(B2:E2)</f>
        <v/>
      </c>
    </row>
    <row r="3">
      <c r="A3" t="inlineStr">
        <is>
          <t>Calf Sales</t>
        </is>
      </c>
      <c r="B3" s="3">
        <f>SUMIFS(Raw_Income!$G$2:$G$1000,Raw_Income!$D$2:$D$1000,$A3,Raw_Income!$B$2:$B$1000,B$1)</f>
        <v/>
      </c>
      <c r="C3" s="3">
        <f>SUMIFS(Raw_Income!$G$2:$G$1000,Raw_Income!$D$2:$D$1000,$A3,Raw_Income!$B$2:$B$1000,C$1)</f>
        <v/>
      </c>
      <c r="D3" s="3">
        <f>SUMIFS(Raw_Income!$G$2:$G$1000,Raw_Income!$D$2:$D$1000,$A3,Raw_Income!$B$2:$B$1000,D$1)</f>
        <v/>
      </c>
      <c r="E3" s="3">
        <f>SUMIFS(Raw_Income!$G$2:$G$1000,Raw_Income!$D$2:$D$1000,$A3,Raw_Income!$B$2:$B$1000,E$1)</f>
        <v/>
      </c>
      <c r="F3" s="3">
        <f>SUM(B3:E3)</f>
        <v/>
      </c>
    </row>
    <row r="4">
      <c r="A4" t="inlineStr">
        <is>
          <t>Grain Sales</t>
        </is>
      </c>
      <c r="B4" s="3">
        <f>SUMIFS(Raw_Income!$G$2:$G$1000,Raw_Income!$D$2:$D$1000,$A4,Raw_Income!$B$2:$B$1000,B$1)</f>
        <v/>
      </c>
      <c r="C4" s="3">
        <f>SUMIFS(Raw_Income!$G$2:$G$1000,Raw_Income!$D$2:$D$1000,$A4,Raw_Income!$B$2:$B$1000,C$1)</f>
        <v/>
      </c>
      <c r="D4" s="3">
        <f>SUMIFS(Raw_Income!$G$2:$G$1000,Raw_Income!$D$2:$D$1000,$A4,Raw_Income!$B$2:$B$1000,D$1)</f>
        <v/>
      </c>
      <c r="E4" s="3">
        <f>SUMIFS(Raw_Income!$G$2:$G$1000,Raw_Income!$D$2:$D$1000,$A4,Raw_Income!$B$2:$B$1000,E$1)</f>
        <v/>
      </c>
      <c r="F4" s="3">
        <f>SUM(B4:E4)</f>
        <v/>
      </c>
    </row>
    <row r="5">
      <c r="A5" t="inlineStr">
        <is>
          <t>Straw Sales</t>
        </is>
      </c>
      <c r="B5" s="3">
        <f>SUMIFS(Raw_Income!$G$2:$G$1000,Raw_Income!$D$2:$D$1000,$A5,Raw_Income!$B$2:$B$1000,B$1)</f>
        <v/>
      </c>
      <c r="C5" s="3">
        <f>SUMIFS(Raw_Income!$G$2:$G$1000,Raw_Income!$D$2:$D$1000,$A5,Raw_Income!$B$2:$B$1000,C$1)</f>
        <v/>
      </c>
      <c r="D5" s="3">
        <f>SUMIFS(Raw_Income!$G$2:$G$1000,Raw_Income!$D$2:$D$1000,$A5,Raw_Income!$B$2:$B$1000,D$1)</f>
        <v/>
      </c>
      <c r="E5" s="3">
        <f>SUMIFS(Raw_Income!$G$2:$G$1000,Raw_Income!$D$2:$D$1000,$A5,Raw_Income!$B$2:$B$1000,E$1)</f>
        <v/>
      </c>
      <c r="F5" s="3">
        <f>SUM(B5:E5)</f>
        <v/>
      </c>
    </row>
    <row r="6">
      <c r="A6" t="inlineStr">
        <is>
          <t>Vegetable Sales</t>
        </is>
      </c>
      <c r="B6" s="3">
        <f>SUMIFS(Raw_Income!$G$2:$G$1000,Raw_Income!$D$2:$D$1000,$A6,Raw_Income!$B$2:$B$1000,B$1)</f>
        <v/>
      </c>
      <c r="C6" s="3">
        <f>SUMIFS(Raw_Income!$G$2:$G$1000,Raw_Income!$D$2:$D$1000,$A6,Raw_Income!$B$2:$B$1000,C$1)</f>
        <v/>
      </c>
      <c r="D6" s="3">
        <f>SUMIFS(Raw_Income!$G$2:$G$1000,Raw_Income!$D$2:$D$1000,$A6,Raw_Income!$B$2:$B$1000,D$1)</f>
        <v/>
      </c>
      <c r="E6" s="3">
        <f>SUMIFS(Raw_Income!$G$2:$G$1000,Raw_Income!$D$2:$D$1000,$A6,Raw_Income!$B$2:$B$1000,E$1)</f>
        <v/>
      </c>
      <c r="F6" s="3">
        <f>SUM(B6:E6)</f>
        <v/>
      </c>
    </row>
    <row r="7">
      <c r="A7" t="inlineStr">
        <is>
          <t>Market Stall Sales</t>
        </is>
      </c>
      <c r="B7" s="3">
        <f>SUMIFS(Raw_Income!$G$2:$G$1000,Raw_Income!$D$2:$D$1000,$A7,Raw_Income!$B$2:$B$1000,B$1)</f>
        <v/>
      </c>
      <c r="C7" s="3">
        <f>SUMIFS(Raw_Income!$G$2:$G$1000,Raw_Income!$D$2:$D$1000,$A7,Raw_Income!$B$2:$B$1000,C$1)</f>
        <v/>
      </c>
      <c r="D7" s="3">
        <f>SUMIFS(Raw_Income!$G$2:$G$1000,Raw_Income!$D$2:$D$1000,$A7,Raw_Income!$B$2:$B$1000,D$1)</f>
        <v/>
      </c>
      <c r="E7" s="3">
        <f>SUMIFS(Raw_Income!$G$2:$G$1000,Raw_Income!$D$2:$D$1000,$A7,Raw_Income!$B$2:$B$1000,E$1)</f>
        <v/>
      </c>
      <c r="F7" s="3">
        <f>SUM(B7:E7)</f>
        <v/>
      </c>
    </row>
    <row r="8">
      <c r="A8" t="inlineStr">
        <is>
          <t>Egg Sales</t>
        </is>
      </c>
      <c r="B8" s="3">
        <f>SUMIFS(Raw_Income!$G$2:$G$1000,Raw_Income!$D$2:$D$1000,$A8,Raw_Income!$B$2:$B$1000,B$1)</f>
        <v/>
      </c>
      <c r="C8" s="3">
        <f>SUMIFS(Raw_Income!$G$2:$G$1000,Raw_Income!$D$2:$D$1000,$A8,Raw_Income!$B$2:$B$1000,C$1)</f>
        <v/>
      </c>
      <c r="D8" s="3">
        <f>SUMIFS(Raw_Income!$G$2:$G$1000,Raw_Income!$D$2:$D$1000,$A8,Raw_Income!$B$2:$B$1000,D$1)</f>
        <v/>
      </c>
      <c r="E8" s="3">
        <f>SUMIFS(Raw_Income!$G$2:$G$1000,Raw_Income!$D$2:$D$1000,$A8,Raw_Income!$B$2:$B$1000,E$1)</f>
        <v/>
      </c>
      <c r="F8" s="3">
        <f>SUM(B8:E8)</f>
        <v/>
      </c>
    </row>
    <row r="9">
      <c r="A9" t="inlineStr">
        <is>
          <t>Broiler Sales</t>
        </is>
      </c>
      <c r="B9" s="3">
        <f>SUMIFS(Raw_Income!$G$2:$G$1000,Raw_Income!$D$2:$D$1000,$A9,Raw_Income!$B$2:$B$1000,B$1)</f>
        <v/>
      </c>
      <c r="C9" s="3">
        <f>SUMIFS(Raw_Income!$G$2:$G$1000,Raw_Income!$D$2:$D$1000,$A9,Raw_Income!$B$2:$B$1000,C$1)</f>
        <v/>
      </c>
      <c r="D9" s="3">
        <f>SUMIFS(Raw_Income!$G$2:$G$1000,Raw_Income!$D$2:$D$1000,$A9,Raw_Income!$B$2:$B$1000,D$1)</f>
        <v/>
      </c>
      <c r="E9" s="3">
        <f>SUMIFS(Raw_Income!$G$2:$G$1000,Raw_Income!$D$2:$D$1000,$A9,Raw_Income!$B$2:$B$1000,E$1)</f>
        <v/>
      </c>
      <c r="F9" s="3">
        <f>SUM(B9:E9)</f>
        <v/>
      </c>
    </row>
    <row r="10">
      <c r="A10" t="inlineStr">
        <is>
          <t>Wool Sales</t>
        </is>
      </c>
      <c r="B10" s="3">
        <f>SUMIFS(Raw_Income!$G$2:$G$1000,Raw_Income!$D$2:$D$1000,$A10,Raw_Income!$B$2:$B$1000,B$1)</f>
        <v/>
      </c>
      <c r="C10" s="3">
        <f>SUMIFS(Raw_Income!$G$2:$G$1000,Raw_Income!$D$2:$D$1000,$A10,Raw_Income!$B$2:$B$1000,C$1)</f>
        <v/>
      </c>
      <c r="D10" s="3">
        <f>SUMIFS(Raw_Income!$G$2:$G$1000,Raw_Income!$D$2:$D$1000,$A10,Raw_Income!$B$2:$B$1000,D$1)</f>
        <v/>
      </c>
      <c r="E10" s="3">
        <f>SUMIFS(Raw_Income!$G$2:$G$1000,Raw_Income!$D$2:$D$1000,$A10,Raw_Income!$B$2:$B$1000,E$1)</f>
        <v/>
      </c>
      <c r="F10" s="3">
        <f>SUM(B10:E10)</f>
        <v/>
      </c>
    </row>
    <row r="11">
      <c r="A11" t="inlineStr">
        <is>
          <t>Lamb Sales</t>
        </is>
      </c>
      <c r="B11" s="3">
        <f>SUMIFS(Raw_Income!$G$2:$G$1000,Raw_Income!$D$2:$D$1000,$A11,Raw_Income!$B$2:$B$1000,B$1)</f>
        <v/>
      </c>
      <c r="C11" s="3">
        <f>SUMIFS(Raw_Income!$G$2:$G$1000,Raw_Income!$D$2:$D$1000,$A11,Raw_Income!$B$2:$B$1000,C$1)</f>
        <v/>
      </c>
      <c r="D11" s="3">
        <f>SUMIFS(Raw_Income!$G$2:$G$1000,Raw_Income!$D$2:$D$1000,$A11,Raw_Income!$B$2:$B$1000,D$1)</f>
        <v/>
      </c>
      <c r="E11" s="3">
        <f>SUMIFS(Raw_Income!$G$2:$G$1000,Raw_Income!$D$2:$D$1000,$A11,Raw_Income!$B$2:$B$1000,E$1)</f>
        <v/>
      </c>
      <c r="F11" s="3">
        <f>SUM(B11:E11)</f>
        <v/>
      </c>
    </row>
    <row r="12">
      <c r="A12" s="5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6">
        <f>SUM(E2:E11)</f>
        <v/>
      </c>
      <c r="F12" s="6">
        <f>SUM(F2:F11)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Category</t>
        </is>
      </c>
      <c r="B1" s="2" t="inlineStr">
        <is>
          <t>2025-Q3</t>
        </is>
      </c>
      <c r="C1" s="2" t="inlineStr">
        <is>
          <t>2025-Q4</t>
        </is>
      </c>
      <c r="D1" s="2" t="inlineStr">
        <is>
          <t>2026-Q1</t>
        </is>
      </c>
      <c r="E1" s="2" t="inlineStr">
        <is>
          <t>2026-Q2</t>
        </is>
      </c>
      <c r="F1" s="2" t="inlineStr">
        <is>
          <t>Total</t>
        </is>
      </c>
    </row>
    <row r="2">
      <c r="A2" t="inlineStr">
        <is>
          <t>Feed</t>
        </is>
      </c>
      <c r="B2" s="3">
        <f>SUMIFS(Raw_Expense!$G$2:$G$1000,Raw_Expense!$D$2:$D$1000,$A2,Raw_Expense!$B$2:$B$1000,B$1)</f>
        <v/>
      </c>
      <c r="C2" s="3">
        <f>SUMIFS(Raw_Expense!$G$2:$G$1000,Raw_Expense!$D$2:$D$1000,$A2,Raw_Expense!$B$2:$B$1000,C$1)</f>
        <v/>
      </c>
      <c r="D2" s="3">
        <f>SUMIFS(Raw_Expense!$G$2:$G$1000,Raw_Expense!$D$2:$D$1000,$A2,Raw_Expense!$B$2:$B$1000,D$1)</f>
        <v/>
      </c>
      <c r="E2" s="3">
        <f>SUMIFS(Raw_Expense!$G$2:$G$1000,Raw_Expense!$D$2:$D$1000,$A2,Raw_Expense!$B$2:$B$1000,E$1)</f>
        <v/>
      </c>
      <c r="F2" s="3">
        <f>SUM(B2:E2)</f>
        <v/>
      </c>
    </row>
    <row r="3">
      <c r="A3" t="inlineStr">
        <is>
          <t>Labour</t>
        </is>
      </c>
      <c r="B3" s="3">
        <f>SUMIFS(Raw_Expense!$G$2:$G$1000,Raw_Expense!$D$2:$D$1000,$A3,Raw_Expense!$B$2:$B$1000,B$1)</f>
        <v/>
      </c>
      <c r="C3" s="3">
        <f>SUMIFS(Raw_Expense!$G$2:$G$1000,Raw_Expense!$D$2:$D$1000,$A3,Raw_Expense!$B$2:$B$1000,C$1)</f>
        <v/>
      </c>
      <c r="D3" s="3">
        <f>SUMIFS(Raw_Expense!$G$2:$G$1000,Raw_Expense!$D$2:$D$1000,$A3,Raw_Expense!$B$2:$B$1000,D$1)</f>
        <v/>
      </c>
      <c r="E3" s="3">
        <f>SUMIFS(Raw_Expense!$G$2:$G$1000,Raw_Expense!$D$2:$D$1000,$A3,Raw_Expense!$B$2:$B$1000,E$1)</f>
        <v/>
      </c>
      <c r="F3" s="3">
        <f>SUM(B3:E3)</f>
        <v/>
      </c>
    </row>
    <row r="4">
      <c r="A4" t="inlineStr">
        <is>
          <t>Veterinary</t>
        </is>
      </c>
      <c r="B4" s="3">
        <f>SUMIFS(Raw_Expense!$G$2:$G$1000,Raw_Expense!$D$2:$D$1000,$A4,Raw_Expense!$B$2:$B$1000,B$1)</f>
        <v/>
      </c>
      <c r="C4" s="3">
        <f>SUMIFS(Raw_Expense!$G$2:$G$1000,Raw_Expense!$D$2:$D$1000,$A4,Raw_Expense!$B$2:$B$1000,C$1)</f>
        <v/>
      </c>
      <c r="D4" s="3">
        <f>SUMIFS(Raw_Expense!$G$2:$G$1000,Raw_Expense!$D$2:$D$1000,$A4,Raw_Expense!$B$2:$B$1000,D$1)</f>
        <v/>
      </c>
      <c r="E4" s="3">
        <f>SUMIFS(Raw_Expense!$G$2:$G$1000,Raw_Expense!$D$2:$D$1000,$A4,Raw_Expense!$B$2:$B$1000,E$1)</f>
        <v/>
      </c>
      <c r="F4" s="3">
        <f>SUM(B4:E4)</f>
        <v/>
      </c>
    </row>
    <row r="5">
      <c r="A5" t="inlineStr">
        <is>
          <t>Fuel &amp; Machinery</t>
        </is>
      </c>
      <c r="B5" s="3">
        <f>SUMIFS(Raw_Expense!$G$2:$G$1000,Raw_Expense!$D$2:$D$1000,$A5,Raw_Expense!$B$2:$B$1000,B$1)</f>
        <v/>
      </c>
      <c r="C5" s="3">
        <f>SUMIFS(Raw_Expense!$G$2:$G$1000,Raw_Expense!$D$2:$D$1000,$A5,Raw_Expense!$B$2:$B$1000,C$1)</f>
        <v/>
      </c>
      <c r="D5" s="3">
        <f>SUMIFS(Raw_Expense!$G$2:$G$1000,Raw_Expense!$D$2:$D$1000,$A5,Raw_Expense!$B$2:$B$1000,D$1)</f>
        <v/>
      </c>
      <c r="E5" s="3">
        <f>SUMIFS(Raw_Expense!$G$2:$G$1000,Raw_Expense!$D$2:$D$1000,$A5,Raw_Expense!$B$2:$B$1000,E$1)</f>
        <v/>
      </c>
      <c r="F5" s="3">
        <f>SUM(B5:E5)</f>
        <v/>
      </c>
    </row>
    <row r="6">
      <c r="A6" t="inlineStr">
        <is>
          <t>Fertiliser &amp; Seed</t>
        </is>
      </c>
      <c r="B6" s="3">
        <f>SUMIFS(Raw_Expense!$G$2:$G$1000,Raw_Expense!$D$2:$D$1000,$A6,Raw_Expense!$B$2:$B$1000,B$1)</f>
        <v/>
      </c>
      <c r="C6" s="3">
        <f>SUMIFS(Raw_Expense!$G$2:$G$1000,Raw_Expense!$D$2:$D$1000,$A6,Raw_Expense!$B$2:$B$1000,C$1)</f>
        <v/>
      </c>
      <c r="D6" s="3">
        <f>SUMIFS(Raw_Expense!$G$2:$G$1000,Raw_Expense!$D$2:$D$1000,$A6,Raw_Expense!$B$2:$B$1000,D$1)</f>
        <v/>
      </c>
      <c r="E6" s="3">
        <f>SUMIFS(Raw_Expense!$G$2:$G$1000,Raw_Expense!$D$2:$D$1000,$A6,Raw_Expense!$B$2:$B$1000,E$1)</f>
        <v/>
      </c>
      <c r="F6" s="3">
        <f>SUM(B6:E6)</f>
        <v/>
      </c>
    </row>
    <row r="7">
      <c r="A7" t="inlineStr">
        <is>
          <t>Transport</t>
        </is>
      </c>
      <c r="B7" s="3">
        <f>SUMIFS(Raw_Expense!$G$2:$G$1000,Raw_Expense!$D$2:$D$1000,$A7,Raw_Expense!$B$2:$B$1000,B$1)</f>
        <v/>
      </c>
      <c r="C7" s="3">
        <f>SUMIFS(Raw_Expense!$G$2:$G$1000,Raw_Expense!$D$2:$D$1000,$A7,Raw_Expense!$B$2:$B$1000,C$1)</f>
        <v/>
      </c>
      <c r="D7" s="3">
        <f>SUMIFS(Raw_Expense!$G$2:$G$1000,Raw_Expense!$D$2:$D$1000,$A7,Raw_Expense!$B$2:$B$1000,D$1)</f>
        <v/>
      </c>
      <c r="E7" s="3">
        <f>SUMIFS(Raw_Expense!$G$2:$G$1000,Raw_Expense!$D$2:$D$1000,$A7,Raw_Expense!$B$2:$B$1000,E$1)</f>
        <v/>
      </c>
      <c r="F7" s="3">
        <f>SUM(B7:E7)</f>
        <v/>
      </c>
    </row>
    <row r="8">
      <c r="A8" t="inlineStr">
        <is>
          <t>Utilities</t>
        </is>
      </c>
      <c r="B8" s="3">
        <f>SUMIFS(Raw_Expense!$G$2:$G$1000,Raw_Expense!$D$2:$D$1000,$A8,Raw_Expense!$B$2:$B$1000,B$1)</f>
        <v/>
      </c>
      <c r="C8" s="3">
        <f>SUMIFS(Raw_Expense!$G$2:$G$1000,Raw_Expense!$D$2:$D$1000,$A8,Raw_Expense!$B$2:$B$1000,C$1)</f>
        <v/>
      </c>
      <c r="D8" s="3">
        <f>SUMIFS(Raw_Expense!$G$2:$G$1000,Raw_Expense!$D$2:$D$1000,$A8,Raw_Expense!$B$2:$B$1000,D$1)</f>
        <v/>
      </c>
      <c r="E8" s="3">
        <f>SUMIFS(Raw_Expense!$G$2:$G$1000,Raw_Expense!$D$2:$D$1000,$A8,Raw_Expense!$B$2:$B$1000,E$1)</f>
        <v/>
      </c>
      <c r="F8" s="3">
        <f>SUM(B8:E8)</f>
        <v/>
      </c>
    </row>
    <row r="9">
      <c r="A9" t="inlineStr">
        <is>
          <t>Other</t>
        </is>
      </c>
      <c r="B9" s="3">
        <f>SUMIFS(Raw_Expense!$G$2:$G$1000,Raw_Expense!$D$2:$D$1000,$A9,Raw_Expense!$B$2:$B$1000,B$1)</f>
        <v/>
      </c>
      <c r="C9" s="3">
        <f>SUMIFS(Raw_Expense!$G$2:$G$1000,Raw_Expense!$D$2:$D$1000,$A9,Raw_Expense!$B$2:$B$1000,C$1)</f>
        <v/>
      </c>
      <c r="D9" s="3">
        <f>SUMIFS(Raw_Expense!$G$2:$G$1000,Raw_Expense!$D$2:$D$1000,$A9,Raw_Expense!$B$2:$B$1000,D$1)</f>
        <v/>
      </c>
      <c r="E9" s="3">
        <f>SUMIFS(Raw_Expense!$G$2:$G$1000,Raw_Expense!$D$2:$D$1000,$A9,Raw_Expense!$B$2:$B$1000,E$1)</f>
        <v/>
      </c>
      <c r="F9" s="3">
        <f>SUM(B9:E9)</f>
        <v/>
      </c>
    </row>
    <row r="10">
      <c r="A10" s="5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  <c r="F10" s="6">
        <f>SUM(F2:F9)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0" customWidth="1" min="3" max="3"/>
  </cols>
  <sheetData>
    <row r="1">
      <c r="A1" s="2" t="inlineStr">
        <is>
          <t>Check</t>
        </is>
      </c>
      <c r="B1" s="2" t="inlineStr">
        <is>
          <t>Difference / Value</t>
        </is>
      </c>
      <c r="C1" s="2" t="inlineStr">
        <is>
          <t>Pass?</t>
        </is>
      </c>
    </row>
    <row r="2">
      <c r="A2" t="inlineStr">
        <is>
          <t>Dashboard income = Income_Activity total</t>
        </is>
      </c>
      <c r="B2">
        <f>Dashboard!B4-Income_Activity!F12</f>
        <v/>
      </c>
      <c r="C2">
        <f>ABS(B2)&lt;0.01</f>
        <v/>
      </c>
    </row>
    <row r="3">
      <c r="A3" t="inlineStr">
        <is>
          <t>Dashboard expenses = Expense_Category total</t>
        </is>
      </c>
      <c r="B3">
        <f>Dashboard!B5-Expense_Category!F10</f>
        <v/>
      </c>
      <c r="C3">
        <f>ABS(B3)&lt;0.01</f>
        <v/>
      </c>
    </row>
    <row r="4">
      <c r="A4" t="inlineStr">
        <is>
          <t>Dashboard net = Enterprise_Profit total profit</t>
        </is>
      </c>
      <c r="B4">
        <f>Dashboard!B6-Enterprise_Profit!F7</f>
        <v/>
      </c>
      <c r="C4">
        <f>ABS(B4)&lt;0.01</f>
        <v/>
      </c>
    </row>
    <row r="5">
      <c r="A5" t="inlineStr">
        <is>
          <t>Dashboard income = quarterly table total</t>
        </is>
      </c>
      <c r="B5">
        <f>Dashboard!B4-Dashboard!B16</f>
        <v/>
      </c>
      <c r="C5">
        <f>ABS(B5)&lt;0.01</f>
        <v/>
      </c>
    </row>
    <row r="6">
      <c r="A6" t="inlineStr">
        <is>
          <t>Dashboard expenses = quarterly table total</t>
        </is>
      </c>
      <c r="B6">
        <f>Dashboard!B5-Dashboard!C16</f>
        <v/>
      </c>
      <c r="C6">
        <f>ABS(B6)&lt;0.01</f>
        <v/>
      </c>
    </row>
    <row r="7">
      <c r="A7" t="inlineStr">
        <is>
          <t>Income rows = 172</t>
        </is>
      </c>
      <c r="B7">
        <f>COUNTA(Raw_Income!$A$2:$A$1000)-172</f>
        <v/>
      </c>
      <c r="C7">
        <f>B7=0</f>
        <v/>
      </c>
    </row>
    <row r="8">
      <c r="A8" t="inlineStr">
        <is>
          <t>Expense rows = 164</t>
        </is>
      </c>
      <c r="B8">
        <f>COUNTA(Raw_Expense!$A$2:$A$1000)-164</f>
        <v/>
      </c>
      <c r="C8">
        <f>B8=0</f>
        <v/>
      </c>
    </row>
    <row r="9">
      <c r="A9" t="inlineStr">
        <is>
          <t>No negative amounts (min income &gt;= 0)</t>
        </is>
      </c>
      <c r="B9">
        <f>MIN(Raw_Income!$G$2:$G$1000)</f>
        <v/>
      </c>
      <c r="C9">
        <f>B9&gt;=0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2026-10-26T02:26:10+00:00Z</dcterms:created>
  <dcterms:modified xmlns:dcterms="http://purl.org/dc/terms/" xmlns:xsi="http://www.w3.org/2001/XMLSchema-instance" xsi:type="dcterms:W3CDTF">2026-10-26T02:26:10+00:00Z</dcterms:modified>
</cp:coreProperties>
</file>