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Raw_PrevDay" sheetId="3" state="visible" r:id="rId3"/>
    <sheet xmlns:r="http://schemas.openxmlformats.org/officeDocument/2006/relationships" name="Raw_Today" sheetId="4" state="visible" r:id="rId4"/>
    <sheet xmlns:r="http://schemas.openxmlformats.org/officeDocument/2006/relationships" name="Top_Movers" sheetId="5" state="visible" r:id="rId5"/>
    <sheet xmlns:r="http://schemas.openxmlformats.org/officeDocument/2006/relationships" name="OI_Signals" sheetId="6" state="visible" r:id="rId6"/>
    <sheet xmlns:r="http://schemas.openxmlformats.org/officeDocument/2006/relationships" name="Sector_Heatmap" sheetId="7" state="visible" r:id="rId7"/>
    <sheet xmlns:r="http://schemas.openxmlformats.org/officeDocument/2006/relationships" name="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  <sz val="11"/>
    </font>
    <font>
      <b val="1"/>
      <color rgb="00548235"/>
      <sz val="12"/>
    </font>
    <font>
      <b val="1"/>
      <color rgb="00C00000"/>
      <sz val="12"/>
    </font>
    <font>
      <b val="1"/>
      <color rgb="001F3864"/>
      <sz val="12"/>
    </font>
    <font>
      <i val="1"/>
      <color rgb="00C00000"/>
      <sz val="10"/>
    </font>
    <font>
      <b val="1"/>
      <sz val="11"/>
    </font>
    <font>
      <b val="1"/>
      <sz val="13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3" borderId="0" pivotButton="0" quotePrefix="0" xfId="0"/>
    <xf numFmtId="10" fontId="8" fillId="3" borderId="0" pivotButton="0" quotePrefix="0" xfId="0"/>
    <xf numFmtId="2" fontId="8" fillId="3" borderId="0" pivotButton="0" quotePrefix="0" xfId="0"/>
    <xf numFmtId="49" fontId="8" fillId="3" borderId="0" pivotButton="0" quotePrefix="0" xfId="0"/>
    <xf numFmtId="3" fontId="8" fillId="3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3" fontId="0" fillId="0" borderId="1" pivotButton="0" quotePrefix="0" xfId="0"/>
    <xf numFmtId="10" fontId="0" fillId="0" borderId="1" pivotButton="0" quotePrefix="0" xfId="0"/>
    <xf numFmtId="2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Gainers (% change)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'Top_Movers'!C2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'Top_Movers'!$B$3:$B$12</f>
            </numRef>
          </cat>
          <val>
            <numRef>
              <f>'Top_Movers'!$C$3:$C$12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change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Long Buildups (OI chg 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'OI_Signals'!C2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'OI_Signals'!$B$3:$B$12</f>
            </numRef>
          </cat>
          <val>
            <numRef>
              <f>'OI_Signals'!$C$3:$C$12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OI chg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50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31</row>
      <rowOff>0</rowOff>
    </from>
    <ext cx="504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1" t="inlineStr">
        <is>
          <t>NSEPulse — NSE Market Dashboard (demo)</t>
        </is>
      </c>
    </row>
    <row r="2">
      <c r="A2" t="inlineStr"/>
    </row>
    <row r="3">
      <c r="A3" t="inlineStr">
        <is>
          <t>SYNTHETIC SAMPLE DATA — every figure in this workbook is deterministic</t>
        </is>
      </c>
    </row>
    <row r="4">
      <c r="A4" t="inlineStr">
        <is>
          <t>fictional demo data (generate.py, seed 20261023). It is NOT real NSE data.</t>
        </is>
      </c>
    </row>
    <row r="5">
      <c r="A5" t="inlineStr"/>
    </row>
    <row r="6">
      <c r="A6" t="inlineStr">
        <is>
          <t>Sheet map:</t>
        </is>
      </c>
    </row>
    <row r="7">
      <c r="A7" t="inlineStr">
        <is>
          <t xml:space="preserve">  Dashboard       — 6 KPI cards + top-gainers and OI-buildup charts</t>
        </is>
      </c>
    </row>
    <row r="8">
      <c r="A8" t="inlineStr">
        <is>
          <t xml:space="preserve">  Raw_Today       — today's snapshot; every derived column is a formula</t>
        </is>
      </c>
    </row>
    <row r="9">
      <c r="A9" t="inlineStr">
        <is>
          <t xml:space="preserve">  Raw_PrevDay     — previous snapshot (LTP, 20-day avg volume, OI)</t>
        </is>
      </c>
    </row>
    <row r="10">
      <c r="A10" t="inlineStr">
        <is>
          <t xml:space="preserve">  Top_Movers      — top-10 gainers / losers, extracted by formula</t>
        </is>
      </c>
    </row>
    <row r="11">
      <c r="A11" t="inlineStr">
        <is>
          <t xml:space="preserve">  OI_Signals      — top-10 long buildups + volume shockers</t>
        </is>
      </c>
    </row>
    <row r="12">
      <c r="A12" t="inlineStr">
        <is>
          <t xml:space="preserve">  Sector_Heatmap  — sector breadth, avg move, volume, OI change</t>
        </is>
      </c>
    </row>
    <row r="13">
      <c r="A13" t="inlineStr">
        <is>
          <t xml:space="preserve">  Checks          — 8 self-tests; all must read TRUE</t>
        </is>
      </c>
    </row>
    <row r="14">
      <c r="A14" t="inlineStr"/>
    </row>
    <row r="15">
      <c r="A15" t="inlineStr">
        <is>
          <t>OI interpretation (standard price-OI logic):</t>
        </is>
      </c>
    </row>
    <row r="16">
      <c r="A16" t="inlineStr">
        <is>
          <t xml:space="preserve">  price up + OI up = Long Buildup | price down + OI up = Short Buildup</t>
        </is>
      </c>
    </row>
    <row r="17">
      <c r="A17" t="inlineStr">
        <is>
          <t xml:space="preserve">  price down + OI down = Long Unwinding | price up + OI down = Short Covering</t>
        </is>
      </c>
    </row>
    <row r="18">
      <c r="A18" t="inlineStr"/>
    </row>
    <row r="19">
      <c r="A19" t="inlineStr">
        <is>
          <t>Production refresh: point Power Query at the NSE snapshot source,</t>
        </is>
      </c>
    </row>
    <row r="20">
      <c r="A20" t="inlineStr">
        <is>
          <t>paste/refresh Raw_Today + Raw_PrevDay — every sheet recomputes.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</cols>
  <sheetData>
    <row r="1">
      <c r="A1" s="1" t="inlineStr">
        <is>
          <t>NSEPulse — Market Dashboard</t>
        </is>
      </c>
    </row>
    <row r="2">
      <c r="A2" s="2" t="inlineStr">
        <is>
          <t>SYNTHETIC SAMPLE DATA — see Guide</t>
        </is>
      </c>
    </row>
    <row r="4">
      <c r="A4" s="3" t="inlineStr">
        <is>
          <t>Top Gainer</t>
        </is>
      </c>
      <c r="B4" s="4">
        <f>INDEX(Raw_Today!$A$2:$A$61,MATCH(MAX(Raw_Today!$F$2:$F$61),Raw_Today!$F$2:$F$61,0))</f>
        <v/>
      </c>
      <c r="C4" s="5">
        <f>MAX(Raw_Today!$F$2:$F$61)</f>
        <v/>
      </c>
    </row>
    <row r="6">
      <c r="A6" s="3" t="inlineStr">
        <is>
          <t>Top Loser</t>
        </is>
      </c>
      <c r="B6" s="4">
        <f>INDEX(Raw_Today!$A$2:$A$61,MATCH(MIN(Raw_Today!$F$2:$F$61),Raw_Today!$F$2:$F$61,0))</f>
        <v/>
      </c>
      <c r="C6" s="5">
        <f>MIN(Raw_Today!$F$2:$F$61)</f>
        <v/>
      </c>
    </row>
    <row r="8">
      <c r="A8" s="3" t="inlineStr">
        <is>
          <t>Strongest Long Buildup</t>
        </is>
      </c>
      <c r="B8" s="4">
        <f>INDEX(Raw_Today!$A$2:$A$61,MATCH(MAX(Raw_Today!$M$2:$M$61),Raw_Today!$M$2:$M$61,0))</f>
        <v/>
      </c>
      <c r="C8" s="5">
        <f>MAX(Raw_Today!$M$2:$M$61)</f>
        <v/>
      </c>
    </row>
    <row r="10">
      <c r="A10" s="3" t="inlineStr">
        <is>
          <t>Biggest Volume Shocker</t>
        </is>
      </c>
      <c r="B10" s="4">
        <f>INDEX(Raw_Today!$A$2:$A$61,MATCH(MAX(Raw_Today!$I$2:$I$61),Raw_Today!$I$2:$I$61,0))</f>
        <v/>
      </c>
      <c r="C10" s="6">
        <f>MAX(Raw_Today!$I$2:$I$61)</f>
        <v/>
      </c>
    </row>
    <row r="12">
      <c r="A12" s="3" t="inlineStr">
        <is>
          <t>Advancers / Decliners</t>
        </is>
      </c>
      <c r="B12" s="7">
        <f>COUNTIF(Raw_Today!$F$2:$F$61,"&gt;0")&amp;" / "&amp;COUNTIF(Raw_Today!$F$2:$F$61,"&lt;0")</f>
        <v/>
      </c>
    </row>
    <row r="14">
      <c r="A14" s="3" t="inlineStr">
        <is>
          <t>Total OI Change</t>
        </is>
      </c>
      <c r="B14" s="8">
        <f>SUM(Raw_Today!$G$2:$G$61)</f>
        <v/>
      </c>
      <c r="C14" s="5">
        <f>(SUM(Raw_Today!$E$2:$E$61)-SUM(Raw_PrevDay!$E$2:$E$61))/SUM(Raw_PrevDay!$E$2:$E$61)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808080"/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</cols>
  <sheetData>
    <row r="1">
      <c r="A1" s="9" t="inlineStr">
        <is>
          <t>Ticker</t>
        </is>
      </c>
      <c r="B1" s="9" t="inlineStr">
        <is>
          <t>Sector</t>
        </is>
      </c>
      <c r="C1" s="9" t="inlineStr">
        <is>
          <t>LTP_Prev</t>
        </is>
      </c>
      <c r="D1" s="9" t="inlineStr">
        <is>
          <t>Vol20d_Avg</t>
        </is>
      </c>
      <c r="E1" s="9" t="inlineStr">
        <is>
          <t>OI_Prev</t>
        </is>
      </c>
    </row>
    <row r="2">
      <c r="A2" s="10" t="inlineStr">
        <is>
          <t>HDFCBANK</t>
        </is>
      </c>
      <c r="B2" s="10" t="inlineStr">
        <is>
          <t>Banking</t>
        </is>
      </c>
      <c r="C2" s="11" t="n">
        <v>368.79</v>
      </c>
      <c r="D2" s="12" t="n">
        <v>1963672</v>
      </c>
      <c r="E2" s="12" t="n">
        <v>25025949</v>
      </c>
    </row>
    <row r="3">
      <c r="A3" s="10" t="inlineStr">
        <is>
          <t>ICICIBANK</t>
        </is>
      </c>
      <c r="B3" s="10" t="inlineStr">
        <is>
          <t>Banking</t>
        </is>
      </c>
      <c r="C3" s="11" t="n">
        <v>2936.82</v>
      </c>
      <c r="D3" s="12" t="n">
        <v>2403750</v>
      </c>
      <c r="E3" s="12" t="n">
        <v>35041554</v>
      </c>
    </row>
    <row r="4">
      <c r="A4" s="10" t="inlineStr">
        <is>
          <t>SBIN</t>
        </is>
      </c>
      <c r="B4" s="10" t="inlineStr">
        <is>
          <t>Banking</t>
        </is>
      </c>
      <c r="C4" s="11" t="n">
        <v>2936.83</v>
      </c>
      <c r="D4" s="12" t="n">
        <v>1195850</v>
      </c>
      <c r="E4" s="12" t="n">
        <v>36180438</v>
      </c>
    </row>
    <row r="5">
      <c r="A5" s="10" t="inlineStr">
        <is>
          <t>KOTAKBANK</t>
        </is>
      </c>
      <c r="B5" s="10" t="inlineStr">
        <is>
          <t>Banking</t>
        </is>
      </c>
      <c r="C5" s="11" t="n">
        <v>556.77</v>
      </c>
      <c r="D5" s="12" t="n">
        <v>2314463</v>
      </c>
      <c r="E5" s="12" t="n">
        <v>16369720</v>
      </c>
    </row>
    <row r="6">
      <c r="A6" s="10" t="inlineStr">
        <is>
          <t>AXISBANK</t>
        </is>
      </c>
      <c r="B6" s="10" t="inlineStr">
        <is>
          <t>Banking</t>
        </is>
      </c>
      <c r="C6" s="11" t="n">
        <v>2133.49</v>
      </c>
      <c r="D6" s="12" t="n">
        <v>293303</v>
      </c>
      <c r="E6" s="12" t="n">
        <v>17081765</v>
      </c>
    </row>
    <row r="7">
      <c r="A7" s="10" t="inlineStr">
        <is>
          <t>INDUSINDBK</t>
        </is>
      </c>
      <c r="B7" s="10" t="inlineStr">
        <is>
          <t>Banking</t>
        </is>
      </c>
      <c r="C7" s="11" t="n">
        <v>2857.91</v>
      </c>
      <c r="D7" s="12" t="n">
        <v>1266206</v>
      </c>
      <c r="E7" s="12" t="n">
        <v>42143727</v>
      </c>
    </row>
    <row r="8">
      <c r="A8" s="10" t="inlineStr">
        <is>
          <t>FEDERALBNK</t>
        </is>
      </c>
      <c r="B8" s="10" t="inlineStr">
        <is>
          <t>Banking</t>
        </is>
      </c>
      <c r="C8" s="11" t="n">
        <v>850.23</v>
      </c>
      <c r="D8" s="12" t="n">
        <v>5382048</v>
      </c>
      <c r="E8" s="12" t="n">
        <v>44927156</v>
      </c>
    </row>
    <row r="9">
      <c r="A9" s="10" t="inlineStr">
        <is>
          <t>BANDHANBNK</t>
        </is>
      </c>
      <c r="B9" s="10" t="inlineStr">
        <is>
          <t>Banking</t>
        </is>
      </c>
      <c r="C9" s="11" t="n">
        <v>433.6</v>
      </c>
      <c r="D9" s="12" t="n">
        <v>6194734</v>
      </c>
      <c r="E9" s="12" t="n">
        <v>56318012</v>
      </c>
    </row>
    <row r="10">
      <c r="A10" s="10" t="inlineStr">
        <is>
          <t>IDFCFIRSTB</t>
        </is>
      </c>
      <c r="B10" s="10" t="inlineStr">
        <is>
          <t>Banking</t>
        </is>
      </c>
      <c r="C10" s="11" t="n">
        <v>338.18</v>
      </c>
      <c r="D10" s="12" t="n">
        <v>7306862</v>
      </c>
      <c r="E10" s="12" t="n">
        <v>36666408</v>
      </c>
    </row>
    <row r="11">
      <c r="A11" s="10" t="inlineStr">
        <is>
          <t>TCS</t>
        </is>
      </c>
      <c r="B11" s="10" t="inlineStr">
        <is>
          <t>IT</t>
        </is>
      </c>
      <c r="C11" s="11" t="n">
        <v>1707.96</v>
      </c>
      <c r="D11" s="12" t="n">
        <v>5826159</v>
      </c>
      <c r="E11" s="12" t="n">
        <v>50398588</v>
      </c>
    </row>
    <row r="12">
      <c r="A12" s="10" t="inlineStr">
        <is>
          <t>INFY</t>
        </is>
      </c>
      <c r="B12" s="10" t="inlineStr">
        <is>
          <t>IT</t>
        </is>
      </c>
      <c r="C12" s="11" t="n">
        <v>1374.86</v>
      </c>
      <c r="D12" s="12" t="n">
        <v>2232111</v>
      </c>
      <c r="E12" s="12" t="n">
        <v>17586562</v>
      </c>
    </row>
    <row r="13">
      <c r="A13" s="10" t="inlineStr">
        <is>
          <t>WIPRO</t>
        </is>
      </c>
      <c r="B13" s="10" t="inlineStr">
        <is>
          <t>IT</t>
        </is>
      </c>
      <c r="C13" s="11" t="n">
        <v>709.49</v>
      </c>
      <c r="D13" s="12" t="n">
        <v>677714</v>
      </c>
      <c r="E13" s="12" t="n">
        <v>11397532</v>
      </c>
    </row>
    <row r="14">
      <c r="A14" s="10" t="inlineStr">
        <is>
          <t>HCLTECH</t>
        </is>
      </c>
      <c r="B14" s="10" t="inlineStr">
        <is>
          <t>IT</t>
        </is>
      </c>
      <c r="C14" s="11" t="n">
        <v>454.5</v>
      </c>
      <c r="D14" s="12" t="n">
        <v>4159966</v>
      </c>
      <c r="E14" s="12" t="n">
        <v>2230640</v>
      </c>
    </row>
    <row r="15">
      <c r="A15" s="10" t="inlineStr">
        <is>
          <t>TECHM</t>
        </is>
      </c>
      <c r="B15" s="10" t="inlineStr">
        <is>
          <t>IT</t>
        </is>
      </c>
      <c r="C15" s="11" t="n">
        <v>1591.92</v>
      </c>
      <c r="D15" s="12" t="n">
        <v>7517366</v>
      </c>
      <c r="E15" s="12" t="n">
        <v>15474933</v>
      </c>
    </row>
    <row r="16">
      <c r="A16" s="10" t="inlineStr">
        <is>
          <t>LTIM</t>
        </is>
      </c>
      <c r="B16" s="10" t="inlineStr">
        <is>
          <t>IT</t>
        </is>
      </c>
      <c r="C16" s="11" t="n">
        <v>1071.34</v>
      </c>
      <c r="D16" s="12" t="n">
        <v>7448482</v>
      </c>
      <c r="E16" s="12" t="n">
        <v>28259484</v>
      </c>
    </row>
    <row r="17">
      <c r="A17" s="10" t="inlineStr">
        <is>
          <t>MPHASIS</t>
        </is>
      </c>
      <c r="B17" s="10" t="inlineStr">
        <is>
          <t>IT</t>
        </is>
      </c>
      <c r="C17" s="11" t="n">
        <v>1008.69</v>
      </c>
      <c r="D17" s="12" t="n">
        <v>3613326</v>
      </c>
      <c r="E17" s="12" t="n">
        <v>47384300</v>
      </c>
    </row>
    <row r="18">
      <c r="A18" s="10" t="inlineStr">
        <is>
          <t>COFORGE</t>
        </is>
      </c>
      <c r="B18" s="10" t="inlineStr">
        <is>
          <t>IT</t>
        </is>
      </c>
      <c r="C18" s="11" t="n">
        <v>1314.33</v>
      </c>
      <c r="D18" s="12" t="n">
        <v>949107</v>
      </c>
      <c r="E18" s="12" t="n">
        <v>16329989</v>
      </c>
    </row>
    <row r="19">
      <c r="A19" s="10" t="inlineStr">
        <is>
          <t>RELIANCE</t>
        </is>
      </c>
      <c r="B19" s="10" t="inlineStr">
        <is>
          <t>Energy</t>
        </is>
      </c>
      <c r="C19" s="11" t="n">
        <v>3766.27</v>
      </c>
      <c r="D19" s="12" t="n">
        <v>6275421</v>
      </c>
      <c r="E19" s="12" t="n">
        <v>51105354</v>
      </c>
    </row>
    <row r="20">
      <c r="A20" s="10" t="inlineStr">
        <is>
          <t>ONGC</t>
        </is>
      </c>
      <c r="B20" s="10" t="inlineStr">
        <is>
          <t>Energy</t>
        </is>
      </c>
      <c r="C20" s="11" t="n">
        <v>2114.58</v>
      </c>
      <c r="D20" s="12" t="n">
        <v>7538228</v>
      </c>
      <c r="E20" s="12" t="n">
        <v>5456611</v>
      </c>
    </row>
    <row r="21">
      <c r="A21" s="10" t="inlineStr">
        <is>
          <t>NTPC</t>
        </is>
      </c>
      <c r="B21" s="10" t="inlineStr">
        <is>
          <t>Energy</t>
        </is>
      </c>
      <c r="C21" s="11" t="n">
        <v>449.93</v>
      </c>
      <c r="D21" s="12" t="n">
        <v>4538994</v>
      </c>
      <c r="E21" s="12" t="n">
        <v>42182887</v>
      </c>
    </row>
    <row r="22">
      <c r="A22" s="10" t="inlineStr">
        <is>
          <t>POWERGRID</t>
        </is>
      </c>
      <c r="B22" s="10" t="inlineStr">
        <is>
          <t>Energy</t>
        </is>
      </c>
      <c r="C22" s="11" t="n">
        <v>1176.54</v>
      </c>
      <c r="D22" s="12" t="n">
        <v>578704</v>
      </c>
      <c r="E22" s="12" t="n">
        <v>16521521</v>
      </c>
    </row>
    <row r="23">
      <c r="A23" s="10" t="inlineStr">
        <is>
          <t>BPCL</t>
        </is>
      </c>
      <c r="B23" s="10" t="inlineStr">
        <is>
          <t>Energy</t>
        </is>
      </c>
      <c r="C23" s="11" t="n">
        <v>289.21</v>
      </c>
      <c r="D23" s="12" t="n">
        <v>6304009</v>
      </c>
      <c r="E23" s="12" t="n">
        <v>56481472</v>
      </c>
    </row>
    <row r="24">
      <c r="A24" s="10" t="inlineStr">
        <is>
          <t>IOC</t>
        </is>
      </c>
      <c r="B24" s="10" t="inlineStr">
        <is>
          <t>Energy</t>
        </is>
      </c>
      <c r="C24" s="11" t="n">
        <v>1344.1</v>
      </c>
      <c r="D24" s="12" t="n">
        <v>6050703</v>
      </c>
      <c r="E24" s="12" t="n">
        <v>30535110</v>
      </c>
    </row>
    <row r="25">
      <c r="A25" s="10" t="inlineStr">
        <is>
          <t>GAIL</t>
        </is>
      </c>
      <c r="B25" s="10" t="inlineStr">
        <is>
          <t>Energy</t>
        </is>
      </c>
      <c r="C25" s="11" t="n">
        <v>2490.86</v>
      </c>
      <c r="D25" s="12" t="n">
        <v>2240056</v>
      </c>
      <c r="E25" s="12" t="n">
        <v>52344385</v>
      </c>
    </row>
    <row r="26">
      <c r="A26" s="10" t="inlineStr">
        <is>
          <t>TATAPOWER</t>
        </is>
      </c>
      <c r="B26" s="10" t="inlineStr">
        <is>
          <t>Energy</t>
        </is>
      </c>
      <c r="C26" s="11" t="n">
        <v>432.18</v>
      </c>
      <c r="D26" s="12" t="n">
        <v>5524220</v>
      </c>
      <c r="E26" s="12" t="n">
        <v>2228152</v>
      </c>
    </row>
    <row r="27">
      <c r="A27" s="10" t="inlineStr">
        <is>
          <t>MARUTI</t>
        </is>
      </c>
      <c r="B27" s="10" t="inlineStr">
        <is>
          <t>Auto</t>
        </is>
      </c>
      <c r="C27" s="11" t="n">
        <v>1548.61</v>
      </c>
      <c r="D27" s="12" t="n">
        <v>7430297</v>
      </c>
      <c r="E27" s="12" t="n">
        <v>20932878</v>
      </c>
    </row>
    <row r="28">
      <c r="A28" s="10" t="inlineStr">
        <is>
          <t>TATAMOTORS</t>
        </is>
      </c>
      <c r="B28" s="10" t="inlineStr">
        <is>
          <t>Auto</t>
        </is>
      </c>
      <c r="C28" s="11" t="n">
        <v>2456.42</v>
      </c>
      <c r="D28" s="12" t="n">
        <v>7801287</v>
      </c>
      <c r="E28" s="12" t="n">
        <v>18820724</v>
      </c>
    </row>
    <row r="29">
      <c r="A29" s="10" t="inlineStr">
        <is>
          <t>M&amp;M</t>
        </is>
      </c>
      <c r="B29" s="10" t="inlineStr">
        <is>
          <t>Auto</t>
        </is>
      </c>
      <c r="C29" s="11" t="n">
        <v>2259.5</v>
      </c>
      <c r="D29" s="12" t="n">
        <v>2911081</v>
      </c>
      <c r="E29" s="12" t="n">
        <v>35491819</v>
      </c>
    </row>
    <row r="30">
      <c r="A30" s="10" t="inlineStr">
        <is>
          <t>BAJAJ-AUTO</t>
        </is>
      </c>
      <c r="B30" s="10" t="inlineStr">
        <is>
          <t>Auto</t>
        </is>
      </c>
      <c r="C30" s="11" t="n">
        <v>236.45</v>
      </c>
      <c r="D30" s="12" t="n">
        <v>2940728</v>
      </c>
      <c r="E30" s="12" t="n">
        <v>20367463</v>
      </c>
    </row>
    <row r="31">
      <c r="A31" s="10" t="inlineStr">
        <is>
          <t>HEROMOTOCO</t>
        </is>
      </c>
      <c r="B31" s="10" t="inlineStr">
        <is>
          <t>Auto</t>
        </is>
      </c>
      <c r="C31" s="11" t="n">
        <v>726.3200000000001</v>
      </c>
      <c r="D31" s="12" t="n">
        <v>3937088</v>
      </c>
      <c r="E31" s="12" t="n">
        <v>38646988</v>
      </c>
    </row>
    <row r="32">
      <c r="A32" s="10" t="inlineStr">
        <is>
          <t>EICHERMOT</t>
        </is>
      </c>
      <c r="B32" s="10" t="inlineStr">
        <is>
          <t>Auto</t>
        </is>
      </c>
      <c r="C32" s="11" t="n">
        <v>4177.44</v>
      </c>
      <c r="D32" s="12" t="n">
        <v>2860288</v>
      </c>
      <c r="E32" s="12" t="n">
        <v>43202636</v>
      </c>
    </row>
    <row r="33">
      <c r="A33" s="10" t="inlineStr">
        <is>
          <t>ASHOKLEY</t>
        </is>
      </c>
      <c r="B33" s="10" t="inlineStr">
        <is>
          <t>Auto</t>
        </is>
      </c>
      <c r="C33" s="11" t="n">
        <v>766.92</v>
      </c>
      <c r="D33" s="12" t="n">
        <v>3178352</v>
      </c>
      <c r="E33" s="12" t="n">
        <v>55105213</v>
      </c>
    </row>
    <row r="34">
      <c r="A34" s="10" t="inlineStr">
        <is>
          <t>SUNPHARMA</t>
        </is>
      </c>
      <c r="B34" s="10" t="inlineStr">
        <is>
          <t>Pharma</t>
        </is>
      </c>
      <c r="C34" s="11" t="n">
        <v>1279.14</v>
      </c>
      <c r="D34" s="12" t="n">
        <v>421353</v>
      </c>
      <c r="E34" s="12" t="n">
        <v>37645198</v>
      </c>
    </row>
    <row r="35">
      <c r="A35" s="10" t="inlineStr">
        <is>
          <t>DRREDDY</t>
        </is>
      </c>
      <c r="B35" s="10" t="inlineStr">
        <is>
          <t>Pharma</t>
        </is>
      </c>
      <c r="C35" s="11" t="n">
        <v>2699.03</v>
      </c>
      <c r="D35" s="12" t="n">
        <v>1803449</v>
      </c>
      <c r="E35" s="12" t="n">
        <v>16737230</v>
      </c>
    </row>
    <row r="36">
      <c r="A36" s="10" t="inlineStr">
        <is>
          <t>CIPLA</t>
        </is>
      </c>
      <c r="B36" s="10" t="inlineStr">
        <is>
          <t>Pharma</t>
        </is>
      </c>
      <c r="C36" s="11" t="n">
        <v>1202.07</v>
      </c>
      <c r="D36" s="12" t="n">
        <v>3565258</v>
      </c>
      <c r="E36" s="12" t="n">
        <v>23303788</v>
      </c>
    </row>
    <row r="37">
      <c r="A37" s="10" t="inlineStr">
        <is>
          <t>DIVISLAB</t>
        </is>
      </c>
      <c r="B37" s="10" t="inlineStr">
        <is>
          <t>Pharma</t>
        </is>
      </c>
      <c r="C37" s="11" t="n">
        <v>3910.48</v>
      </c>
      <c r="D37" s="12" t="n">
        <v>2877063</v>
      </c>
      <c r="E37" s="12" t="n">
        <v>7109320</v>
      </c>
    </row>
    <row r="38">
      <c r="A38" s="10" t="inlineStr">
        <is>
          <t>BIOCON</t>
        </is>
      </c>
      <c r="B38" s="10" t="inlineStr">
        <is>
          <t>Pharma</t>
        </is>
      </c>
      <c r="C38" s="11" t="n">
        <v>986.8</v>
      </c>
      <c r="D38" s="12" t="n">
        <v>7943573</v>
      </c>
      <c r="E38" s="12" t="n">
        <v>9413860</v>
      </c>
    </row>
    <row r="39">
      <c r="A39" s="10" t="inlineStr">
        <is>
          <t>LUPIN</t>
        </is>
      </c>
      <c r="B39" s="10" t="inlineStr">
        <is>
          <t>Pharma</t>
        </is>
      </c>
      <c r="C39" s="11" t="n">
        <v>814.79</v>
      </c>
      <c r="D39" s="12" t="n">
        <v>950056</v>
      </c>
      <c r="E39" s="12" t="n">
        <v>43302924</v>
      </c>
    </row>
    <row r="40">
      <c r="A40" s="10" t="inlineStr">
        <is>
          <t>AUROPHARMA</t>
        </is>
      </c>
      <c r="B40" s="10" t="inlineStr">
        <is>
          <t>Pharma</t>
        </is>
      </c>
      <c r="C40" s="11" t="n">
        <v>1853.1</v>
      </c>
      <c r="D40" s="12" t="n">
        <v>2070394</v>
      </c>
      <c r="E40" s="12" t="n">
        <v>16103421</v>
      </c>
    </row>
    <row r="41">
      <c r="A41" s="10" t="inlineStr">
        <is>
          <t>HINDUNILVR</t>
        </is>
      </c>
      <c r="B41" s="10" t="inlineStr">
        <is>
          <t>FMCG</t>
        </is>
      </c>
      <c r="C41" s="11" t="n">
        <v>1306.13</v>
      </c>
      <c r="D41" s="12" t="n">
        <v>6877653</v>
      </c>
      <c r="E41" s="12" t="n">
        <v>6203969</v>
      </c>
    </row>
    <row r="42">
      <c r="A42" s="10" t="inlineStr">
        <is>
          <t>ITC</t>
        </is>
      </c>
      <c r="B42" s="10" t="inlineStr">
        <is>
          <t>FMCG</t>
        </is>
      </c>
      <c r="C42" s="11" t="n">
        <v>1385.61</v>
      </c>
      <c r="D42" s="12" t="n">
        <v>2168586</v>
      </c>
      <c r="E42" s="12" t="n">
        <v>11744772</v>
      </c>
    </row>
    <row r="43">
      <c r="A43" s="10" t="inlineStr">
        <is>
          <t>NESTLEIND</t>
        </is>
      </c>
      <c r="B43" s="10" t="inlineStr">
        <is>
          <t>FMCG</t>
        </is>
      </c>
      <c r="C43" s="11" t="n">
        <v>3563.41</v>
      </c>
      <c r="D43" s="12" t="n">
        <v>7122756</v>
      </c>
      <c r="E43" s="12" t="n">
        <v>43942259</v>
      </c>
    </row>
    <row r="44">
      <c r="A44" s="10" t="inlineStr">
        <is>
          <t>BRITANNIA</t>
        </is>
      </c>
      <c r="B44" s="10" t="inlineStr">
        <is>
          <t>FMCG</t>
        </is>
      </c>
      <c r="C44" s="11" t="n">
        <v>368.61</v>
      </c>
      <c r="D44" s="12" t="n">
        <v>7906542</v>
      </c>
      <c r="E44" s="12" t="n">
        <v>13659591</v>
      </c>
    </row>
    <row r="45">
      <c r="A45" s="10" t="inlineStr">
        <is>
          <t>DABUR</t>
        </is>
      </c>
      <c r="B45" s="10" t="inlineStr">
        <is>
          <t>FMCG</t>
        </is>
      </c>
      <c r="C45" s="11" t="n">
        <v>416.87</v>
      </c>
      <c r="D45" s="12" t="n">
        <v>276067</v>
      </c>
      <c r="E45" s="12" t="n">
        <v>40083751</v>
      </c>
    </row>
    <row r="46">
      <c r="A46" s="10" t="inlineStr">
        <is>
          <t>MARICO</t>
        </is>
      </c>
      <c r="B46" s="10" t="inlineStr">
        <is>
          <t>FMCG</t>
        </is>
      </c>
      <c r="C46" s="11" t="n">
        <v>166.77</v>
      </c>
      <c r="D46" s="12" t="n">
        <v>343732</v>
      </c>
      <c r="E46" s="12" t="n">
        <v>23877420</v>
      </c>
    </row>
    <row r="47">
      <c r="A47" s="10" t="inlineStr">
        <is>
          <t>GODREJCP</t>
        </is>
      </c>
      <c r="B47" s="10" t="inlineStr">
        <is>
          <t>FMCG</t>
        </is>
      </c>
      <c r="C47" s="11" t="n">
        <v>412.87</v>
      </c>
      <c r="D47" s="12" t="n">
        <v>4746330</v>
      </c>
      <c r="E47" s="12" t="n">
        <v>41245810</v>
      </c>
    </row>
    <row r="48">
      <c r="A48" s="10" t="inlineStr">
        <is>
          <t>TATASTEEL</t>
        </is>
      </c>
      <c r="B48" s="10" t="inlineStr">
        <is>
          <t>Metals</t>
        </is>
      </c>
      <c r="C48" s="11" t="n">
        <v>777.78</v>
      </c>
      <c r="D48" s="12" t="n">
        <v>6681700</v>
      </c>
      <c r="E48" s="12" t="n">
        <v>54528782</v>
      </c>
    </row>
    <row r="49">
      <c r="A49" s="10" t="inlineStr">
        <is>
          <t>JSWSTEEL</t>
        </is>
      </c>
      <c r="B49" s="10" t="inlineStr">
        <is>
          <t>Metals</t>
        </is>
      </c>
      <c r="C49" s="11" t="n">
        <v>1769.76</v>
      </c>
      <c r="D49" s="12" t="n">
        <v>5119497</v>
      </c>
      <c r="E49" s="12" t="n">
        <v>8986861</v>
      </c>
    </row>
    <row r="50">
      <c r="A50" s="10" t="inlineStr">
        <is>
          <t>HINDALCO</t>
        </is>
      </c>
      <c r="B50" s="10" t="inlineStr">
        <is>
          <t>Metals</t>
        </is>
      </c>
      <c r="C50" s="11" t="n">
        <v>2947.14</v>
      </c>
      <c r="D50" s="12" t="n">
        <v>2664131</v>
      </c>
      <c r="E50" s="12" t="n">
        <v>35978241</v>
      </c>
    </row>
    <row r="51">
      <c r="A51" s="10" t="inlineStr">
        <is>
          <t>VEDL</t>
        </is>
      </c>
      <c r="B51" s="10" t="inlineStr">
        <is>
          <t>Metals</t>
        </is>
      </c>
      <c r="C51" s="11" t="n">
        <v>1109.31</v>
      </c>
      <c r="D51" s="12" t="n">
        <v>1787805</v>
      </c>
      <c r="E51" s="12" t="n">
        <v>18574205</v>
      </c>
    </row>
    <row r="52">
      <c r="A52" s="10" t="inlineStr">
        <is>
          <t>COALINDIA</t>
        </is>
      </c>
      <c r="B52" s="10" t="inlineStr">
        <is>
          <t>Metals</t>
        </is>
      </c>
      <c r="C52" s="11" t="n">
        <v>811.52</v>
      </c>
      <c r="D52" s="12" t="n">
        <v>7346585</v>
      </c>
      <c r="E52" s="12" t="n">
        <v>33122456</v>
      </c>
    </row>
    <row r="53">
      <c r="A53" s="10" t="inlineStr">
        <is>
          <t>NMDC</t>
        </is>
      </c>
      <c r="B53" s="10" t="inlineStr">
        <is>
          <t>Metals</t>
        </is>
      </c>
      <c r="C53" s="11" t="n">
        <v>2446.88</v>
      </c>
      <c r="D53" s="12" t="n">
        <v>1974084</v>
      </c>
      <c r="E53" s="12" t="n">
        <v>9756692</v>
      </c>
    </row>
    <row r="54">
      <c r="A54" s="10" t="inlineStr">
        <is>
          <t>SAIL</t>
        </is>
      </c>
      <c r="B54" s="10" t="inlineStr">
        <is>
          <t>Metals</t>
        </is>
      </c>
      <c r="C54" s="11" t="n">
        <v>1780.14</v>
      </c>
      <c r="D54" s="12" t="n">
        <v>1338971</v>
      </c>
      <c r="E54" s="12" t="n">
        <v>15622519</v>
      </c>
    </row>
    <row r="55">
      <c r="A55" s="10" t="inlineStr">
        <is>
          <t>DLF</t>
        </is>
      </c>
      <c r="B55" s="10" t="inlineStr">
        <is>
          <t>Realty</t>
        </is>
      </c>
      <c r="C55" s="11" t="n">
        <v>1294.41</v>
      </c>
      <c r="D55" s="12" t="n">
        <v>4169739</v>
      </c>
      <c r="E55" s="12" t="n">
        <v>34372120</v>
      </c>
    </row>
    <row r="56">
      <c r="A56" s="10" t="inlineStr">
        <is>
          <t>GODREJPROP</t>
        </is>
      </c>
      <c r="B56" s="10" t="inlineStr">
        <is>
          <t>Realty</t>
        </is>
      </c>
      <c r="C56" s="11" t="n">
        <v>1867.18</v>
      </c>
      <c r="D56" s="12" t="n">
        <v>6286265</v>
      </c>
      <c r="E56" s="12" t="n">
        <v>52380243</v>
      </c>
    </row>
    <row r="57">
      <c r="A57" s="10" t="inlineStr">
        <is>
          <t>OBEROIRLTY</t>
        </is>
      </c>
      <c r="B57" s="10" t="inlineStr">
        <is>
          <t>Realty</t>
        </is>
      </c>
      <c r="C57" s="11" t="n">
        <v>288.44</v>
      </c>
      <c r="D57" s="12" t="n">
        <v>1115603</v>
      </c>
      <c r="E57" s="12" t="n">
        <v>40512307</v>
      </c>
    </row>
    <row r="58">
      <c r="A58" s="10" t="inlineStr">
        <is>
          <t>PRESTIGE</t>
        </is>
      </c>
      <c r="B58" s="10" t="inlineStr">
        <is>
          <t>Realty</t>
        </is>
      </c>
      <c r="C58" s="11" t="n">
        <v>1339.26</v>
      </c>
      <c r="D58" s="12" t="n">
        <v>3961482</v>
      </c>
      <c r="E58" s="12" t="n">
        <v>11831651</v>
      </c>
    </row>
    <row r="59">
      <c r="A59" s="10" t="inlineStr">
        <is>
          <t>SOBHA</t>
        </is>
      </c>
      <c r="B59" s="10" t="inlineStr">
        <is>
          <t>Realty</t>
        </is>
      </c>
      <c r="C59" s="11" t="n">
        <v>638.02</v>
      </c>
      <c r="D59" s="12" t="n">
        <v>4486721</v>
      </c>
      <c r="E59" s="12" t="n">
        <v>32111148</v>
      </c>
    </row>
    <row r="60">
      <c r="A60" s="10" t="inlineStr">
        <is>
          <t>BRIGADE</t>
        </is>
      </c>
      <c r="B60" s="10" t="inlineStr">
        <is>
          <t>Realty</t>
        </is>
      </c>
      <c r="C60" s="11" t="n">
        <v>358.51</v>
      </c>
      <c r="D60" s="12" t="n">
        <v>4464536</v>
      </c>
      <c r="E60" s="12" t="n">
        <v>50241971</v>
      </c>
    </row>
    <row r="61">
      <c r="A61" s="10" t="inlineStr">
        <is>
          <t>PHOENIXLTD</t>
        </is>
      </c>
      <c r="B61" s="10" t="inlineStr">
        <is>
          <t>Realty</t>
        </is>
      </c>
      <c r="C61" s="11" t="n">
        <v>456.12</v>
      </c>
      <c r="D61" s="12" t="n">
        <v>1115663</v>
      </c>
      <c r="E61" s="12" t="n">
        <v>29302660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M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  <col width="10" customWidth="1" min="6" max="6"/>
    <col width="12" customWidth="1" min="7" max="7"/>
    <col width="10" customWidth="1" min="8" max="8"/>
    <col width="11" customWidth="1" min="9" max="9"/>
    <col width="15" customWidth="1" min="10" max="10"/>
    <col width="10" customWidth="1" min="11" max="11"/>
    <col width="10" customWidth="1" min="12" max="12"/>
    <col width="12" customWidth="1" min="13" max="13"/>
  </cols>
  <sheetData>
    <row r="1">
      <c r="A1" s="9" t="inlineStr">
        <is>
          <t>Ticker</t>
        </is>
      </c>
      <c r="B1" s="9" t="inlineStr">
        <is>
          <t>Sector</t>
        </is>
      </c>
      <c r="C1" s="9" t="inlineStr">
        <is>
          <t>LTP</t>
        </is>
      </c>
      <c r="D1" s="9" t="inlineStr">
        <is>
          <t>Volume</t>
        </is>
      </c>
      <c r="E1" s="9" t="inlineStr">
        <is>
          <t>OI</t>
        </is>
      </c>
      <c r="F1" s="9" t="inlineStr">
        <is>
          <t>% Change</t>
        </is>
      </c>
      <c r="G1" s="9" t="inlineStr">
        <is>
          <t>OI Change</t>
        </is>
      </c>
      <c r="H1" s="9" t="inlineStr">
        <is>
          <t>OI Chg %</t>
        </is>
      </c>
      <c r="I1" s="9" t="inlineStr">
        <is>
          <t>Vol Multiple</t>
        </is>
      </c>
      <c r="J1" s="9" t="inlineStr">
        <is>
          <t>Signal</t>
        </is>
      </c>
      <c r="K1" s="9" t="inlineStr">
        <is>
          <t>HL_Gain</t>
        </is>
      </c>
      <c r="L1" s="9" t="inlineStr">
        <is>
          <t>HL_Loss</t>
        </is>
      </c>
      <c r="M1" s="9" t="inlineStr">
        <is>
          <t>HL_LongBuild</t>
        </is>
      </c>
    </row>
    <row r="2">
      <c r="A2" s="10" t="inlineStr">
        <is>
          <t>HDFCBANK</t>
        </is>
      </c>
      <c r="B2" s="10" t="inlineStr">
        <is>
          <t>Banking</t>
        </is>
      </c>
      <c r="C2" s="11" t="n">
        <v>370.43</v>
      </c>
      <c r="D2" s="12" t="n">
        <v>2515060</v>
      </c>
      <c r="E2" s="12" t="n">
        <v>23201649</v>
      </c>
      <c r="F2" s="13">
        <f>(C2-VLOOKUP(A2,Raw_PrevDay!$A$2:$E$61,3,0))/VLOOKUP(A2,Raw_PrevDay!$A$2:$E$61,3,0)</f>
        <v/>
      </c>
      <c r="G2" s="12">
        <f>E2-VLOOKUP(A2,Raw_PrevDay!$A$2:$E$61,5,0)</f>
        <v/>
      </c>
      <c r="H2" s="13">
        <f>G2/VLOOKUP(A2,Raw_PrevDay!$A$2:$E$61,5,0)</f>
        <v/>
      </c>
      <c r="I2" s="14">
        <f>D2/VLOOKUP(A2,Raw_PrevDay!$A$2:$E$61,4,0)</f>
        <v/>
      </c>
      <c r="J2" s="10">
        <f>IF(AND(F2&gt;0,G2&gt;0),"Long Buildup",IF(AND(F2&lt;0,G2&gt;0),"Short Buildup",IF(AND(F2&lt;0,G2&lt;0),"Long Unwinding",IF(AND(F2&gt;0,G2&lt;0),"Short Covering","Neutral"))))</f>
        <v/>
      </c>
      <c r="K2" s="13">
        <f>IF(F2&gt;0,F2,0)</f>
        <v/>
      </c>
      <c r="L2" s="13">
        <f>IF(F2&lt;0,F2,0)</f>
        <v/>
      </c>
      <c r="M2" s="13">
        <f>IF(J2="Long Buildup",H2,0)</f>
        <v/>
      </c>
    </row>
    <row r="3">
      <c r="A3" s="10" t="inlineStr">
        <is>
          <t>ICICIBANK</t>
        </is>
      </c>
      <c r="B3" s="10" t="inlineStr">
        <is>
          <t>Banking</t>
        </is>
      </c>
      <c r="C3" s="11" t="n">
        <v>2950.08</v>
      </c>
      <c r="D3" s="12" t="n">
        <v>4361550</v>
      </c>
      <c r="E3" s="12" t="n">
        <v>33286303</v>
      </c>
      <c r="F3" s="13">
        <f>(C3-VLOOKUP(A3,Raw_PrevDay!$A$2:$E$61,3,0))/VLOOKUP(A3,Raw_PrevDay!$A$2:$E$61,3,0)</f>
        <v/>
      </c>
      <c r="G3" s="12">
        <f>E3-VLOOKUP(A3,Raw_PrevDay!$A$2:$E$61,5,0)</f>
        <v/>
      </c>
      <c r="H3" s="13">
        <f>G3/VLOOKUP(A3,Raw_PrevDay!$A$2:$E$61,5,0)</f>
        <v/>
      </c>
      <c r="I3" s="14">
        <f>D3/VLOOKUP(A3,Raw_PrevDay!$A$2:$E$61,4,0)</f>
        <v/>
      </c>
      <c r="J3" s="10">
        <f>IF(AND(F3&gt;0,G3&gt;0),"Long Buildup",IF(AND(F3&lt;0,G3&gt;0),"Short Buildup",IF(AND(F3&lt;0,G3&lt;0),"Long Unwinding",IF(AND(F3&gt;0,G3&lt;0),"Short Covering","Neutral"))))</f>
        <v/>
      </c>
      <c r="K3" s="13">
        <f>IF(F3&gt;0,F3,0)</f>
        <v/>
      </c>
      <c r="L3" s="13">
        <f>IF(F3&lt;0,F3,0)</f>
        <v/>
      </c>
      <c r="M3" s="13">
        <f>IF(J3="Long Buildup",H3,0)</f>
        <v/>
      </c>
    </row>
    <row r="4">
      <c r="A4" s="10" t="inlineStr">
        <is>
          <t>SBIN</t>
        </is>
      </c>
      <c r="B4" s="10" t="inlineStr">
        <is>
          <t>Banking</t>
        </is>
      </c>
      <c r="C4" s="11" t="n">
        <v>2994.33</v>
      </c>
      <c r="D4" s="12" t="n">
        <v>2961230</v>
      </c>
      <c r="E4" s="12" t="n">
        <v>36772272</v>
      </c>
      <c r="F4" s="13">
        <f>(C4-VLOOKUP(A4,Raw_PrevDay!$A$2:$E$61,3,0))/VLOOKUP(A4,Raw_PrevDay!$A$2:$E$61,3,0)</f>
        <v/>
      </c>
      <c r="G4" s="12">
        <f>E4-VLOOKUP(A4,Raw_PrevDay!$A$2:$E$61,5,0)</f>
        <v/>
      </c>
      <c r="H4" s="13">
        <f>G4/VLOOKUP(A4,Raw_PrevDay!$A$2:$E$61,5,0)</f>
        <v/>
      </c>
      <c r="I4" s="14">
        <f>D4/VLOOKUP(A4,Raw_PrevDay!$A$2:$E$61,4,0)</f>
        <v/>
      </c>
      <c r="J4" s="10">
        <f>IF(AND(F4&gt;0,G4&gt;0),"Long Buildup",IF(AND(F4&lt;0,G4&gt;0),"Short Buildup",IF(AND(F4&lt;0,G4&lt;0),"Long Unwinding",IF(AND(F4&gt;0,G4&lt;0),"Short Covering","Neutral"))))</f>
        <v/>
      </c>
      <c r="K4" s="13">
        <f>IF(F4&gt;0,F4,0)</f>
        <v/>
      </c>
      <c r="L4" s="13">
        <f>IF(F4&lt;0,F4,0)</f>
        <v/>
      </c>
      <c r="M4" s="13">
        <f>IF(J4="Long Buildup",H4,0)</f>
        <v/>
      </c>
    </row>
    <row r="5">
      <c r="A5" s="10" t="inlineStr">
        <is>
          <t>KOTAKBANK</t>
        </is>
      </c>
      <c r="B5" s="10" t="inlineStr">
        <is>
          <t>Banking</t>
        </is>
      </c>
      <c r="C5" s="11" t="n">
        <v>549.5700000000001</v>
      </c>
      <c r="D5" s="12" t="n">
        <v>4117384</v>
      </c>
      <c r="E5" s="12" t="n">
        <v>18742947</v>
      </c>
      <c r="F5" s="13">
        <f>(C5-VLOOKUP(A5,Raw_PrevDay!$A$2:$E$61,3,0))/VLOOKUP(A5,Raw_PrevDay!$A$2:$E$61,3,0)</f>
        <v/>
      </c>
      <c r="G5" s="12">
        <f>E5-VLOOKUP(A5,Raw_PrevDay!$A$2:$E$61,5,0)</f>
        <v/>
      </c>
      <c r="H5" s="13">
        <f>G5/VLOOKUP(A5,Raw_PrevDay!$A$2:$E$61,5,0)</f>
        <v/>
      </c>
      <c r="I5" s="14">
        <f>D5/VLOOKUP(A5,Raw_PrevDay!$A$2:$E$61,4,0)</f>
        <v/>
      </c>
      <c r="J5" s="10">
        <f>IF(AND(F5&gt;0,G5&gt;0),"Long Buildup",IF(AND(F5&lt;0,G5&gt;0),"Short Buildup",IF(AND(F5&lt;0,G5&lt;0),"Long Unwinding",IF(AND(F5&gt;0,G5&lt;0),"Short Covering","Neutral"))))</f>
        <v/>
      </c>
      <c r="K5" s="13">
        <f>IF(F5&gt;0,F5,0)</f>
        <v/>
      </c>
      <c r="L5" s="13">
        <f>IF(F5&lt;0,F5,0)</f>
        <v/>
      </c>
      <c r="M5" s="13">
        <f>IF(J5="Long Buildup",H5,0)</f>
        <v/>
      </c>
    </row>
    <row r="6">
      <c r="A6" s="10" t="inlineStr">
        <is>
          <t>AXISBANK</t>
        </is>
      </c>
      <c r="B6" s="10" t="inlineStr">
        <is>
          <t>Banking</t>
        </is>
      </c>
      <c r="C6" s="11" t="n">
        <v>2130.47</v>
      </c>
      <c r="D6" s="12" t="n">
        <v>714527</v>
      </c>
      <c r="E6" s="12" t="n">
        <v>16797922</v>
      </c>
      <c r="F6" s="13">
        <f>(C6-VLOOKUP(A6,Raw_PrevDay!$A$2:$E$61,3,0))/VLOOKUP(A6,Raw_PrevDay!$A$2:$E$61,3,0)</f>
        <v/>
      </c>
      <c r="G6" s="12">
        <f>E6-VLOOKUP(A6,Raw_PrevDay!$A$2:$E$61,5,0)</f>
        <v/>
      </c>
      <c r="H6" s="13">
        <f>G6/VLOOKUP(A6,Raw_PrevDay!$A$2:$E$61,5,0)</f>
        <v/>
      </c>
      <c r="I6" s="14">
        <f>D6/VLOOKUP(A6,Raw_PrevDay!$A$2:$E$61,4,0)</f>
        <v/>
      </c>
      <c r="J6" s="10">
        <f>IF(AND(F6&gt;0,G6&gt;0),"Long Buildup",IF(AND(F6&lt;0,G6&gt;0),"Short Buildup",IF(AND(F6&lt;0,G6&lt;0),"Long Unwinding",IF(AND(F6&gt;0,G6&lt;0),"Short Covering","Neutral"))))</f>
        <v/>
      </c>
      <c r="K6" s="13">
        <f>IF(F6&gt;0,F6,0)</f>
        <v/>
      </c>
      <c r="L6" s="13">
        <f>IF(F6&lt;0,F6,0)</f>
        <v/>
      </c>
      <c r="M6" s="13">
        <f>IF(J6="Long Buildup",H6,0)</f>
        <v/>
      </c>
    </row>
    <row r="7">
      <c r="A7" s="10" t="inlineStr">
        <is>
          <t>INDUSINDBK</t>
        </is>
      </c>
      <c r="B7" s="10" t="inlineStr">
        <is>
          <t>Banking</t>
        </is>
      </c>
      <c r="C7" s="11" t="n">
        <v>2901.07</v>
      </c>
      <c r="D7" s="12" t="n">
        <v>2082101</v>
      </c>
      <c r="E7" s="12" t="n">
        <v>38320838</v>
      </c>
      <c r="F7" s="13">
        <f>(C7-VLOOKUP(A7,Raw_PrevDay!$A$2:$E$61,3,0))/VLOOKUP(A7,Raw_PrevDay!$A$2:$E$61,3,0)</f>
        <v/>
      </c>
      <c r="G7" s="12">
        <f>E7-VLOOKUP(A7,Raw_PrevDay!$A$2:$E$61,5,0)</f>
        <v/>
      </c>
      <c r="H7" s="13">
        <f>G7/VLOOKUP(A7,Raw_PrevDay!$A$2:$E$61,5,0)</f>
        <v/>
      </c>
      <c r="I7" s="14">
        <f>D7/VLOOKUP(A7,Raw_PrevDay!$A$2:$E$61,4,0)</f>
        <v/>
      </c>
      <c r="J7" s="10">
        <f>IF(AND(F7&gt;0,G7&gt;0),"Long Buildup",IF(AND(F7&lt;0,G7&gt;0),"Short Buildup",IF(AND(F7&lt;0,G7&lt;0),"Long Unwinding",IF(AND(F7&gt;0,G7&lt;0),"Short Covering","Neutral"))))</f>
        <v/>
      </c>
      <c r="K7" s="13">
        <f>IF(F7&gt;0,F7,0)</f>
        <v/>
      </c>
      <c r="L7" s="13">
        <f>IF(F7&lt;0,F7,0)</f>
        <v/>
      </c>
      <c r="M7" s="13">
        <f>IF(J7="Long Buildup",H7,0)</f>
        <v/>
      </c>
    </row>
    <row r="8">
      <c r="A8" s="10" t="inlineStr">
        <is>
          <t>FEDERALBNK</t>
        </is>
      </c>
      <c r="B8" s="10" t="inlineStr">
        <is>
          <t>Banking</t>
        </is>
      </c>
      <c r="C8" s="11" t="n">
        <v>845.58</v>
      </c>
      <c r="D8" s="12" t="n">
        <v>6307271</v>
      </c>
      <c r="E8" s="12" t="n">
        <v>41454065</v>
      </c>
      <c r="F8" s="13">
        <f>(C8-VLOOKUP(A8,Raw_PrevDay!$A$2:$E$61,3,0))/VLOOKUP(A8,Raw_PrevDay!$A$2:$E$61,3,0)</f>
        <v/>
      </c>
      <c r="G8" s="12">
        <f>E8-VLOOKUP(A8,Raw_PrevDay!$A$2:$E$61,5,0)</f>
        <v/>
      </c>
      <c r="H8" s="13">
        <f>G8/VLOOKUP(A8,Raw_PrevDay!$A$2:$E$61,5,0)</f>
        <v/>
      </c>
      <c r="I8" s="14">
        <f>D8/VLOOKUP(A8,Raw_PrevDay!$A$2:$E$61,4,0)</f>
        <v/>
      </c>
      <c r="J8" s="10">
        <f>IF(AND(F8&gt;0,G8&gt;0),"Long Buildup",IF(AND(F8&lt;0,G8&gt;0),"Short Buildup",IF(AND(F8&lt;0,G8&lt;0),"Long Unwinding",IF(AND(F8&gt;0,G8&lt;0),"Short Covering","Neutral"))))</f>
        <v/>
      </c>
      <c r="K8" s="13">
        <f>IF(F8&gt;0,F8,0)</f>
        <v/>
      </c>
      <c r="L8" s="13">
        <f>IF(F8&lt;0,F8,0)</f>
        <v/>
      </c>
      <c r="M8" s="13">
        <f>IF(J8="Long Buildup",H8,0)</f>
        <v/>
      </c>
    </row>
    <row r="9">
      <c r="A9" s="10" t="inlineStr">
        <is>
          <t>BANDHANBNK</t>
        </is>
      </c>
      <c r="B9" s="10" t="inlineStr">
        <is>
          <t>Banking</t>
        </is>
      </c>
      <c r="C9" s="11" t="n">
        <v>433.11</v>
      </c>
      <c r="D9" s="12" t="n">
        <v>4702011</v>
      </c>
      <c r="E9" s="12" t="n">
        <v>55641061</v>
      </c>
      <c r="F9" s="13">
        <f>(C9-VLOOKUP(A9,Raw_PrevDay!$A$2:$E$61,3,0))/VLOOKUP(A9,Raw_PrevDay!$A$2:$E$61,3,0)</f>
        <v/>
      </c>
      <c r="G9" s="12">
        <f>E9-VLOOKUP(A9,Raw_PrevDay!$A$2:$E$61,5,0)</f>
        <v/>
      </c>
      <c r="H9" s="13">
        <f>G9/VLOOKUP(A9,Raw_PrevDay!$A$2:$E$61,5,0)</f>
        <v/>
      </c>
      <c r="I9" s="14">
        <f>D9/VLOOKUP(A9,Raw_PrevDay!$A$2:$E$61,4,0)</f>
        <v/>
      </c>
      <c r="J9" s="10">
        <f>IF(AND(F9&gt;0,G9&gt;0),"Long Buildup",IF(AND(F9&lt;0,G9&gt;0),"Short Buildup",IF(AND(F9&lt;0,G9&lt;0),"Long Unwinding",IF(AND(F9&gt;0,G9&lt;0),"Short Covering","Neutral"))))</f>
        <v/>
      </c>
      <c r="K9" s="13">
        <f>IF(F9&gt;0,F9,0)</f>
        <v/>
      </c>
      <c r="L9" s="13">
        <f>IF(F9&lt;0,F9,0)</f>
        <v/>
      </c>
      <c r="M9" s="13">
        <f>IF(J9="Long Buildup",H9,0)</f>
        <v/>
      </c>
    </row>
    <row r="10">
      <c r="A10" s="10" t="inlineStr">
        <is>
          <t>IDFCFIRSTB</t>
        </is>
      </c>
      <c r="B10" s="10" t="inlineStr">
        <is>
          <t>Banking</t>
        </is>
      </c>
      <c r="C10" s="11" t="n">
        <v>339.7</v>
      </c>
      <c r="D10" s="12" t="n">
        <v>17144613</v>
      </c>
      <c r="E10" s="12" t="n">
        <v>37009038</v>
      </c>
      <c r="F10" s="13">
        <f>(C10-VLOOKUP(A10,Raw_PrevDay!$A$2:$E$61,3,0))/VLOOKUP(A10,Raw_PrevDay!$A$2:$E$61,3,0)</f>
        <v/>
      </c>
      <c r="G10" s="12">
        <f>E10-VLOOKUP(A10,Raw_PrevDay!$A$2:$E$61,5,0)</f>
        <v/>
      </c>
      <c r="H10" s="13">
        <f>G10/VLOOKUP(A10,Raw_PrevDay!$A$2:$E$61,5,0)</f>
        <v/>
      </c>
      <c r="I10" s="14">
        <f>D10/VLOOKUP(A10,Raw_PrevDay!$A$2:$E$61,4,0)</f>
        <v/>
      </c>
      <c r="J10" s="10">
        <f>IF(AND(F10&gt;0,G10&gt;0),"Long Buildup",IF(AND(F10&lt;0,G10&gt;0),"Short Buildup",IF(AND(F10&lt;0,G10&lt;0),"Long Unwinding",IF(AND(F10&gt;0,G10&lt;0),"Short Covering","Neutral"))))</f>
        <v/>
      </c>
      <c r="K10" s="13">
        <f>IF(F10&gt;0,F10,0)</f>
        <v/>
      </c>
      <c r="L10" s="13">
        <f>IF(F10&lt;0,F10,0)</f>
        <v/>
      </c>
      <c r="M10" s="13">
        <f>IF(J10="Long Buildup",H10,0)</f>
        <v/>
      </c>
    </row>
    <row r="11">
      <c r="A11" s="10" t="inlineStr">
        <is>
          <t>TCS</t>
        </is>
      </c>
      <c r="B11" s="10" t="inlineStr">
        <is>
          <t>IT</t>
        </is>
      </c>
      <c r="C11" s="11" t="n">
        <v>1680.07</v>
      </c>
      <c r="D11" s="12" t="n">
        <v>4878236</v>
      </c>
      <c r="E11" s="12" t="n">
        <v>47135897</v>
      </c>
      <c r="F11" s="13">
        <f>(C11-VLOOKUP(A11,Raw_PrevDay!$A$2:$E$61,3,0))/VLOOKUP(A11,Raw_PrevDay!$A$2:$E$61,3,0)</f>
        <v/>
      </c>
      <c r="G11" s="12">
        <f>E11-VLOOKUP(A11,Raw_PrevDay!$A$2:$E$61,5,0)</f>
        <v/>
      </c>
      <c r="H11" s="13">
        <f>G11/VLOOKUP(A11,Raw_PrevDay!$A$2:$E$61,5,0)</f>
        <v/>
      </c>
      <c r="I11" s="14">
        <f>D11/VLOOKUP(A11,Raw_PrevDay!$A$2:$E$61,4,0)</f>
        <v/>
      </c>
      <c r="J11" s="10">
        <f>IF(AND(F11&gt;0,G11&gt;0),"Long Buildup",IF(AND(F11&lt;0,G11&gt;0),"Short Buildup",IF(AND(F11&lt;0,G11&lt;0),"Long Unwinding",IF(AND(F11&gt;0,G11&lt;0),"Short Covering","Neutral"))))</f>
        <v/>
      </c>
      <c r="K11" s="13">
        <f>IF(F11&gt;0,F11,0)</f>
        <v/>
      </c>
      <c r="L11" s="13">
        <f>IF(F11&lt;0,F11,0)</f>
        <v/>
      </c>
      <c r="M11" s="13">
        <f>IF(J11="Long Buildup",H11,0)</f>
        <v/>
      </c>
    </row>
    <row r="12">
      <c r="A12" s="10" t="inlineStr">
        <is>
          <t>INFY</t>
        </is>
      </c>
      <c r="B12" s="10" t="inlineStr">
        <is>
          <t>IT</t>
        </is>
      </c>
      <c r="C12" s="11" t="n">
        <v>1387.74</v>
      </c>
      <c r="D12" s="12" t="n">
        <v>5087686</v>
      </c>
      <c r="E12" s="12" t="n">
        <v>17871069</v>
      </c>
      <c r="F12" s="13">
        <f>(C12-VLOOKUP(A12,Raw_PrevDay!$A$2:$E$61,3,0))/VLOOKUP(A12,Raw_PrevDay!$A$2:$E$61,3,0)</f>
        <v/>
      </c>
      <c r="G12" s="12">
        <f>E12-VLOOKUP(A12,Raw_PrevDay!$A$2:$E$61,5,0)</f>
        <v/>
      </c>
      <c r="H12" s="13">
        <f>G12/VLOOKUP(A12,Raw_PrevDay!$A$2:$E$61,5,0)</f>
        <v/>
      </c>
      <c r="I12" s="14">
        <f>D12/VLOOKUP(A12,Raw_PrevDay!$A$2:$E$61,4,0)</f>
        <v/>
      </c>
      <c r="J12" s="10">
        <f>IF(AND(F12&gt;0,G12&gt;0),"Long Buildup",IF(AND(F12&lt;0,G12&gt;0),"Short Buildup",IF(AND(F12&lt;0,G12&lt;0),"Long Unwinding",IF(AND(F12&gt;0,G12&lt;0),"Short Covering","Neutral"))))</f>
        <v/>
      </c>
      <c r="K12" s="13">
        <f>IF(F12&gt;0,F12,0)</f>
        <v/>
      </c>
      <c r="L12" s="13">
        <f>IF(F12&lt;0,F12,0)</f>
        <v/>
      </c>
      <c r="M12" s="13">
        <f>IF(J12="Long Buildup",H12,0)</f>
        <v/>
      </c>
    </row>
    <row r="13">
      <c r="A13" s="10" t="inlineStr">
        <is>
          <t>WIPRO</t>
        </is>
      </c>
      <c r="B13" s="10" t="inlineStr">
        <is>
          <t>IT</t>
        </is>
      </c>
      <c r="C13" s="11" t="n">
        <v>692.5</v>
      </c>
      <c r="D13" s="12" t="n">
        <v>1644839</v>
      </c>
      <c r="E13" s="12" t="n">
        <v>11400515</v>
      </c>
      <c r="F13" s="13">
        <f>(C13-VLOOKUP(A13,Raw_PrevDay!$A$2:$E$61,3,0))/VLOOKUP(A13,Raw_PrevDay!$A$2:$E$61,3,0)</f>
        <v/>
      </c>
      <c r="G13" s="12">
        <f>E13-VLOOKUP(A13,Raw_PrevDay!$A$2:$E$61,5,0)</f>
        <v/>
      </c>
      <c r="H13" s="13">
        <f>G13/VLOOKUP(A13,Raw_PrevDay!$A$2:$E$61,5,0)</f>
        <v/>
      </c>
      <c r="I13" s="14">
        <f>D13/VLOOKUP(A13,Raw_PrevDay!$A$2:$E$61,4,0)</f>
        <v/>
      </c>
      <c r="J13" s="10">
        <f>IF(AND(F13&gt;0,G13&gt;0),"Long Buildup",IF(AND(F13&lt;0,G13&gt;0),"Short Buildup",IF(AND(F13&lt;0,G13&lt;0),"Long Unwinding",IF(AND(F13&gt;0,G13&lt;0),"Short Covering","Neutral"))))</f>
        <v/>
      </c>
      <c r="K13" s="13">
        <f>IF(F13&gt;0,F13,0)</f>
        <v/>
      </c>
      <c r="L13" s="13">
        <f>IF(F13&lt;0,F13,0)</f>
        <v/>
      </c>
      <c r="M13" s="13">
        <f>IF(J13="Long Buildup",H13,0)</f>
        <v/>
      </c>
    </row>
    <row r="14">
      <c r="A14" s="10" t="inlineStr">
        <is>
          <t>HCLTECH</t>
        </is>
      </c>
      <c r="B14" s="10" t="inlineStr">
        <is>
          <t>IT</t>
        </is>
      </c>
      <c r="C14" s="11" t="n">
        <v>457.17</v>
      </c>
      <c r="D14" s="12" t="n">
        <v>10042666</v>
      </c>
      <c r="E14" s="12" t="n">
        <v>2325762</v>
      </c>
      <c r="F14" s="13">
        <f>(C14-VLOOKUP(A14,Raw_PrevDay!$A$2:$E$61,3,0))/VLOOKUP(A14,Raw_PrevDay!$A$2:$E$61,3,0)</f>
        <v/>
      </c>
      <c r="G14" s="12">
        <f>E14-VLOOKUP(A14,Raw_PrevDay!$A$2:$E$61,5,0)</f>
        <v/>
      </c>
      <c r="H14" s="13">
        <f>G14/VLOOKUP(A14,Raw_PrevDay!$A$2:$E$61,5,0)</f>
        <v/>
      </c>
      <c r="I14" s="14">
        <f>D14/VLOOKUP(A14,Raw_PrevDay!$A$2:$E$61,4,0)</f>
        <v/>
      </c>
      <c r="J14" s="10">
        <f>IF(AND(F14&gt;0,G14&gt;0),"Long Buildup",IF(AND(F14&lt;0,G14&gt;0),"Short Buildup",IF(AND(F14&lt;0,G14&lt;0),"Long Unwinding",IF(AND(F14&gt;0,G14&lt;0),"Short Covering","Neutral"))))</f>
        <v/>
      </c>
      <c r="K14" s="13">
        <f>IF(F14&gt;0,F14,0)</f>
        <v/>
      </c>
      <c r="L14" s="13">
        <f>IF(F14&lt;0,F14,0)</f>
        <v/>
      </c>
      <c r="M14" s="13">
        <f>IF(J14="Long Buildup",H14,0)</f>
        <v/>
      </c>
    </row>
    <row r="15">
      <c r="A15" s="10" t="inlineStr">
        <is>
          <t>TECHM</t>
        </is>
      </c>
      <c r="B15" s="10" t="inlineStr">
        <is>
          <t>IT</t>
        </is>
      </c>
      <c r="C15" s="11" t="n">
        <v>1618.13</v>
      </c>
      <c r="D15" s="12" t="n">
        <v>8340309</v>
      </c>
      <c r="E15" s="12" t="n">
        <v>16191190</v>
      </c>
      <c r="F15" s="13">
        <f>(C15-VLOOKUP(A15,Raw_PrevDay!$A$2:$E$61,3,0))/VLOOKUP(A15,Raw_PrevDay!$A$2:$E$61,3,0)</f>
        <v/>
      </c>
      <c r="G15" s="12">
        <f>E15-VLOOKUP(A15,Raw_PrevDay!$A$2:$E$61,5,0)</f>
        <v/>
      </c>
      <c r="H15" s="13">
        <f>G15/VLOOKUP(A15,Raw_PrevDay!$A$2:$E$61,5,0)</f>
        <v/>
      </c>
      <c r="I15" s="14">
        <f>D15/VLOOKUP(A15,Raw_PrevDay!$A$2:$E$61,4,0)</f>
        <v/>
      </c>
      <c r="J15" s="10">
        <f>IF(AND(F15&gt;0,G15&gt;0),"Long Buildup",IF(AND(F15&lt;0,G15&gt;0),"Short Buildup",IF(AND(F15&lt;0,G15&lt;0),"Long Unwinding",IF(AND(F15&gt;0,G15&lt;0),"Short Covering","Neutral"))))</f>
        <v/>
      </c>
      <c r="K15" s="13">
        <f>IF(F15&gt;0,F15,0)</f>
        <v/>
      </c>
      <c r="L15" s="13">
        <f>IF(F15&lt;0,F15,0)</f>
        <v/>
      </c>
      <c r="M15" s="13">
        <f>IF(J15="Long Buildup",H15,0)</f>
        <v/>
      </c>
    </row>
    <row r="16">
      <c r="A16" s="10" t="inlineStr">
        <is>
          <t>LTIM</t>
        </is>
      </c>
      <c r="B16" s="10" t="inlineStr">
        <is>
          <t>IT</t>
        </is>
      </c>
      <c r="C16" s="11" t="n">
        <v>1060.14</v>
      </c>
      <c r="D16" s="12" t="n">
        <v>5876931</v>
      </c>
      <c r="E16" s="12" t="n">
        <v>27075751</v>
      </c>
      <c r="F16" s="13">
        <f>(C16-VLOOKUP(A16,Raw_PrevDay!$A$2:$E$61,3,0))/VLOOKUP(A16,Raw_PrevDay!$A$2:$E$61,3,0)</f>
        <v/>
      </c>
      <c r="G16" s="12">
        <f>E16-VLOOKUP(A16,Raw_PrevDay!$A$2:$E$61,5,0)</f>
        <v/>
      </c>
      <c r="H16" s="13">
        <f>G16/VLOOKUP(A16,Raw_PrevDay!$A$2:$E$61,5,0)</f>
        <v/>
      </c>
      <c r="I16" s="14">
        <f>D16/VLOOKUP(A16,Raw_PrevDay!$A$2:$E$61,4,0)</f>
        <v/>
      </c>
      <c r="J16" s="10">
        <f>IF(AND(F16&gt;0,G16&gt;0),"Long Buildup",IF(AND(F16&lt;0,G16&gt;0),"Short Buildup",IF(AND(F16&lt;0,G16&lt;0),"Long Unwinding",IF(AND(F16&gt;0,G16&lt;0),"Short Covering","Neutral"))))</f>
        <v/>
      </c>
      <c r="K16" s="13">
        <f>IF(F16&gt;0,F16,0)</f>
        <v/>
      </c>
      <c r="L16" s="13">
        <f>IF(F16&lt;0,F16,0)</f>
        <v/>
      </c>
      <c r="M16" s="13">
        <f>IF(J16="Long Buildup",H16,0)</f>
        <v/>
      </c>
    </row>
    <row r="17">
      <c r="A17" s="10" t="inlineStr">
        <is>
          <t>MPHASIS</t>
        </is>
      </c>
      <c r="B17" s="10" t="inlineStr">
        <is>
          <t>IT</t>
        </is>
      </c>
      <c r="C17" s="11" t="n">
        <v>1010.9</v>
      </c>
      <c r="D17" s="12" t="n">
        <v>1759128</v>
      </c>
      <c r="E17" s="12" t="n">
        <v>49049317</v>
      </c>
      <c r="F17" s="13">
        <f>(C17-VLOOKUP(A17,Raw_PrevDay!$A$2:$E$61,3,0))/VLOOKUP(A17,Raw_PrevDay!$A$2:$E$61,3,0)</f>
        <v/>
      </c>
      <c r="G17" s="12">
        <f>E17-VLOOKUP(A17,Raw_PrevDay!$A$2:$E$61,5,0)</f>
        <v/>
      </c>
      <c r="H17" s="13">
        <f>G17/VLOOKUP(A17,Raw_PrevDay!$A$2:$E$61,5,0)</f>
        <v/>
      </c>
      <c r="I17" s="14">
        <f>D17/VLOOKUP(A17,Raw_PrevDay!$A$2:$E$61,4,0)</f>
        <v/>
      </c>
      <c r="J17" s="10">
        <f>IF(AND(F17&gt;0,G17&gt;0),"Long Buildup",IF(AND(F17&lt;0,G17&gt;0),"Short Buildup",IF(AND(F17&lt;0,G17&lt;0),"Long Unwinding",IF(AND(F17&gt;0,G17&lt;0),"Short Covering","Neutral"))))</f>
        <v/>
      </c>
      <c r="K17" s="13">
        <f>IF(F17&gt;0,F17,0)</f>
        <v/>
      </c>
      <c r="L17" s="13">
        <f>IF(F17&lt;0,F17,0)</f>
        <v/>
      </c>
      <c r="M17" s="13">
        <f>IF(J17="Long Buildup",H17,0)</f>
        <v/>
      </c>
    </row>
    <row r="18">
      <c r="A18" s="10" t="inlineStr">
        <is>
          <t>COFORGE</t>
        </is>
      </c>
      <c r="B18" s="10" t="inlineStr">
        <is>
          <t>IT</t>
        </is>
      </c>
      <c r="C18" s="11" t="n">
        <v>1343.92</v>
      </c>
      <c r="D18" s="12" t="n">
        <v>1525459</v>
      </c>
      <c r="E18" s="12" t="n">
        <v>16564331</v>
      </c>
      <c r="F18" s="13">
        <f>(C18-VLOOKUP(A18,Raw_PrevDay!$A$2:$E$61,3,0))/VLOOKUP(A18,Raw_PrevDay!$A$2:$E$61,3,0)</f>
        <v/>
      </c>
      <c r="G18" s="12">
        <f>E18-VLOOKUP(A18,Raw_PrevDay!$A$2:$E$61,5,0)</f>
        <v/>
      </c>
      <c r="H18" s="13">
        <f>G18/VLOOKUP(A18,Raw_PrevDay!$A$2:$E$61,5,0)</f>
        <v/>
      </c>
      <c r="I18" s="14">
        <f>D18/VLOOKUP(A18,Raw_PrevDay!$A$2:$E$61,4,0)</f>
        <v/>
      </c>
      <c r="J18" s="10">
        <f>IF(AND(F18&gt;0,G18&gt;0),"Long Buildup",IF(AND(F18&lt;0,G18&gt;0),"Short Buildup",IF(AND(F18&lt;0,G18&lt;0),"Long Unwinding",IF(AND(F18&gt;0,G18&lt;0),"Short Covering","Neutral"))))</f>
        <v/>
      </c>
      <c r="K18" s="13">
        <f>IF(F18&gt;0,F18,0)</f>
        <v/>
      </c>
      <c r="L18" s="13">
        <f>IF(F18&lt;0,F18,0)</f>
        <v/>
      </c>
      <c r="M18" s="13">
        <f>IF(J18="Long Buildup",H18,0)</f>
        <v/>
      </c>
    </row>
    <row r="19">
      <c r="A19" s="10" t="inlineStr">
        <is>
          <t>RELIANCE</t>
        </is>
      </c>
      <c r="B19" s="10" t="inlineStr">
        <is>
          <t>Energy</t>
        </is>
      </c>
      <c r="C19" s="11" t="n">
        <v>3720.04</v>
      </c>
      <c r="D19" s="12" t="n">
        <v>11022305</v>
      </c>
      <c r="E19" s="12" t="n">
        <v>54581143</v>
      </c>
      <c r="F19" s="13">
        <f>(C19-VLOOKUP(A19,Raw_PrevDay!$A$2:$E$61,3,0))/VLOOKUP(A19,Raw_PrevDay!$A$2:$E$61,3,0)</f>
        <v/>
      </c>
      <c r="G19" s="12">
        <f>E19-VLOOKUP(A19,Raw_PrevDay!$A$2:$E$61,5,0)</f>
        <v/>
      </c>
      <c r="H19" s="13">
        <f>G19/VLOOKUP(A19,Raw_PrevDay!$A$2:$E$61,5,0)</f>
        <v/>
      </c>
      <c r="I19" s="14">
        <f>D19/VLOOKUP(A19,Raw_PrevDay!$A$2:$E$61,4,0)</f>
        <v/>
      </c>
      <c r="J19" s="10">
        <f>IF(AND(F19&gt;0,G19&gt;0),"Long Buildup",IF(AND(F19&lt;0,G19&gt;0),"Short Buildup",IF(AND(F19&lt;0,G19&lt;0),"Long Unwinding",IF(AND(F19&gt;0,G19&lt;0),"Short Covering","Neutral"))))</f>
        <v/>
      </c>
      <c r="K19" s="13">
        <f>IF(F19&gt;0,F19,0)</f>
        <v/>
      </c>
      <c r="L19" s="13">
        <f>IF(F19&lt;0,F19,0)</f>
        <v/>
      </c>
      <c r="M19" s="13">
        <f>IF(J19="Long Buildup",H19,0)</f>
        <v/>
      </c>
    </row>
    <row r="20">
      <c r="A20" s="10" t="inlineStr">
        <is>
          <t>ONGC</t>
        </is>
      </c>
      <c r="B20" s="10" t="inlineStr">
        <is>
          <t>Energy</t>
        </is>
      </c>
      <c r="C20" s="11" t="n">
        <v>2036.58</v>
      </c>
      <c r="D20" s="12" t="n">
        <v>9652295</v>
      </c>
      <c r="E20" s="12" t="n">
        <v>5669987</v>
      </c>
      <c r="F20" s="13">
        <f>(C20-VLOOKUP(A20,Raw_PrevDay!$A$2:$E$61,3,0))/VLOOKUP(A20,Raw_PrevDay!$A$2:$E$61,3,0)</f>
        <v/>
      </c>
      <c r="G20" s="12">
        <f>E20-VLOOKUP(A20,Raw_PrevDay!$A$2:$E$61,5,0)</f>
        <v/>
      </c>
      <c r="H20" s="13">
        <f>G20/VLOOKUP(A20,Raw_PrevDay!$A$2:$E$61,5,0)</f>
        <v/>
      </c>
      <c r="I20" s="14">
        <f>D20/VLOOKUP(A20,Raw_PrevDay!$A$2:$E$61,4,0)</f>
        <v/>
      </c>
      <c r="J20" s="10">
        <f>IF(AND(F20&gt;0,G20&gt;0),"Long Buildup",IF(AND(F20&lt;0,G20&gt;0),"Short Buildup",IF(AND(F20&lt;0,G20&lt;0),"Long Unwinding",IF(AND(F20&gt;0,G20&lt;0),"Short Covering","Neutral"))))</f>
        <v/>
      </c>
      <c r="K20" s="13">
        <f>IF(F20&gt;0,F20,0)</f>
        <v/>
      </c>
      <c r="L20" s="13">
        <f>IF(F20&lt;0,F20,0)</f>
        <v/>
      </c>
      <c r="M20" s="13">
        <f>IF(J20="Long Buildup",H20,0)</f>
        <v/>
      </c>
    </row>
    <row r="21">
      <c r="A21" s="10" t="inlineStr">
        <is>
          <t>NTPC</t>
        </is>
      </c>
      <c r="B21" s="10" t="inlineStr">
        <is>
          <t>Energy</t>
        </is>
      </c>
      <c r="C21" s="11" t="n">
        <v>453.83</v>
      </c>
      <c r="D21" s="12" t="n">
        <v>4238856</v>
      </c>
      <c r="E21" s="12" t="n">
        <v>43911544</v>
      </c>
      <c r="F21" s="13">
        <f>(C21-VLOOKUP(A21,Raw_PrevDay!$A$2:$E$61,3,0))/VLOOKUP(A21,Raw_PrevDay!$A$2:$E$61,3,0)</f>
        <v/>
      </c>
      <c r="G21" s="12">
        <f>E21-VLOOKUP(A21,Raw_PrevDay!$A$2:$E$61,5,0)</f>
        <v/>
      </c>
      <c r="H21" s="13">
        <f>G21/VLOOKUP(A21,Raw_PrevDay!$A$2:$E$61,5,0)</f>
        <v/>
      </c>
      <c r="I21" s="14">
        <f>D21/VLOOKUP(A21,Raw_PrevDay!$A$2:$E$61,4,0)</f>
        <v/>
      </c>
      <c r="J21" s="10">
        <f>IF(AND(F21&gt;0,G21&gt;0),"Long Buildup",IF(AND(F21&lt;0,G21&gt;0),"Short Buildup",IF(AND(F21&lt;0,G21&lt;0),"Long Unwinding",IF(AND(F21&gt;0,G21&lt;0),"Short Covering","Neutral"))))</f>
        <v/>
      </c>
      <c r="K21" s="13">
        <f>IF(F21&gt;0,F21,0)</f>
        <v/>
      </c>
      <c r="L21" s="13">
        <f>IF(F21&lt;0,F21,0)</f>
        <v/>
      </c>
      <c r="M21" s="13">
        <f>IF(J21="Long Buildup",H21,0)</f>
        <v/>
      </c>
    </row>
    <row r="22">
      <c r="A22" s="10" t="inlineStr">
        <is>
          <t>POWERGRID</t>
        </is>
      </c>
      <c r="B22" s="10" t="inlineStr">
        <is>
          <t>Energy</t>
        </is>
      </c>
      <c r="C22" s="11" t="n">
        <v>1189.27</v>
      </c>
      <c r="D22" s="12" t="n">
        <v>1258788</v>
      </c>
      <c r="E22" s="12" t="n">
        <v>16846906</v>
      </c>
      <c r="F22" s="13">
        <f>(C22-VLOOKUP(A22,Raw_PrevDay!$A$2:$E$61,3,0))/VLOOKUP(A22,Raw_PrevDay!$A$2:$E$61,3,0)</f>
        <v/>
      </c>
      <c r="G22" s="12">
        <f>E22-VLOOKUP(A22,Raw_PrevDay!$A$2:$E$61,5,0)</f>
        <v/>
      </c>
      <c r="H22" s="13">
        <f>G22/VLOOKUP(A22,Raw_PrevDay!$A$2:$E$61,5,0)</f>
        <v/>
      </c>
      <c r="I22" s="14">
        <f>D22/VLOOKUP(A22,Raw_PrevDay!$A$2:$E$61,4,0)</f>
        <v/>
      </c>
      <c r="J22" s="10">
        <f>IF(AND(F22&gt;0,G22&gt;0),"Long Buildup",IF(AND(F22&lt;0,G22&gt;0),"Short Buildup",IF(AND(F22&lt;0,G22&lt;0),"Long Unwinding",IF(AND(F22&gt;0,G22&lt;0),"Short Covering","Neutral"))))</f>
        <v/>
      </c>
      <c r="K22" s="13">
        <f>IF(F22&gt;0,F22,0)</f>
        <v/>
      </c>
      <c r="L22" s="13">
        <f>IF(F22&lt;0,F22,0)</f>
        <v/>
      </c>
      <c r="M22" s="13">
        <f>IF(J22="Long Buildup",H22,0)</f>
        <v/>
      </c>
    </row>
    <row r="23">
      <c r="A23" s="10" t="inlineStr">
        <is>
          <t>BPCL</t>
        </is>
      </c>
      <c r="B23" s="10" t="inlineStr">
        <is>
          <t>Energy</t>
        </is>
      </c>
      <c r="C23" s="11" t="n">
        <v>284.96</v>
      </c>
      <c r="D23" s="12" t="n">
        <v>14209117</v>
      </c>
      <c r="E23" s="12" t="n">
        <v>58544250</v>
      </c>
      <c r="F23" s="13">
        <f>(C23-VLOOKUP(A23,Raw_PrevDay!$A$2:$E$61,3,0))/VLOOKUP(A23,Raw_PrevDay!$A$2:$E$61,3,0)</f>
        <v/>
      </c>
      <c r="G23" s="12">
        <f>E23-VLOOKUP(A23,Raw_PrevDay!$A$2:$E$61,5,0)</f>
        <v/>
      </c>
      <c r="H23" s="13">
        <f>G23/VLOOKUP(A23,Raw_PrevDay!$A$2:$E$61,5,0)</f>
        <v/>
      </c>
      <c r="I23" s="14">
        <f>D23/VLOOKUP(A23,Raw_PrevDay!$A$2:$E$61,4,0)</f>
        <v/>
      </c>
      <c r="J23" s="10">
        <f>IF(AND(F23&gt;0,G23&gt;0),"Long Buildup",IF(AND(F23&lt;0,G23&gt;0),"Short Buildup",IF(AND(F23&lt;0,G23&lt;0),"Long Unwinding",IF(AND(F23&gt;0,G23&lt;0),"Short Covering","Neutral"))))</f>
        <v/>
      </c>
      <c r="K23" s="13">
        <f>IF(F23&gt;0,F23,0)</f>
        <v/>
      </c>
      <c r="L23" s="13">
        <f>IF(F23&lt;0,F23,0)</f>
        <v/>
      </c>
      <c r="M23" s="13">
        <f>IF(J23="Long Buildup",H23,0)</f>
        <v/>
      </c>
    </row>
    <row r="24">
      <c r="A24" s="10" t="inlineStr">
        <is>
          <t>IOC</t>
        </is>
      </c>
      <c r="B24" s="10" t="inlineStr">
        <is>
          <t>Energy</t>
        </is>
      </c>
      <c r="C24" s="11" t="n">
        <v>1326.52</v>
      </c>
      <c r="D24" s="12" t="n">
        <v>5543776</v>
      </c>
      <c r="E24" s="12" t="n">
        <v>30301442</v>
      </c>
      <c r="F24" s="13">
        <f>(C24-VLOOKUP(A24,Raw_PrevDay!$A$2:$E$61,3,0))/VLOOKUP(A24,Raw_PrevDay!$A$2:$E$61,3,0)</f>
        <v/>
      </c>
      <c r="G24" s="12">
        <f>E24-VLOOKUP(A24,Raw_PrevDay!$A$2:$E$61,5,0)</f>
        <v/>
      </c>
      <c r="H24" s="13">
        <f>G24/VLOOKUP(A24,Raw_PrevDay!$A$2:$E$61,5,0)</f>
        <v/>
      </c>
      <c r="I24" s="14">
        <f>D24/VLOOKUP(A24,Raw_PrevDay!$A$2:$E$61,4,0)</f>
        <v/>
      </c>
      <c r="J24" s="10">
        <f>IF(AND(F24&gt;0,G24&gt;0),"Long Buildup",IF(AND(F24&lt;0,G24&gt;0),"Short Buildup",IF(AND(F24&lt;0,G24&lt;0),"Long Unwinding",IF(AND(F24&gt;0,G24&lt;0),"Short Covering","Neutral"))))</f>
        <v/>
      </c>
      <c r="K24" s="13">
        <f>IF(F24&gt;0,F24,0)</f>
        <v/>
      </c>
      <c r="L24" s="13">
        <f>IF(F24&lt;0,F24,0)</f>
        <v/>
      </c>
      <c r="M24" s="13">
        <f>IF(J24="Long Buildup",H24,0)</f>
        <v/>
      </c>
    </row>
    <row r="25">
      <c r="A25" s="10" t="inlineStr">
        <is>
          <t>GAIL</t>
        </is>
      </c>
      <c r="B25" s="10" t="inlineStr">
        <is>
          <t>Energy</t>
        </is>
      </c>
      <c r="C25" s="11" t="n">
        <v>2469.98</v>
      </c>
      <c r="D25" s="12" t="n">
        <v>3231059</v>
      </c>
      <c r="E25" s="12" t="n">
        <v>54222957</v>
      </c>
      <c r="F25" s="13">
        <f>(C25-VLOOKUP(A25,Raw_PrevDay!$A$2:$E$61,3,0))/VLOOKUP(A25,Raw_PrevDay!$A$2:$E$61,3,0)</f>
        <v/>
      </c>
      <c r="G25" s="12">
        <f>E25-VLOOKUP(A25,Raw_PrevDay!$A$2:$E$61,5,0)</f>
        <v/>
      </c>
      <c r="H25" s="13">
        <f>G25/VLOOKUP(A25,Raw_PrevDay!$A$2:$E$61,5,0)</f>
        <v/>
      </c>
      <c r="I25" s="14">
        <f>D25/VLOOKUP(A25,Raw_PrevDay!$A$2:$E$61,4,0)</f>
        <v/>
      </c>
      <c r="J25" s="10">
        <f>IF(AND(F25&gt;0,G25&gt;0),"Long Buildup",IF(AND(F25&lt;0,G25&gt;0),"Short Buildup",IF(AND(F25&lt;0,G25&lt;0),"Long Unwinding",IF(AND(F25&gt;0,G25&lt;0),"Short Covering","Neutral"))))</f>
        <v/>
      </c>
      <c r="K25" s="13">
        <f>IF(F25&gt;0,F25,0)</f>
        <v/>
      </c>
      <c r="L25" s="13">
        <f>IF(F25&lt;0,F25,0)</f>
        <v/>
      </c>
      <c r="M25" s="13">
        <f>IF(J25="Long Buildup",H25,0)</f>
        <v/>
      </c>
    </row>
    <row r="26">
      <c r="A26" s="10" t="inlineStr">
        <is>
          <t>TATAPOWER</t>
        </is>
      </c>
      <c r="B26" s="10" t="inlineStr">
        <is>
          <t>Energy</t>
        </is>
      </c>
      <c r="C26" s="11" t="n">
        <v>420.77</v>
      </c>
      <c r="D26" s="12" t="n">
        <v>2906093</v>
      </c>
      <c r="E26" s="12" t="n">
        <v>2171719</v>
      </c>
      <c r="F26" s="13">
        <f>(C26-VLOOKUP(A26,Raw_PrevDay!$A$2:$E$61,3,0))/VLOOKUP(A26,Raw_PrevDay!$A$2:$E$61,3,0)</f>
        <v/>
      </c>
      <c r="G26" s="12">
        <f>E26-VLOOKUP(A26,Raw_PrevDay!$A$2:$E$61,5,0)</f>
        <v/>
      </c>
      <c r="H26" s="13">
        <f>G26/VLOOKUP(A26,Raw_PrevDay!$A$2:$E$61,5,0)</f>
        <v/>
      </c>
      <c r="I26" s="14">
        <f>D26/VLOOKUP(A26,Raw_PrevDay!$A$2:$E$61,4,0)</f>
        <v/>
      </c>
      <c r="J26" s="10">
        <f>IF(AND(F26&gt;0,G26&gt;0),"Long Buildup",IF(AND(F26&lt;0,G26&gt;0),"Short Buildup",IF(AND(F26&lt;0,G26&lt;0),"Long Unwinding",IF(AND(F26&gt;0,G26&lt;0),"Short Covering","Neutral"))))</f>
        <v/>
      </c>
      <c r="K26" s="13">
        <f>IF(F26&gt;0,F26,0)</f>
        <v/>
      </c>
      <c r="L26" s="13">
        <f>IF(F26&lt;0,F26,0)</f>
        <v/>
      </c>
      <c r="M26" s="13">
        <f>IF(J26="Long Buildup",H26,0)</f>
        <v/>
      </c>
    </row>
    <row r="27">
      <c r="A27" s="10" t="inlineStr">
        <is>
          <t>MARUTI</t>
        </is>
      </c>
      <c r="B27" s="10" t="inlineStr">
        <is>
          <t>Auto</t>
        </is>
      </c>
      <c r="C27" s="11" t="n">
        <v>1556.47</v>
      </c>
      <c r="D27" s="12" t="n">
        <v>11339486</v>
      </c>
      <c r="E27" s="12" t="n">
        <v>23483791</v>
      </c>
      <c r="F27" s="13">
        <f>(C27-VLOOKUP(A27,Raw_PrevDay!$A$2:$E$61,3,0))/VLOOKUP(A27,Raw_PrevDay!$A$2:$E$61,3,0)</f>
        <v/>
      </c>
      <c r="G27" s="12">
        <f>E27-VLOOKUP(A27,Raw_PrevDay!$A$2:$E$61,5,0)</f>
        <v/>
      </c>
      <c r="H27" s="13">
        <f>G27/VLOOKUP(A27,Raw_PrevDay!$A$2:$E$61,5,0)</f>
        <v/>
      </c>
      <c r="I27" s="14">
        <f>D27/VLOOKUP(A27,Raw_PrevDay!$A$2:$E$61,4,0)</f>
        <v/>
      </c>
      <c r="J27" s="10">
        <f>IF(AND(F27&gt;0,G27&gt;0),"Long Buildup",IF(AND(F27&lt;0,G27&gt;0),"Short Buildup",IF(AND(F27&lt;0,G27&lt;0),"Long Unwinding",IF(AND(F27&gt;0,G27&lt;0),"Short Covering","Neutral"))))</f>
        <v/>
      </c>
      <c r="K27" s="13">
        <f>IF(F27&gt;0,F27,0)</f>
        <v/>
      </c>
      <c r="L27" s="13">
        <f>IF(F27&lt;0,F27,0)</f>
        <v/>
      </c>
      <c r="M27" s="13">
        <f>IF(J27="Long Buildup",H27,0)</f>
        <v/>
      </c>
    </row>
    <row r="28">
      <c r="A28" s="10" t="inlineStr">
        <is>
          <t>TATAMOTORS</t>
        </is>
      </c>
      <c r="B28" s="10" t="inlineStr">
        <is>
          <t>Auto</t>
        </is>
      </c>
      <c r="C28" s="11" t="n">
        <v>2526.61</v>
      </c>
      <c r="D28" s="12" t="n">
        <v>10026688</v>
      </c>
      <c r="E28" s="12" t="n">
        <v>17791482</v>
      </c>
      <c r="F28" s="13">
        <f>(C28-VLOOKUP(A28,Raw_PrevDay!$A$2:$E$61,3,0))/VLOOKUP(A28,Raw_PrevDay!$A$2:$E$61,3,0)</f>
        <v/>
      </c>
      <c r="G28" s="12">
        <f>E28-VLOOKUP(A28,Raw_PrevDay!$A$2:$E$61,5,0)</f>
        <v/>
      </c>
      <c r="H28" s="13">
        <f>G28/VLOOKUP(A28,Raw_PrevDay!$A$2:$E$61,5,0)</f>
        <v/>
      </c>
      <c r="I28" s="14">
        <f>D28/VLOOKUP(A28,Raw_PrevDay!$A$2:$E$61,4,0)</f>
        <v/>
      </c>
      <c r="J28" s="10">
        <f>IF(AND(F28&gt;0,G28&gt;0),"Long Buildup",IF(AND(F28&lt;0,G28&gt;0),"Short Buildup",IF(AND(F28&lt;0,G28&lt;0),"Long Unwinding",IF(AND(F28&gt;0,G28&lt;0),"Short Covering","Neutral"))))</f>
        <v/>
      </c>
      <c r="K28" s="13">
        <f>IF(F28&gt;0,F28,0)</f>
        <v/>
      </c>
      <c r="L28" s="13">
        <f>IF(F28&lt;0,F28,0)</f>
        <v/>
      </c>
      <c r="M28" s="13">
        <f>IF(J28="Long Buildup",H28,0)</f>
        <v/>
      </c>
    </row>
    <row r="29">
      <c r="A29" s="10" t="inlineStr">
        <is>
          <t>M&amp;M</t>
        </is>
      </c>
      <c r="B29" s="10" t="inlineStr">
        <is>
          <t>Auto</t>
        </is>
      </c>
      <c r="C29" s="11" t="n">
        <v>2266.78</v>
      </c>
      <c r="D29" s="12" t="n">
        <v>4677729</v>
      </c>
      <c r="E29" s="12" t="n">
        <v>33652739</v>
      </c>
      <c r="F29" s="13">
        <f>(C29-VLOOKUP(A29,Raw_PrevDay!$A$2:$E$61,3,0))/VLOOKUP(A29,Raw_PrevDay!$A$2:$E$61,3,0)</f>
        <v/>
      </c>
      <c r="G29" s="12">
        <f>E29-VLOOKUP(A29,Raw_PrevDay!$A$2:$E$61,5,0)</f>
        <v/>
      </c>
      <c r="H29" s="13">
        <f>G29/VLOOKUP(A29,Raw_PrevDay!$A$2:$E$61,5,0)</f>
        <v/>
      </c>
      <c r="I29" s="14">
        <f>D29/VLOOKUP(A29,Raw_PrevDay!$A$2:$E$61,4,0)</f>
        <v/>
      </c>
      <c r="J29" s="10">
        <f>IF(AND(F29&gt;0,G29&gt;0),"Long Buildup",IF(AND(F29&lt;0,G29&gt;0),"Short Buildup",IF(AND(F29&lt;0,G29&lt;0),"Long Unwinding",IF(AND(F29&gt;0,G29&lt;0),"Short Covering","Neutral"))))</f>
        <v/>
      </c>
      <c r="K29" s="13">
        <f>IF(F29&gt;0,F29,0)</f>
        <v/>
      </c>
      <c r="L29" s="13">
        <f>IF(F29&lt;0,F29,0)</f>
        <v/>
      </c>
      <c r="M29" s="13">
        <f>IF(J29="Long Buildup",H29,0)</f>
        <v/>
      </c>
    </row>
    <row r="30">
      <c r="A30" s="10" t="inlineStr">
        <is>
          <t>BAJAJ-AUTO</t>
        </is>
      </c>
      <c r="B30" s="10" t="inlineStr">
        <is>
          <t>Auto</t>
        </is>
      </c>
      <c r="C30" s="11" t="n">
        <v>243.1</v>
      </c>
      <c r="D30" s="12" t="n">
        <v>5856322</v>
      </c>
      <c r="E30" s="12" t="n">
        <v>22937840</v>
      </c>
      <c r="F30" s="13">
        <f>(C30-VLOOKUP(A30,Raw_PrevDay!$A$2:$E$61,3,0))/VLOOKUP(A30,Raw_PrevDay!$A$2:$E$61,3,0)</f>
        <v/>
      </c>
      <c r="G30" s="12">
        <f>E30-VLOOKUP(A30,Raw_PrevDay!$A$2:$E$61,5,0)</f>
        <v/>
      </c>
      <c r="H30" s="13">
        <f>G30/VLOOKUP(A30,Raw_PrevDay!$A$2:$E$61,5,0)</f>
        <v/>
      </c>
      <c r="I30" s="14">
        <f>D30/VLOOKUP(A30,Raw_PrevDay!$A$2:$E$61,4,0)</f>
        <v/>
      </c>
      <c r="J30" s="10">
        <f>IF(AND(F30&gt;0,G30&gt;0),"Long Buildup",IF(AND(F30&lt;0,G30&gt;0),"Short Buildup",IF(AND(F30&lt;0,G30&lt;0),"Long Unwinding",IF(AND(F30&gt;0,G30&lt;0),"Short Covering","Neutral"))))</f>
        <v/>
      </c>
      <c r="K30" s="13">
        <f>IF(F30&gt;0,F30,0)</f>
        <v/>
      </c>
      <c r="L30" s="13">
        <f>IF(F30&lt;0,F30,0)</f>
        <v/>
      </c>
      <c r="M30" s="13">
        <f>IF(J30="Long Buildup",H30,0)</f>
        <v/>
      </c>
    </row>
    <row r="31">
      <c r="A31" s="10" t="inlineStr">
        <is>
          <t>HEROMOTOCO</t>
        </is>
      </c>
      <c r="B31" s="10" t="inlineStr">
        <is>
          <t>Auto</t>
        </is>
      </c>
      <c r="C31" s="11" t="n">
        <v>726.0700000000001</v>
      </c>
      <c r="D31" s="12" t="n">
        <v>10927483</v>
      </c>
      <c r="E31" s="12" t="n">
        <v>39461167</v>
      </c>
      <c r="F31" s="13">
        <f>(C31-VLOOKUP(A31,Raw_PrevDay!$A$2:$E$61,3,0))/VLOOKUP(A31,Raw_PrevDay!$A$2:$E$61,3,0)</f>
        <v/>
      </c>
      <c r="G31" s="12">
        <f>E31-VLOOKUP(A31,Raw_PrevDay!$A$2:$E$61,5,0)</f>
        <v/>
      </c>
      <c r="H31" s="13">
        <f>G31/VLOOKUP(A31,Raw_PrevDay!$A$2:$E$61,5,0)</f>
        <v/>
      </c>
      <c r="I31" s="14">
        <f>D31/VLOOKUP(A31,Raw_PrevDay!$A$2:$E$61,4,0)</f>
        <v/>
      </c>
      <c r="J31" s="10">
        <f>IF(AND(F31&gt;0,G31&gt;0),"Long Buildup",IF(AND(F31&lt;0,G31&gt;0),"Short Buildup",IF(AND(F31&lt;0,G31&lt;0),"Long Unwinding",IF(AND(F31&gt;0,G31&lt;0),"Short Covering","Neutral"))))</f>
        <v/>
      </c>
      <c r="K31" s="13">
        <f>IF(F31&gt;0,F31,0)</f>
        <v/>
      </c>
      <c r="L31" s="13">
        <f>IF(F31&lt;0,F31,0)</f>
        <v/>
      </c>
      <c r="M31" s="13">
        <f>IF(J31="Long Buildup",H31,0)</f>
        <v/>
      </c>
    </row>
    <row r="32">
      <c r="A32" s="10" t="inlineStr">
        <is>
          <t>EICHERMOT</t>
        </is>
      </c>
      <c r="B32" s="10" t="inlineStr">
        <is>
          <t>Auto</t>
        </is>
      </c>
      <c r="C32" s="11" t="n">
        <v>4176.43</v>
      </c>
      <c r="D32" s="12" t="n">
        <v>3820317</v>
      </c>
      <c r="E32" s="12" t="n">
        <v>40464049</v>
      </c>
      <c r="F32" s="13">
        <f>(C32-VLOOKUP(A32,Raw_PrevDay!$A$2:$E$61,3,0))/VLOOKUP(A32,Raw_PrevDay!$A$2:$E$61,3,0)</f>
        <v/>
      </c>
      <c r="G32" s="12">
        <f>E32-VLOOKUP(A32,Raw_PrevDay!$A$2:$E$61,5,0)</f>
        <v/>
      </c>
      <c r="H32" s="13">
        <f>G32/VLOOKUP(A32,Raw_PrevDay!$A$2:$E$61,5,0)</f>
        <v/>
      </c>
      <c r="I32" s="14">
        <f>D32/VLOOKUP(A32,Raw_PrevDay!$A$2:$E$61,4,0)</f>
        <v/>
      </c>
      <c r="J32" s="10">
        <f>IF(AND(F32&gt;0,G32&gt;0),"Long Buildup",IF(AND(F32&lt;0,G32&gt;0),"Short Buildup",IF(AND(F32&lt;0,G32&lt;0),"Long Unwinding",IF(AND(F32&gt;0,G32&lt;0),"Short Covering","Neutral"))))</f>
        <v/>
      </c>
      <c r="K32" s="13">
        <f>IF(F32&gt;0,F32,0)</f>
        <v/>
      </c>
      <c r="L32" s="13">
        <f>IF(F32&lt;0,F32,0)</f>
        <v/>
      </c>
      <c r="M32" s="13">
        <f>IF(J32="Long Buildup",H32,0)</f>
        <v/>
      </c>
    </row>
    <row r="33">
      <c r="A33" s="10" t="inlineStr">
        <is>
          <t>ASHOKLEY</t>
        </is>
      </c>
      <c r="B33" s="10" t="inlineStr">
        <is>
          <t>Auto</t>
        </is>
      </c>
      <c r="C33" s="11" t="n">
        <v>800.92</v>
      </c>
      <c r="D33" s="12" t="n">
        <v>4260563</v>
      </c>
      <c r="E33" s="12" t="n">
        <v>54847777</v>
      </c>
      <c r="F33" s="13">
        <f>(C33-VLOOKUP(A33,Raw_PrevDay!$A$2:$E$61,3,0))/VLOOKUP(A33,Raw_PrevDay!$A$2:$E$61,3,0)</f>
        <v/>
      </c>
      <c r="G33" s="12">
        <f>E33-VLOOKUP(A33,Raw_PrevDay!$A$2:$E$61,5,0)</f>
        <v/>
      </c>
      <c r="H33" s="13">
        <f>G33/VLOOKUP(A33,Raw_PrevDay!$A$2:$E$61,5,0)</f>
        <v/>
      </c>
      <c r="I33" s="14">
        <f>D33/VLOOKUP(A33,Raw_PrevDay!$A$2:$E$61,4,0)</f>
        <v/>
      </c>
      <c r="J33" s="10">
        <f>IF(AND(F33&gt;0,G33&gt;0),"Long Buildup",IF(AND(F33&lt;0,G33&gt;0),"Short Buildup",IF(AND(F33&lt;0,G33&lt;0),"Long Unwinding",IF(AND(F33&gt;0,G33&lt;0),"Short Covering","Neutral"))))</f>
        <v/>
      </c>
      <c r="K33" s="13">
        <f>IF(F33&gt;0,F33,0)</f>
        <v/>
      </c>
      <c r="L33" s="13">
        <f>IF(F33&lt;0,F33,0)</f>
        <v/>
      </c>
      <c r="M33" s="13">
        <f>IF(J33="Long Buildup",H33,0)</f>
        <v/>
      </c>
    </row>
    <row r="34">
      <c r="A34" s="10" t="inlineStr">
        <is>
          <t>SUNPHARMA</t>
        </is>
      </c>
      <c r="B34" s="10" t="inlineStr">
        <is>
          <t>Pharma</t>
        </is>
      </c>
      <c r="C34" s="11" t="n">
        <v>1277.7</v>
      </c>
      <c r="D34" s="12" t="n">
        <v>1159537</v>
      </c>
      <c r="E34" s="12" t="n">
        <v>37812231</v>
      </c>
      <c r="F34" s="13">
        <f>(C34-VLOOKUP(A34,Raw_PrevDay!$A$2:$E$61,3,0))/VLOOKUP(A34,Raw_PrevDay!$A$2:$E$61,3,0)</f>
        <v/>
      </c>
      <c r="G34" s="12">
        <f>E34-VLOOKUP(A34,Raw_PrevDay!$A$2:$E$61,5,0)</f>
        <v/>
      </c>
      <c r="H34" s="13">
        <f>G34/VLOOKUP(A34,Raw_PrevDay!$A$2:$E$61,5,0)</f>
        <v/>
      </c>
      <c r="I34" s="14">
        <f>D34/VLOOKUP(A34,Raw_PrevDay!$A$2:$E$61,4,0)</f>
        <v/>
      </c>
      <c r="J34" s="10">
        <f>IF(AND(F34&gt;0,G34&gt;0),"Long Buildup",IF(AND(F34&lt;0,G34&gt;0),"Short Buildup",IF(AND(F34&lt;0,G34&lt;0),"Long Unwinding",IF(AND(F34&gt;0,G34&lt;0),"Short Covering","Neutral"))))</f>
        <v/>
      </c>
      <c r="K34" s="13">
        <f>IF(F34&gt;0,F34,0)</f>
        <v/>
      </c>
      <c r="L34" s="13">
        <f>IF(F34&lt;0,F34,0)</f>
        <v/>
      </c>
      <c r="M34" s="13">
        <f>IF(J34="Long Buildup",H34,0)</f>
        <v/>
      </c>
    </row>
    <row r="35">
      <c r="A35" s="10" t="inlineStr">
        <is>
          <t>DRREDDY</t>
        </is>
      </c>
      <c r="B35" s="10" t="inlineStr">
        <is>
          <t>Pharma</t>
        </is>
      </c>
      <c r="C35" s="11" t="n">
        <v>2706.95</v>
      </c>
      <c r="D35" s="12" t="n">
        <v>4663630</v>
      </c>
      <c r="E35" s="12" t="n">
        <v>17227969</v>
      </c>
      <c r="F35" s="13">
        <f>(C35-VLOOKUP(A35,Raw_PrevDay!$A$2:$E$61,3,0))/VLOOKUP(A35,Raw_PrevDay!$A$2:$E$61,3,0)</f>
        <v/>
      </c>
      <c r="G35" s="12">
        <f>E35-VLOOKUP(A35,Raw_PrevDay!$A$2:$E$61,5,0)</f>
        <v/>
      </c>
      <c r="H35" s="13">
        <f>G35/VLOOKUP(A35,Raw_PrevDay!$A$2:$E$61,5,0)</f>
        <v/>
      </c>
      <c r="I35" s="14">
        <f>D35/VLOOKUP(A35,Raw_PrevDay!$A$2:$E$61,4,0)</f>
        <v/>
      </c>
      <c r="J35" s="10">
        <f>IF(AND(F35&gt;0,G35&gt;0),"Long Buildup",IF(AND(F35&lt;0,G35&gt;0),"Short Buildup",IF(AND(F35&lt;0,G35&lt;0),"Long Unwinding",IF(AND(F35&gt;0,G35&lt;0),"Short Covering","Neutral"))))</f>
        <v/>
      </c>
      <c r="K35" s="13">
        <f>IF(F35&gt;0,F35,0)</f>
        <v/>
      </c>
      <c r="L35" s="13">
        <f>IF(F35&lt;0,F35,0)</f>
        <v/>
      </c>
      <c r="M35" s="13">
        <f>IF(J35="Long Buildup",H35,0)</f>
        <v/>
      </c>
    </row>
    <row r="36">
      <c r="A36" s="10" t="inlineStr">
        <is>
          <t>CIPLA</t>
        </is>
      </c>
      <c r="B36" s="10" t="inlineStr">
        <is>
          <t>Pharma</t>
        </is>
      </c>
      <c r="C36" s="11" t="n">
        <v>1189.68</v>
      </c>
      <c r="D36" s="12" t="n">
        <v>8197823</v>
      </c>
      <c r="E36" s="12" t="n">
        <v>22836306</v>
      </c>
      <c r="F36" s="13">
        <f>(C36-VLOOKUP(A36,Raw_PrevDay!$A$2:$E$61,3,0))/VLOOKUP(A36,Raw_PrevDay!$A$2:$E$61,3,0)</f>
        <v/>
      </c>
      <c r="G36" s="12">
        <f>E36-VLOOKUP(A36,Raw_PrevDay!$A$2:$E$61,5,0)</f>
        <v/>
      </c>
      <c r="H36" s="13">
        <f>G36/VLOOKUP(A36,Raw_PrevDay!$A$2:$E$61,5,0)</f>
        <v/>
      </c>
      <c r="I36" s="14">
        <f>D36/VLOOKUP(A36,Raw_PrevDay!$A$2:$E$61,4,0)</f>
        <v/>
      </c>
      <c r="J36" s="10">
        <f>IF(AND(F36&gt;0,G36&gt;0),"Long Buildup",IF(AND(F36&lt;0,G36&gt;0),"Short Buildup",IF(AND(F36&lt;0,G36&lt;0),"Long Unwinding",IF(AND(F36&gt;0,G36&lt;0),"Short Covering","Neutral"))))</f>
        <v/>
      </c>
      <c r="K36" s="13">
        <f>IF(F36&gt;0,F36,0)</f>
        <v/>
      </c>
      <c r="L36" s="13">
        <f>IF(F36&lt;0,F36,0)</f>
        <v/>
      </c>
      <c r="M36" s="13">
        <f>IF(J36="Long Buildup",H36,0)</f>
        <v/>
      </c>
    </row>
    <row r="37">
      <c r="A37" s="10" t="inlineStr">
        <is>
          <t>DIVISLAB</t>
        </is>
      </c>
      <c r="B37" s="10" t="inlineStr">
        <is>
          <t>Pharma</t>
        </is>
      </c>
      <c r="C37" s="11" t="n">
        <v>3908.79</v>
      </c>
      <c r="D37" s="12" t="n">
        <v>5648205</v>
      </c>
      <c r="E37" s="12" t="n">
        <v>6477954</v>
      </c>
      <c r="F37" s="13">
        <f>(C37-VLOOKUP(A37,Raw_PrevDay!$A$2:$E$61,3,0))/VLOOKUP(A37,Raw_PrevDay!$A$2:$E$61,3,0)</f>
        <v/>
      </c>
      <c r="G37" s="12">
        <f>E37-VLOOKUP(A37,Raw_PrevDay!$A$2:$E$61,5,0)</f>
        <v/>
      </c>
      <c r="H37" s="13">
        <f>G37/VLOOKUP(A37,Raw_PrevDay!$A$2:$E$61,5,0)</f>
        <v/>
      </c>
      <c r="I37" s="14">
        <f>D37/VLOOKUP(A37,Raw_PrevDay!$A$2:$E$61,4,0)</f>
        <v/>
      </c>
      <c r="J37" s="10">
        <f>IF(AND(F37&gt;0,G37&gt;0),"Long Buildup",IF(AND(F37&lt;0,G37&gt;0),"Short Buildup",IF(AND(F37&lt;0,G37&lt;0),"Long Unwinding",IF(AND(F37&gt;0,G37&lt;0),"Short Covering","Neutral"))))</f>
        <v/>
      </c>
      <c r="K37" s="13">
        <f>IF(F37&gt;0,F37,0)</f>
        <v/>
      </c>
      <c r="L37" s="13">
        <f>IF(F37&lt;0,F37,0)</f>
        <v/>
      </c>
      <c r="M37" s="13">
        <f>IF(J37="Long Buildup",H37,0)</f>
        <v/>
      </c>
    </row>
    <row r="38">
      <c r="A38" s="10" t="inlineStr">
        <is>
          <t>BIOCON</t>
        </is>
      </c>
      <c r="B38" s="10" t="inlineStr">
        <is>
          <t>Pharma</t>
        </is>
      </c>
      <c r="C38" s="11" t="n">
        <v>973.24</v>
      </c>
      <c r="D38" s="12" t="n">
        <v>4043610</v>
      </c>
      <c r="E38" s="12" t="n">
        <v>9540293</v>
      </c>
      <c r="F38" s="13">
        <f>(C38-VLOOKUP(A38,Raw_PrevDay!$A$2:$E$61,3,0))/VLOOKUP(A38,Raw_PrevDay!$A$2:$E$61,3,0)</f>
        <v/>
      </c>
      <c r="G38" s="12">
        <f>E38-VLOOKUP(A38,Raw_PrevDay!$A$2:$E$61,5,0)</f>
        <v/>
      </c>
      <c r="H38" s="13">
        <f>G38/VLOOKUP(A38,Raw_PrevDay!$A$2:$E$61,5,0)</f>
        <v/>
      </c>
      <c r="I38" s="14">
        <f>D38/VLOOKUP(A38,Raw_PrevDay!$A$2:$E$61,4,0)</f>
        <v/>
      </c>
      <c r="J38" s="10">
        <f>IF(AND(F38&gt;0,G38&gt;0),"Long Buildup",IF(AND(F38&lt;0,G38&gt;0),"Short Buildup",IF(AND(F38&lt;0,G38&lt;0),"Long Unwinding",IF(AND(F38&gt;0,G38&lt;0),"Short Covering","Neutral"))))</f>
        <v/>
      </c>
      <c r="K38" s="13">
        <f>IF(F38&gt;0,F38,0)</f>
        <v/>
      </c>
      <c r="L38" s="13">
        <f>IF(F38&lt;0,F38,0)</f>
        <v/>
      </c>
      <c r="M38" s="13">
        <f>IF(J38="Long Buildup",H38,0)</f>
        <v/>
      </c>
    </row>
    <row r="39">
      <c r="A39" s="10" t="inlineStr">
        <is>
          <t>LUPIN</t>
        </is>
      </c>
      <c r="B39" s="10" t="inlineStr">
        <is>
          <t>Pharma</t>
        </is>
      </c>
      <c r="C39" s="11" t="n">
        <v>788.2</v>
      </c>
      <c r="D39" s="12" t="n">
        <v>1625537</v>
      </c>
      <c r="E39" s="12" t="n">
        <v>44662345</v>
      </c>
      <c r="F39" s="13">
        <f>(C39-VLOOKUP(A39,Raw_PrevDay!$A$2:$E$61,3,0))/VLOOKUP(A39,Raw_PrevDay!$A$2:$E$61,3,0)</f>
        <v/>
      </c>
      <c r="G39" s="12">
        <f>E39-VLOOKUP(A39,Raw_PrevDay!$A$2:$E$61,5,0)</f>
        <v/>
      </c>
      <c r="H39" s="13">
        <f>G39/VLOOKUP(A39,Raw_PrevDay!$A$2:$E$61,5,0)</f>
        <v/>
      </c>
      <c r="I39" s="14">
        <f>D39/VLOOKUP(A39,Raw_PrevDay!$A$2:$E$61,4,0)</f>
        <v/>
      </c>
      <c r="J39" s="10">
        <f>IF(AND(F39&gt;0,G39&gt;0),"Long Buildup",IF(AND(F39&lt;0,G39&gt;0),"Short Buildup",IF(AND(F39&lt;0,G39&lt;0),"Long Unwinding",IF(AND(F39&gt;0,G39&lt;0),"Short Covering","Neutral"))))</f>
        <v/>
      </c>
      <c r="K39" s="13">
        <f>IF(F39&gt;0,F39,0)</f>
        <v/>
      </c>
      <c r="L39" s="13">
        <f>IF(F39&lt;0,F39,0)</f>
        <v/>
      </c>
      <c r="M39" s="13">
        <f>IF(J39="Long Buildup",H39,0)</f>
        <v/>
      </c>
    </row>
    <row r="40">
      <c r="A40" s="10" t="inlineStr">
        <is>
          <t>AUROPHARMA</t>
        </is>
      </c>
      <c r="B40" s="10" t="inlineStr">
        <is>
          <t>Pharma</t>
        </is>
      </c>
      <c r="C40" s="11" t="n">
        <v>1863</v>
      </c>
      <c r="D40" s="12" t="n">
        <v>1904187</v>
      </c>
      <c r="E40" s="12" t="n">
        <v>18205038</v>
      </c>
      <c r="F40" s="13">
        <f>(C40-VLOOKUP(A40,Raw_PrevDay!$A$2:$E$61,3,0))/VLOOKUP(A40,Raw_PrevDay!$A$2:$E$61,3,0)</f>
        <v/>
      </c>
      <c r="G40" s="12">
        <f>E40-VLOOKUP(A40,Raw_PrevDay!$A$2:$E$61,5,0)</f>
        <v/>
      </c>
      <c r="H40" s="13">
        <f>G40/VLOOKUP(A40,Raw_PrevDay!$A$2:$E$61,5,0)</f>
        <v/>
      </c>
      <c r="I40" s="14">
        <f>D40/VLOOKUP(A40,Raw_PrevDay!$A$2:$E$61,4,0)</f>
        <v/>
      </c>
      <c r="J40" s="10">
        <f>IF(AND(F40&gt;0,G40&gt;0),"Long Buildup",IF(AND(F40&lt;0,G40&gt;0),"Short Buildup",IF(AND(F40&lt;0,G40&lt;0),"Long Unwinding",IF(AND(F40&gt;0,G40&lt;0),"Short Covering","Neutral"))))</f>
        <v/>
      </c>
      <c r="K40" s="13">
        <f>IF(F40&gt;0,F40,0)</f>
        <v/>
      </c>
      <c r="L40" s="13">
        <f>IF(F40&lt;0,F40,0)</f>
        <v/>
      </c>
      <c r="M40" s="13">
        <f>IF(J40="Long Buildup",H40,0)</f>
        <v/>
      </c>
    </row>
    <row r="41">
      <c r="A41" s="10" t="inlineStr">
        <is>
          <t>HINDUNILVR</t>
        </is>
      </c>
      <c r="B41" s="10" t="inlineStr">
        <is>
          <t>FMCG</t>
        </is>
      </c>
      <c r="C41" s="11" t="n">
        <v>1260</v>
      </c>
      <c r="D41" s="12" t="n">
        <v>6460970</v>
      </c>
      <c r="E41" s="12" t="n">
        <v>6401189</v>
      </c>
      <c r="F41" s="13">
        <f>(C41-VLOOKUP(A41,Raw_PrevDay!$A$2:$E$61,3,0))/VLOOKUP(A41,Raw_PrevDay!$A$2:$E$61,3,0)</f>
        <v/>
      </c>
      <c r="G41" s="12">
        <f>E41-VLOOKUP(A41,Raw_PrevDay!$A$2:$E$61,5,0)</f>
        <v/>
      </c>
      <c r="H41" s="13">
        <f>G41/VLOOKUP(A41,Raw_PrevDay!$A$2:$E$61,5,0)</f>
        <v/>
      </c>
      <c r="I41" s="14">
        <f>D41/VLOOKUP(A41,Raw_PrevDay!$A$2:$E$61,4,0)</f>
        <v/>
      </c>
      <c r="J41" s="10">
        <f>IF(AND(F41&gt;0,G41&gt;0),"Long Buildup",IF(AND(F41&lt;0,G41&gt;0),"Short Buildup",IF(AND(F41&lt;0,G41&lt;0),"Long Unwinding",IF(AND(F41&gt;0,G41&lt;0),"Short Covering","Neutral"))))</f>
        <v/>
      </c>
      <c r="K41" s="13">
        <f>IF(F41&gt;0,F41,0)</f>
        <v/>
      </c>
      <c r="L41" s="13">
        <f>IF(F41&lt;0,F41,0)</f>
        <v/>
      </c>
      <c r="M41" s="13">
        <f>IF(J41="Long Buildup",H41,0)</f>
        <v/>
      </c>
    </row>
    <row r="42">
      <c r="A42" s="10" t="inlineStr">
        <is>
          <t>ITC</t>
        </is>
      </c>
      <c r="B42" s="10" t="inlineStr">
        <is>
          <t>FMCG</t>
        </is>
      </c>
      <c r="C42" s="11" t="n">
        <v>1407.66</v>
      </c>
      <c r="D42" s="12" t="n">
        <v>1824704</v>
      </c>
      <c r="E42" s="12" t="n">
        <v>11776789</v>
      </c>
      <c r="F42" s="13">
        <f>(C42-VLOOKUP(A42,Raw_PrevDay!$A$2:$E$61,3,0))/VLOOKUP(A42,Raw_PrevDay!$A$2:$E$61,3,0)</f>
        <v/>
      </c>
      <c r="G42" s="12">
        <f>E42-VLOOKUP(A42,Raw_PrevDay!$A$2:$E$61,5,0)</f>
        <v/>
      </c>
      <c r="H42" s="13">
        <f>G42/VLOOKUP(A42,Raw_PrevDay!$A$2:$E$61,5,0)</f>
        <v/>
      </c>
      <c r="I42" s="14">
        <f>D42/VLOOKUP(A42,Raw_PrevDay!$A$2:$E$61,4,0)</f>
        <v/>
      </c>
      <c r="J42" s="10">
        <f>IF(AND(F42&gt;0,G42&gt;0),"Long Buildup",IF(AND(F42&lt;0,G42&gt;0),"Short Buildup",IF(AND(F42&lt;0,G42&lt;0),"Long Unwinding",IF(AND(F42&gt;0,G42&lt;0),"Short Covering","Neutral"))))</f>
        <v/>
      </c>
      <c r="K42" s="13">
        <f>IF(F42&gt;0,F42,0)</f>
        <v/>
      </c>
      <c r="L42" s="13">
        <f>IF(F42&lt;0,F42,0)</f>
        <v/>
      </c>
      <c r="M42" s="13">
        <f>IF(J42="Long Buildup",H42,0)</f>
        <v/>
      </c>
    </row>
    <row r="43">
      <c r="A43" s="10" t="inlineStr">
        <is>
          <t>NESTLEIND</t>
        </is>
      </c>
      <c r="B43" s="10" t="inlineStr">
        <is>
          <t>FMCG</t>
        </is>
      </c>
      <c r="C43" s="11" t="n">
        <v>3454.77</v>
      </c>
      <c r="D43" s="12" t="n">
        <v>9360352</v>
      </c>
      <c r="E43" s="12" t="n">
        <v>43369590</v>
      </c>
      <c r="F43" s="13">
        <f>(C43-VLOOKUP(A43,Raw_PrevDay!$A$2:$E$61,3,0))/VLOOKUP(A43,Raw_PrevDay!$A$2:$E$61,3,0)</f>
        <v/>
      </c>
      <c r="G43" s="12">
        <f>E43-VLOOKUP(A43,Raw_PrevDay!$A$2:$E$61,5,0)</f>
        <v/>
      </c>
      <c r="H43" s="13">
        <f>G43/VLOOKUP(A43,Raw_PrevDay!$A$2:$E$61,5,0)</f>
        <v/>
      </c>
      <c r="I43" s="14">
        <f>D43/VLOOKUP(A43,Raw_PrevDay!$A$2:$E$61,4,0)</f>
        <v/>
      </c>
      <c r="J43" s="10">
        <f>IF(AND(F43&gt;0,G43&gt;0),"Long Buildup",IF(AND(F43&lt;0,G43&gt;0),"Short Buildup",IF(AND(F43&lt;0,G43&lt;0),"Long Unwinding",IF(AND(F43&gt;0,G43&lt;0),"Short Covering","Neutral"))))</f>
        <v/>
      </c>
      <c r="K43" s="13">
        <f>IF(F43&gt;0,F43,0)</f>
        <v/>
      </c>
      <c r="L43" s="13">
        <f>IF(F43&lt;0,F43,0)</f>
        <v/>
      </c>
      <c r="M43" s="13">
        <f>IF(J43="Long Buildup",H43,0)</f>
        <v/>
      </c>
    </row>
    <row r="44">
      <c r="A44" s="10" t="inlineStr">
        <is>
          <t>BRITANNIA</t>
        </is>
      </c>
      <c r="B44" s="10" t="inlineStr">
        <is>
          <t>FMCG</t>
        </is>
      </c>
      <c r="C44" s="11" t="n">
        <v>370.62</v>
      </c>
      <c r="D44" s="12" t="n">
        <v>11932042</v>
      </c>
      <c r="E44" s="12" t="n">
        <v>12280174</v>
      </c>
      <c r="F44" s="13">
        <f>(C44-VLOOKUP(A44,Raw_PrevDay!$A$2:$E$61,3,0))/VLOOKUP(A44,Raw_PrevDay!$A$2:$E$61,3,0)</f>
        <v/>
      </c>
      <c r="G44" s="12">
        <f>E44-VLOOKUP(A44,Raw_PrevDay!$A$2:$E$61,5,0)</f>
        <v/>
      </c>
      <c r="H44" s="13">
        <f>G44/VLOOKUP(A44,Raw_PrevDay!$A$2:$E$61,5,0)</f>
        <v/>
      </c>
      <c r="I44" s="14">
        <f>D44/VLOOKUP(A44,Raw_PrevDay!$A$2:$E$61,4,0)</f>
        <v/>
      </c>
      <c r="J44" s="10">
        <f>IF(AND(F44&gt;0,G44&gt;0),"Long Buildup",IF(AND(F44&lt;0,G44&gt;0),"Short Buildup",IF(AND(F44&lt;0,G44&lt;0),"Long Unwinding",IF(AND(F44&gt;0,G44&lt;0),"Short Covering","Neutral"))))</f>
        <v/>
      </c>
      <c r="K44" s="13">
        <f>IF(F44&gt;0,F44,0)</f>
        <v/>
      </c>
      <c r="L44" s="13">
        <f>IF(F44&lt;0,F44,0)</f>
        <v/>
      </c>
      <c r="M44" s="13">
        <f>IF(J44="Long Buildup",H44,0)</f>
        <v/>
      </c>
    </row>
    <row r="45">
      <c r="A45" s="10" t="inlineStr">
        <is>
          <t>DABUR</t>
        </is>
      </c>
      <c r="B45" s="10" t="inlineStr">
        <is>
          <t>FMCG</t>
        </is>
      </c>
      <c r="C45" s="11" t="n">
        <v>412.43</v>
      </c>
      <c r="D45" s="12" t="n">
        <v>457926</v>
      </c>
      <c r="E45" s="12" t="n">
        <v>43762098</v>
      </c>
      <c r="F45" s="13">
        <f>(C45-VLOOKUP(A45,Raw_PrevDay!$A$2:$E$61,3,0))/VLOOKUP(A45,Raw_PrevDay!$A$2:$E$61,3,0)</f>
        <v/>
      </c>
      <c r="G45" s="12">
        <f>E45-VLOOKUP(A45,Raw_PrevDay!$A$2:$E$61,5,0)</f>
        <v/>
      </c>
      <c r="H45" s="13">
        <f>G45/VLOOKUP(A45,Raw_PrevDay!$A$2:$E$61,5,0)</f>
        <v/>
      </c>
      <c r="I45" s="14">
        <f>D45/VLOOKUP(A45,Raw_PrevDay!$A$2:$E$61,4,0)</f>
        <v/>
      </c>
      <c r="J45" s="10">
        <f>IF(AND(F45&gt;0,G45&gt;0),"Long Buildup",IF(AND(F45&lt;0,G45&gt;0),"Short Buildup",IF(AND(F45&lt;0,G45&lt;0),"Long Unwinding",IF(AND(F45&gt;0,G45&lt;0),"Short Covering","Neutral"))))</f>
        <v/>
      </c>
      <c r="K45" s="13">
        <f>IF(F45&gt;0,F45,0)</f>
        <v/>
      </c>
      <c r="L45" s="13">
        <f>IF(F45&lt;0,F45,0)</f>
        <v/>
      </c>
      <c r="M45" s="13">
        <f>IF(J45="Long Buildup",H45,0)</f>
        <v/>
      </c>
    </row>
    <row r="46">
      <c r="A46" s="10" t="inlineStr">
        <is>
          <t>MARICO</t>
        </is>
      </c>
      <c r="B46" s="10" t="inlineStr">
        <is>
          <t>FMCG</t>
        </is>
      </c>
      <c r="C46" s="11" t="n">
        <v>175.78</v>
      </c>
      <c r="D46" s="12" t="n">
        <v>185545</v>
      </c>
      <c r="E46" s="12" t="n">
        <v>22610684</v>
      </c>
      <c r="F46" s="13">
        <f>(C46-VLOOKUP(A46,Raw_PrevDay!$A$2:$E$61,3,0))/VLOOKUP(A46,Raw_PrevDay!$A$2:$E$61,3,0)</f>
        <v/>
      </c>
      <c r="G46" s="12">
        <f>E46-VLOOKUP(A46,Raw_PrevDay!$A$2:$E$61,5,0)</f>
        <v/>
      </c>
      <c r="H46" s="13">
        <f>G46/VLOOKUP(A46,Raw_PrevDay!$A$2:$E$61,5,0)</f>
        <v/>
      </c>
      <c r="I46" s="14">
        <f>D46/VLOOKUP(A46,Raw_PrevDay!$A$2:$E$61,4,0)</f>
        <v/>
      </c>
      <c r="J46" s="10">
        <f>IF(AND(F46&gt;0,G46&gt;0),"Long Buildup",IF(AND(F46&lt;0,G46&gt;0),"Short Buildup",IF(AND(F46&lt;0,G46&lt;0),"Long Unwinding",IF(AND(F46&gt;0,G46&lt;0),"Short Covering","Neutral"))))</f>
        <v/>
      </c>
      <c r="K46" s="13">
        <f>IF(F46&gt;0,F46,0)</f>
        <v/>
      </c>
      <c r="L46" s="13">
        <f>IF(F46&lt;0,F46,0)</f>
        <v/>
      </c>
      <c r="M46" s="13">
        <f>IF(J46="Long Buildup",H46,0)</f>
        <v/>
      </c>
    </row>
    <row r="47">
      <c r="A47" s="10" t="inlineStr">
        <is>
          <t>GODREJCP</t>
        </is>
      </c>
      <c r="B47" s="10" t="inlineStr">
        <is>
          <t>FMCG</t>
        </is>
      </c>
      <c r="C47" s="11" t="n">
        <v>406.71</v>
      </c>
      <c r="D47" s="12" t="n">
        <v>11013303</v>
      </c>
      <c r="E47" s="12" t="n">
        <v>40380252</v>
      </c>
      <c r="F47" s="13">
        <f>(C47-VLOOKUP(A47,Raw_PrevDay!$A$2:$E$61,3,0))/VLOOKUP(A47,Raw_PrevDay!$A$2:$E$61,3,0)</f>
        <v/>
      </c>
      <c r="G47" s="12">
        <f>E47-VLOOKUP(A47,Raw_PrevDay!$A$2:$E$61,5,0)</f>
        <v/>
      </c>
      <c r="H47" s="13">
        <f>G47/VLOOKUP(A47,Raw_PrevDay!$A$2:$E$61,5,0)</f>
        <v/>
      </c>
      <c r="I47" s="14">
        <f>D47/VLOOKUP(A47,Raw_PrevDay!$A$2:$E$61,4,0)</f>
        <v/>
      </c>
      <c r="J47" s="10">
        <f>IF(AND(F47&gt;0,G47&gt;0),"Long Buildup",IF(AND(F47&lt;0,G47&gt;0),"Short Buildup",IF(AND(F47&lt;0,G47&lt;0),"Long Unwinding",IF(AND(F47&gt;0,G47&lt;0),"Short Covering","Neutral"))))</f>
        <v/>
      </c>
      <c r="K47" s="13">
        <f>IF(F47&gt;0,F47,0)</f>
        <v/>
      </c>
      <c r="L47" s="13">
        <f>IF(F47&lt;0,F47,0)</f>
        <v/>
      </c>
      <c r="M47" s="13">
        <f>IF(J47="Long Buildup",H47,0)</f>
        <v/>
      </c>
    </row>
    <row r="48">
      <c r="A48" s="10" t="inlineStr">
        <is>
          <t>TATASTEEL</t>
        </is>
      </c>
      <c r="B48" s="10" t="inlineStr">
        <is>
          <t>Metals</t>
        </is>
      </c>
      <c r="C48" s="11" t="n">
        <v>774.72</v>
      </c>
      <c r="D48" s="12" t="n">
        <v>13948238</v>
      </c>
      <c r="E48" s="12" t="n">
        <v>53780503</v>
      </c>
      <c r="F48" s="13">
        <f>(C48-VLOOKUP(A48,Raw_PrevDay!$A$2:$E$61,3,0))/VLOOKUP(A48,Raw_PrevDay!$A$2:$E$61,3,0)</f>
        <v/>
      </c>
      <c r="G48" s="12">
        <f>E48-VLOOKUP(A48,Raw_PrevDay!$A$2:$E$61,5,0)</f>
        <v/>
      </c>
      <c r="H48" s="13">
        <f>G48/VLOOKUP(A48,Raw_PrevDay!$A$2:$E$61,5,0)</f>
        <v/>
      </c>
      <c r="I48" s="14">
        <f>D48/VLOOKUP(A48,Raw_PrevDay!$A$2:$E$61,4,0)</f>
        <v/>
      </c>
      <c r="J48" s="10">
        <f>IF(AND(F48&gt;0,G48&gt;0),"Long Buildup",IF(AND(F48&lt;0,G48&gt;0),"Short Buildup",IF(AND(F48&lt;0,G48&lt;0),"Long Unwinding",IF(AND(F48&gt;0,G48&lt;0),"Short Covering","Neutral"))))</f>
        <v/>
      </c>
      <c r="K48" s="13">
        <f>IF(F48&gt;0,F48,0)</f>
        <v/>
      </c>
      <c r="L48" s="13">
        <f>IF(F48&lt;0,F48,0)</f>
        <v/>
      </c>
      <c r="M48" s="13">
        <f>IF(J48="Long Buildup",H48,0)</f>
        <v/>
      </c>
    </row>
    <row r="49">
      <c r="A49" s="10" t="inlineStr">
        <is>
          <t>JSWSTEEL</t>
        </is>
      </c>
      <c r="B49" s="10" t="inlineStr">
        <is>
          <t>Metals</t>
        </is>
      </c>
      <c r="C49" s="11" t="n">
        <v>1786.5</v>
      </c>
      <c r="D49" s="12" t="n">
        <v>2938671</v>
      </c>
      <c r="E49" s="12" t="n">
        <v>9154459</v>
      </c>
      <c r="F49" s="13">
        <f>(C49-VLOOKUP(A49,Raw_PrevDay!$A$2:$E$61,3,0))/VLOOKUP(A49,Raw_PrevDay!$A$2:$E$61,3,0)</f>
        <v/>
      </c>
      <c r="G49" s="12">
        <f>E49-VLOOKUP(A49,Raw_PrevDay!$A$2:$E$61,5,0)</f>
        <v/>
      </c>
      <c r="H49" s="13">
        <f>G49/VLOOKUP(A49,Raw_PrevDay!$A$2:$E$61,5,0)</f>
        <v/>
      </c>
      <c r="I49" s="14">
        <f>D49/VLOOKUP(A49,Raw_PrevDay!$A$2:$E$61,4,0)</f>
        <v/>
      </c>
      <c r="J49" s="10">
        <f>IF(AND(F49&gt;0,G49&gt;0),"Long Buildup",IF(AND(F49&lt;0,G49&gt;0),"Short Buildup",IF(AND(F49&lt;0,G49&lt;0),"Long Unwinding",IF(AND(F49&gt;0,G49&lt;0),"Short Covering","Neutral"))))</f>
        <v/>
      </c>
      <c r="K49" s="13">
        <f>IF(F49&gt;0,F49,0)</f>
        <v/>
      </c>
      <c r="L49" s="13">
        <f>IF(F49&lt;0,F49,0)</f>
        <v/>
      </c>
      <c r="M49" s="13">
        <f>IF(J49="Long Buildup",H49,0)</f>
        <v/>
      </c>
    </row>
    <row r="50">
      <c r="A50" s="10" t="inlineStr">
        <is>
          <t>HINDALCO</t>
        </is>
      </c>
      <c r="B50" s="10" t="inlineStr">
        <is>
          <t>Metals</t>
        </is>
      </c>
      <c r="C50" s="11" t="n">
        <v>2875.62</v>
      </c>
      <c r="D50" s="12" t="n">
        <v>2957265</v>
      </c>
      <c r="E50" s="12" t="n">
        <v>35711497</v>
      </c>
      <c r="F50" s="13">
        <f>(C50-VLOOKUP(A50,Raw_PrevDay!$A$2:$E$61,3,0))/VLOOKUP(A50,Raw_PrevDay!$A$2:$E$61,3,0)</f>
        <v/>
      </c>
      <c r="G50" s="12">
        <f>E50-VLOOKUP(A50,Raw_PrevDay!$A$2:$E$61,5,0)</f>
        <v/>
      </c>
      <c r="H50" s="13">
        <f>G50/VLOOKUP(A50,Raw_PrevDay!$A$2:$E$61,5,0)</f>
        <v/>
      </c>
      <c r="I50" s="14">
        <f>D50/VLOOKUP(A50,Raw_PrevDay!$A$2:$E$61,4,0)</f>
        <v/>
      </c>
      <c r="J50" s="10">
        <f>IF(AND(F50&gt;0,G50&gt;0),"Long Buildup",IF(AND(F50&lt;0,G50&gt;0),"Short Buildup",IF(AND(F50&lt;0,G50&lt;0),"Long Unwinding",IF(AND(F50&gt;0,G50&lt;0),"Short Covering","Neutral"))))</f>
        <v/>
      </c>
      <c r="K50" s="13">
        <f>IF(F50&gt;0,F50,0)</f>
        <v/>
      </c>
      <c r="L50" s="13">
        <f>IF(F50&lt;0,F50,0)</f>
        <v/>
      </c>
      <c r="M50" s="13">
        <f>IF(J50="Long Buildup",H50,0)</f>
        <v/>
      </c>
    </row>
    <row r="51">
      <c r="A51" s="10" t="inlineStr">
        <is>
          <t>VEDL</t>
        </is>
      </c>
      <c r="B51" s="10" t="inlineStr">
        <is>
          <t>Metals</t>
        </is>
      </c>
      <c r="C51" s="11" t="n">
        <v>1105.31</v>
      </c>
      <c r="D51" s="12" t="n">
        <v>3826238</v>
      </c>
      <c r="E51" s="12" t="n">
        <v>19089896</v>
      </c>
      <c r="F51" s="13">
        <f>(C51-VLOOKUP(A51,Raw_PrevDay!$A$2:$E$61,3,0))/VLOOKUP(A51,Raw_PrevDay!$A$2:$E$61,3,0)</f>
        <v/>
      </c>
      <c r="G51" s="12">
        <f>E51-VLOOKUP(A51,Raw_PrevDay!$A$2:$E$61,5,0)</f>
        <v/>
      </c>
      <c r="H51" s="13">
        <f>G51/VLOOKUP(A51,Raw_PrevDay!$A$2:$E$61,5,0)</f>
        <v/>
      </c>
      <c r="I51" s="14">
        <f>D51/VLOOKUP(A51,Raw_PrevDay!$A$2:$E$61,4,0)</f>
        <v/>
      </c>
      <c r="J51" s="10">
        <f>IF(AND(F51&gt;0,G51&gt;0),"Long Buildup",IF(AND(F51&lt;0,G51&gt;0),"Short Buildup",IF(AND(F51&lt;0,G51&lt;0),"Long Unwinding",IF(AND(F51&gt;0,G51&lt;0),"Short Covering","Neutral"))))</f>
        <v/>
      </c>
      <c r="K51" s="13">
        <f>IF(F51&gt;0,F51,0)</f>
        <v/>
      </c>
      <c r="L51" s="13">
        <f>IF(F51&lt;0,F51,0)</f>
        <v/>
      </c>
      <c r="M51" s="13">
        <f>IF(J51="Long Buildup",H51,0)</f>
        <v/>
      </c>
    </row>
    <row r="52">
      <c r="A52" s="10" t="inlineStr">
        <is>
          <t>COALINDIA</t>
        </is>
      </c>
      <c r="B52" s="10" t="inlineStr">
        <is>
          <t>Metals</t>
        </is>
      </c>
      <c r="C52" s="11" t="n">
        <v>816.35</v>
      </c>
      <c r="D52" s="12" t="n">
        <v>19106062</v>
      </c>
      <c r="E52" s="12" t="n">
        <v>33305842</v>
      </c>
      <c r="F52" s="13">
        <f>(C52-VLOOKUP(A52,Raw_PrevDay!$A$2:$E$61,3,0))/VLOOKUP(A52,Raw_PrevDay!$A$2:$E$61,3,0)</f>
        <v/>
      </c>
      <c r="G52" s="12">
        <f>E52-VLOOKUP(A52,Raw_PrevDay!$A$2:$E$61,5,0)</f>
        <v/>
      </c>
      <c r="H52" s="13">
        <f>G52/VLOOKUP(A52,Raw_PrevDay!$A$2:$E$61,5,0)</f>
        <v/>
      </c>
      <c r="I52" s="14">
        <f>D52/VLOOKUP(A52,Raw_PrevDay!$A$2:$E$61,4,0)</f>
        <v/>
      </c>
      <c r="J52" s="10">
        <f>IF(AND(F52&gt;0,G52&gt;0),"Long Buildup",IF(AND(F52&lt;0,G52&gt;0),"Short Buildup",IF(AND(F52&lt;0,G52&lt;0),"Long Unwinding",IF(AND(F52&gt;0,G52&lt;0),"Short Covering","Neutral"))))</f>
        <v/>
      </c>
      <c r="K52" s="13">
        <f>IF(F52&gt;0,F52,0)</f>
        <v/>
      </c>
      <c r="L52" s="13">
        <f>IF(F52&lt;0,F52,0)</f>
        <v/>
      </c>
      <c r="M52" s="13">
        <f>IF(J52="Long Buildup",H52,0)</f>
        <v/>
      </c>
    </row>
    <row r="53">
      <c r="A53" s="10" t="inlineStr">
        <is>
          <t>NMDC</t>
        </is>
      </c>
      <c r="B53" s="10" t="inlineStr">
        <is>
          <t>Metals</t>
        </is>
      </c>
      <c r="C53" s="11" t="n">
        <v>2481.53</v>
      </c>
      <c r="D53" s="12" t="n">
        <v>3539292</v>
      </c>
      <c r="E53" s="12" t="n">
        <v>10458337</v>
      </c>
      <c r="F53" s="13">
        <f>(C53-VLOOKUP(A53,Raw_PrevDay!$A$2:$E$61,3,0))/VLOOKUP(A53,Raw_PrevDay!$A$2:$E$61,3,0)</f>
        <v/>
      </c>
      <c r="G53" s="12">
        <f>E53-VLOOKUP(A53,Raw_PrevDay!$A$2:$E$61,5,0)</f>
        <v/>
      </c>
      <c r="H53" s="13">
        <f>G53/VLOOKUP(A53,Raw_PrevDay!$A$2:$E$61,5,0)</f>
        <v/>
      </c>
      <c r="I53" s="14">
        <f>D53/VLOOKUP(A53,Raw_PrevDay!$A$2:$E$61,4,0)</f>
        <v/>
      </c>
      <c r="J53" s="10">
        <f>IF(AND(F53&gt;0,G53&gt;0),"Long Buildup",IF(AND(F53&lt;0,G53&gt;0),"Short Buildup",IF(AND(F53&lt;0,G53&lt;0),"Long Unwinding",IF(AND(F53&gt;0,G53&lt;0),"Short Covering","Neutral"))))</f>
        <v/>
      </c>
      <c r="K53" s="13">
        <f>IF(F53&gt;0,F53,0)</f>
        <v/>
      </c>
      <c r="L53" s="13">
        <f>IF(F53&lt;0,F53,0)</f>
        <v/>
      </c>
      <c r="M53" s="13">
        <f>IF(J53="Long Buildup",H53,0)</f>
        <v/>
      </c>
    </row>
    <row r="54">
      <c r="A54" s="10" t="inlineStr">
        <is>
          <t>SAIL</t>
        </is>
      </c>
      <c r="B54" s="10" t="inlineStr">
        <is>
          <t>Metals</t>
        </is>
      </c>
      <c r="C54" s="11" t="n">
        <v>1811.57</v>
      </c>
      <c r="D54" s="12" t="n">
        <v>1700882</v>
      </c>
      <c r="E54" s="12" t="n">
        <v>15294663</v>
      </c>
      <c r="F54" s="13">
        <f>(C54-VLOOKUP(A54,Raw_PrevDay!$A$2:$E$61,3,0))/VLOOKUP(A54,Raw_PrevDay!$A$2:$E$61,3,0)</f>
        <v/>
      </c>
      <c r="G54" s="12">
        <f>E54-VLOOKUP(A54,Raw_PrevDay!$A$2:$E$61,5,0)</f>
        <v/>
      </c>
      <c r="H54" s="13">
        <f>G54/VLOOKUP(A54,Raw_PrevDay!$A$2:$E$61,5,0)</f>
        <v/>
      </c>
      <c r="I54" s="14">
        <f>D54/VLOOKUP(A54,Raw_PrevDay!$A$2:$E$61,4,0)</f>
        <v/>
      </c>
      <c r="J54" s="10">
        <f>IF(AND(F54&gt;0,G54&gt;0),"Long Buildup",IF(AND(F54&lt;0,G54&gt;0),"Short Buildup",IF(AND(F54&lt;0,G54&lt;0),"Long Unwinding",IF(AND(F54&gt;0,G54&lt;0),"Short Covering","Neutral"))))</f>
        <v/>
      </c>
      <c r="K54" s="13">
        <f>IF(F54&gt;0,F54,0)</f>
        <v/>
      </c>
      <c r="L54" s="13">
        <f>IF(F54&lt;0,F54,0)</f>
        <v/>
      </c>
      <c r="M54" s="13">
        <f>IF(J54="Long Buildup",H54,0)</f>
        <v/>
      </c>
    </row>
    <row r="55">
      <c r="A55" s="10" t="inlineStr">
        <is>
          <t>DLF</t>
        </is>
      </c>
      <c r="B55" s="10" t="inlineStr">
        <is>
          <t>Realty</t>
        </is>
      </c>
      <c r="C55" s="11" t="n">
        <v>1331.28</v>
      </c>
      <c r="D55" s="12" t="n">
        <v>6400803</v>
      </c>
      <c r="E55" s="12" t="n">
        <v>34399900</v>
      </c>
      <c r="F55" s="13">
        <f>(C55-VLOOKUP(A55,Raw_PrevDay!$A$2:$E$61,3,0))/VLOOKUP(A55,Raw_PrevDay!$A$2:$E$61,3,0)</f>
        <v/>
      </c>
      <c r="G55" s="12">
        <f>E55-VLOOKUP(A55,Raw_PrevDay!$A$2:$E$61,5,0)</f>
        <v/>
      </c>
      <c r="H55" s="13">
        <f>G55/VLOOKUP(A55,Raw_PrevDay!$A$2:$E$61,5,0)</f>
        <v/>
      </c>
      <c r="I55" s="14">
        <f>D55/VLOOKUP(A55,Raw_PrevDay!$A$2:$E$61,4,0)</f>
        <v/>
      </c>
      <c r="J55" s="10">
        <f>IF(AND(F55&gt;0,G55&gt;0),"Long Buildup",IF(AND(F55&lt;0,G55&gt;0),"Short Buildup",IF(AND(F55&lt;0,G55&lt;0),"Long Unwinding",IF(AND(F55&gt;0,G55&lt;0),"Short Covering","Neutral"))))</f>
        <v/>
      </c>
      <c r="K55" s="13">
        <f>IF(F55&gt;0,F55,0)</f>
        <v/>
      </c>
      <c r="L55" s="13">
        <f>IF(F55&lt;0,F55,0)</f>
        <v/>
      </c>
      <c r="M55" s="13">
        <f>IF(J55="Long Buildup",H55,0)</f>
        <v/>
      </c>
    </row>
    <row r="56">
      <c r="A56" s="10" t="inlineStr">
        <is>
          <t>GODREJPROP</t>
        </is>
      </c>
      <c r="B56" s="10" t="inlineStr">
        <is>
          <t>Realty</t>
        </is>
      </c>
      <c r="C56" s="11" t="n">
        <v>1945.8</v>
      </c>
      <c r="D56" s="12" t="n">
        <v>5845785</v>
      </c>
      <c r="E56" s="12" t="n">
        <v>56864213</v>
      </c>
      <c r="F56" s="13">
        <f>(C56-VLOOKUP(A56,Raw_PrevDay!$A$2:$E$61,3,0))/VLOOKUP(A56,Raw_PrevDay!$A$2:$E$61,3,0)</f>
        <v/>
      </c>
      <c r="G56" s="12">
        <f>E56-VLOOKUP(A56,Raw_PrevDay!$A$2:$E$61,5,0)</f>
        <v/>
      </c>
      <c r="H56" s="13">
        <f>G56/VLOOKUP(A56,Raw_PrevDay!$A$2:$E$61,5,0)</f>
        <v/>
      </c>
      <c r="I56" s="14">
        <f>D56/VLOOKUP(A56,Raw_PrevDay!$A$2:$E$61,4,0)</f>
        <v/>
      </c>
      <c r="J56" s="10">
        <f>IF(AND(F56&gt;0,G56&gt;0),"Long Buildup",IF(AND(F56&lt;0,G56&gt;0),"Short Buildup",IF(AND(F56&lt;0,G56&lt;0),"Long Unwinding",IF(AND(F56&gt;0,G56&lt;0),"Short Covering","Neutral"))))</f>
        <v/>
      </c>
      <c r="K56" s="13">
        <f>IF(F56&gt;0,F56,0)</f>
        <v/>
      </c>
      <c r="L56" s="13">
        <f>IF(F56&lt;0,F56,0)</f>
        <v/>
      </c>
      <c r="M56" s="13">
        <f>IF(J56="Long Buildup",H56,0)</f>
        <v/>
      </c>
    </row>
    <row r="57">
      <c r="A57" s="10" t="inlineStr">
        <is>
          <t>OBEROIRLTY</t>
        </is>
      </c>
      <c r="B57" s="10" t="inlineStr">
        <is>
          <t>Realty</t>
        </is>
      </c>
      <c r="C57" s="11" t="n">
        <v>290.47</v>
      </c>
      <c r="D57" s="12" t="n">
        <v>2143915</v>
      </c>
      <c r="E57" s="12" t="n">
        <v>42536509</v>
      </c>
      <c r="F57" s="13">
        <f>(C57-VLOOKUP(A57,Raw_PrevDay!$A$2:$E$61,3,0))/VLOOKUP(A57,Raw_PrevDay!$A$2:$E$61,3,0)</f>
        <v/>
      </c>
      <c r="G57" s="12">
        <f>E57-VLOOKUP(A57,Raw_PrevDay!$A$2:$E$61,5,0)</f>
        <v/>
      </c>
      <c r="H57" s="13">
        <f>G57/VLOOKUP(A57,Raw_PrevDay!$A$2:$E$61,5,0)</f>
        <v/>
      </c>
      <c r="I57" s="14">
        <f>D57/VLOOKUP(A57,Raw_PrevDay!$A$2:$E$61,4,0)</f>
        <v/>
      </c>
      <c r="J57" s="10">
        <f>IF(AND(F57&gt;0,G57&gt;0),"Long Buildup",IF(AND(F57&lt;0,G57&gt;0),"Short Buildup",IF(AND(F57&lt;0,G57&lt;0),"Long Unwinding",IF(AND(F57&gt;0,G57&lt;0),"Short Covering","Neutral"))))</f>
        <v/>
      </c>
      <c r="K57" s="13">
        <f>IF(F57&gt;0,F57,0)</f>
        <v/>
      </c>
      <c r="L57" s="13">
        <f>IF(F57&lt;0,F57,0)</f>
        <v/>
      </c>
      <c r="M57" s="13">
        <f>IF(J57="Long Buildup",H57,0)</f>
        <v/>
      </c>
    </row>
    <row r="58">
      <c r="A58" s="10" t="inlineStr">
        <is>
          <t>PRESTIGE</t>
        </is>
      </c>
      <c r="B58" s="10" t="inlineStr">
        <is>
          <t>Realty</t>
        </is>
      </c>
      <c r="C58" s="11" t="n">
        <v>1315.4</v>
      </c>
      <c r="D58" s="12" t="n">
        <v>3806374</v>
      </c>
      <c r="E58" s="12" t="n">
        <v>11382630</v>
      </c>
      <c r="F58" s="13">
        <f>(C58-VLOOKUP(A58,Raw_PrevDay!$A$2:$E$61,3,0))/VLOOKUP(A58,Raw_PrevDay!$A$2:$E$61,3,0)</f>
        <v/>
      </c>
      <c r="G58" s="12">
        <f>E58-VLOOKUP(A58,Raw_PrevDay!$A$2:$E$61,5,0)</f>
        <v/>
      </c>
      <c r="H58" s="13">
        <f>G58/VLOOKUP(A58,Raw_PrevDay!$A$2:$E$61,5,0)</f>
        <v/>
      </c>
      <c r="I58" s="14">
        <f>D58/VLOOKUP(A58,Raw_PrevDay!$A$2:$E$61,4,0)</f>
        <v/>
      </c>
      <c r="J58" s="10">
        <f>IF(AND(F58&gt;0,G58&gt;0),"Long Buildup",IF(AND(F58&lt;0,G58&gt;0),"Short Buildup",IF(AND(F58&lt;0,G58&lt;0),"Long Unwinding",IF(AND(F58&gt;0,G58&lt;0),"Short Covering","Neutral"))))</f>
        <v/>
      </c>
      <c r="K58" s="13">
        <f>IF(F58&gt;0,F58,0)</f>
        <v/>
      </c>
      <c r="L58" s="13">
        <f>IF(F58&lt;0,F58,0)</f>
        <v/>
      </c>
      <c r="M58" s="13">
        <f>IF(J58="Long Buildup",H58,0)</f>
        <v/>
      </c>
    </row>
    <row r="59">
      <c r="A59" s="10" t="inlineStr">
        <is>
          <t>SOBHA</t>
        </is>
      </c>
      <c r="B59" s="10" t="inlineStr">
        <is>
          <t>Realty</t>
        </is>
      </c>
      <c r="C59" s="11" t="n">
        <v>629.22</v>
      </c>
      <c r="D59" s="12" t="n">
        <v>6627743</v>
      </c>
      <c r="E59" s="12" t="n">
        <v>34946530</v>
      </c>
      <c r="F59" s="13">
        <f>(C59-VLOOKUP(A59,Raw_PrevDay!$A$2:$E$61,3,0))/VLOOKUP(A59,Raw_PrevDay!$A$2:$E$61,3,0)</f>
        <v/>
      </c>
      <c r="G59" s="12">
        <f>E59-VLOOKUP(A59,Raw_PrevDay!$A$2:$E$61,5,0)</f>
        <v/>
      </c>
      <c r="H59" s="13">
        <f>G59/VLOOKUP(A59,Raw_PrevDay!$A$2:$E$61,5,0)</f>
        <v/>
      </c>
      <c r="I59" s="14">
        <f>D59/VLOOKUP(A59,Raw_PrevDay!$A$2:$E$61,4,0)</f>
        <v/>
      </c>
      <c r="J59" s="10">
        <f>IF(AND(F59&gt;0,G59&gt;0),"Long Buildup",IF(AND(F59&lt;0,G59&gt;0),"Short Buildup",IF(AND(F59&lt;0,G59&lt;0),"Long Unwinding",IF(AND(F59&gt;0,G59&lt;0),"Short Covering","Neutral"))))</f>
        <v/>
      </c>
      <c r="K59" s="13">
        <f>IF(F59&gt;0,F59,0)</f>
        <v/>
      </c>
      <c r="L59" s="13">
        <f>IF(F59&lt;0,F59,0)</f>
        <v/>
      </c>
      <c r="M59" s="13">
        <f>IF(J59="Long Buildup",H59,0)</f>
        <v/>
      </c>
    </row>
    <row r="60">
      <c r="A60" s="10" t="inlineStr">
        <is>
          <t>BRIGADE</t>
        </is>
      </c>
      <c r="B60" s="10" t="inlineStr">
        <is>
          <t>Realty</t>
        </is>
      </c>
      <c r="C60" s="11" t="n">
        <v>353.77</v>
      </c>
      <c r="D60" s="12" t="n">
        <v>7909894</v>
      </c>
      <c r="E60" s="12" t="n">
        <v>46763042</v>
      </c>
      <c r="F60" s="13">
        <f>(C60-VLOOKUP(A60,Raw_PrevDay!$A$2:$E$61,3,0))/VLOOKUP(A60,Raw_PrevDay!$A$2:$E$61,3,0)</f>
        <v/>
      </c>
      <c r="G60" s="12">
        <f>E60-VLOOKUP(A60,Raw_PrevDay!$A$2:$E$61,5,0)</f>
        <v/>
      </c>
      <c r="H60" s="13">
        <f>G60/VLOOKUP(A60,Raw_PrevDay!$A$2:$E$61,5,0)</f>
        <v/>
      </c>
      <c r="I60" s="14">
        <f>D60/VLOOKUP(A60,Raw_PrevDay!$A$2:$E$61,4,0)</f>
        <v/>
      </c>
      <c r="J60" s="10">
        <f>IF(AND(F60&gt;0,G60&gt;0),"Long Buildup",IF(AND(F60&lt;0,G60&gt;0),"Short Buildup",IF(AND(F60&lt;0,G60&lt;0),"Long Unwinding",IF(AND(F60&gt;0,G60&lt;0),"Short Covering","Neutral"))))</f>
        <v/>
      </c>
      <c r="K60" s="13">
        <f>IF(F60&gt;0,F60,0)</f>
        <v/>
      </c>
      <c r="L60" s="13">
        <f>IF(F60&lt;0,F60,0)</f>
        <v/>
      </c>
      <c r="M60" s="13">
        <f>IF(J60="Long Buildup",H60,0)</f>
        <v/>
      </c>
    </row>
    <row r="61">
      <c r="A61" s="10" t="inlineStr">
        <is>
          <t>PHOENIXLTD</t>
        </is>
      </c>
      <c r="B61" s="10" t="inlineStr">
        <is>
          <t>Realty</t>
        </is>
      </c>
      <c r="C61" s="11" t="n">
        <v>456.65</v>
      </c>
      <c r="D61" s="12" t="n">
        <v>1455199</v>
      </c>
      <c r="E61" s="12" t="n">
        <v>27553378</v>
      </c>
      <c r="F61" s="13">
        <f>(C61-VLOOKUP(A61,Raw_PrevDay!$A$2:$E$61,3,0))/VLOOKUP(A61,Raw_PrevDay!$A$2:$E$61,3,0)</f>
        <v/>
      </c>
      <c r="G61" s="12">
        <f>E61-VLOOKUP(A61,Raw_PrevDay!$A$2:$E$61,5,0)</f>
        <v/>
      </c>
      <c r="H61" s="13">
        <f>G61/VLOOKUP(A61,Raw_PrevDay!$A$2:$E$61,5,0)</f>
        <v/>
      </c>
      <c r="I61" s="14">
        <f>D61/VLOOKUP(A61,Raw_PrevDay!$A$2:$E$61,4,0)</f>
        <v/>
      </c>
      <c r="J61" s="10">
        <f>IF(AND(F61&gt;0,G61&gt;0),"Long Buildup",IF(AND(F61&lt;0,G61&gt;0),"Short Buildup",IF(AND(F61&lt;0,G61&lt;0),"Long Unwinding",IF(AND(F61&gt;0,G61&lt;0),"Short Covering","Neutral"))))</f>
        <v/>
      </c>
      <c r="K61" s="13">
        <f>IF(F61&gt;0,F61,0)</f>
        <v/>
      </c>
      <c r="L61" s="13">
        <f>IF(F61&lt;0,F61,0)</f>
        <v/>
      </c>
      <c r="M61" s="13">
        <f>IF(J61="Long Buildup",H61,0)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11" customWidth="1" min="3" max="3"/>
    <col width="6" customWidth="1" min="5" max="5"/>
    <col width="13" customWidth="1" min="6" max="6"/>
    <col width="11" customWidth="1" min="7" max="7"/>
  </cols>
  <sheetData>
    <row r="1">
      <c r="A1" s="15" t="inlineStr">
        <is>
          <t>Top 10 Gainers</t>
        </is>
      </c>
      <c r="E1" s="16" t="inlineStr">
        <is>
          <t>Top 10 Losers</t>
        </is>
      </c>
    </row>
    <row r="2">
      <c r="A2" s="9" t="inlineStr">
        <is>
          <t>Rank</t>
        </is>
      </c>
      <c r="B2" s="9" t="inlineStr">
        <is>
          <t>Ticker</t>
        </is>
      </c>
      <c r="C2" s="9" t="inlineStr">
        <is>
          <t>% Change</t>
        </is>
      </c>
      <c r="D2" s="9" t="n"/>
      <c r="E2" s="9" t="inlineStr">
        <is>
          <t>Rank</t>
        </is>
      </c>
      <c r="F2" s="9" t="inlineStr">
        <is>
          <t>Ticker</t>
        </is>
      </c>
      <c r="G2" s="9" t="inlineStr">
        <is>
          <t>% Change</t>
        </is>
      </c>
    </row>
    <row r="3">
      <c r="A3" s="10" t="n">
        <v>1</v>
      </c>
      <c r="B3" s="10">
        <f>INDEX(Raw_Today!$A$2:$A$61,MATCH(LARGE(Raw_Today!$K$2:$K$61,A3),Raw_Today!$K$2:$K$61,0))</f>
        <v/>
      </c>
      <c r="C3" s="13">
        <f>LARGE(Raw_Today!$K$2:$K$61,A3)</f>
        <v/>
      </c>
      <c r="D3" s="10" t="n"/>
      <c r="E3" s="10" t="n">
        <v>1</v>
      </c>
      <c r="F3" s="10">
        <f>INDEX(Raw_Today!$A$2:$A$61,MATCH(SMALL(Raw_Today!$L$2:$L$61,E3),Raw_Today!$L$2:$L$61,0))</f>
        <v/>
      </c>
      <c r="G3" s="13">
        <f>SMALL(Raw_Today!$L$2:$L$61,E3)</f>
        <v/>
      </c>
    </row>
    <row r="4">
      <c r="A4" s="10" t="n">
        <v>2</v>
      </c>
      <c r="B4" s="10">
        <f>INDEX(Raw_Today!$A$2:$A$61,MATCH(LARGE(Raw_Today!$K$2:$K$61,A4),Raw_Today!$K$2:$K$61,0))</f>
        <v/>
      </c>
      <c r="C4" s="13">
        <f>LARGE(Raw_Today!$K$2:$K$61,A4)</f>
        <v/>
      </c>
      <c r="D4" s="10" t="n"/>
      <c r="E4" s="10" t="n">
        <v>2</v>
      </c>
      <c r="F4" s="10">
        <f>INDEX(Raw_Today!$A$2:$A$61,MATCH(SMALL(Raw_Today!$L$2:$L$61,E4),Raw_Today!$L$2:$L$61,0))</f>
        <v/>
      </c>
      <c r="G4" s="13">
        <f>SMALL(Raw_Today!$L$2:$L$61,E4)</f>
        <v/>
      </c>
    </row>
    <row r="5">
      <c r="A5" s="10" t="n">
        <v>3</v>
      </c>
      <c r="B5" s="10">
        <f>INDEX(Raw_Today!$A$2:$A$61,MATCH(LARGE(Raw_Today!$K$2:$K$61,A5),Raw_Today!$K$2:$K$61,0))</f>
        <v/>
      </c>
      <c r="C5" s="13">
        <f>LARGE(Raw_Today!$K$2:$K$61,A5)</f>
        <v/>
      </c>
      <c r="D5" s="10" t="n"/>
      <c r="E5" s="10" t="n">
        <v>3</v>
      </c>
      <c r="F5" s="10">
        <f>INDEX(Raw_Today!$A$2:$A$61,MATCH(SMALL(Raw_Today!$L$2:$L$61,E5),Raw_Today!$L$2:$L$61,0))</f>
        <v/>
      </c>
      <c r="G5" s="13">
        <f>SMALL(Raw_Today!$L$2:$L$61,E5)</f>
        <v/>
      </c>
    </row>
    <row r="6">
      <c r="A6" s="10" t="n">
        <v>4</v>
      </c>
      <c r="B6" s="10">
        <f>INDEX(Raw_Today!$A$2:$A$61,MATCH(LARGE(Raw_Today!$K$2:$K$61,A6),Raw_Today!$K$2:$K$61,0))</f>
        <v/>
      </c>
      <c r="C6" s="13">
        <f>LARGE(Raw_Today!$K$2:$K$61,A6)</f>
        <v/>
      </c>
      <c r="D6" s="10" t="n"/>
      <c r="E6" s="10" t="n">
        <v>4</v>
      </c>
      <c r="F6" s="10">
        <f>INDEX(Raw_Today!$A$2:$A$61,MATCH(SMALL(Raw_Today!$L$2:$L$61,E6),Raw_Today!$L$2:$L$61,0))</f>
        <v/>
      </c>
      <c r="G6" s="13">
        <f>SMALL(Raw_Today!$L$2:$L$61,E6)</f>
        <v/>
      </c>
    </row>
    <row r="7">
      <c r="A7" s="10" t="n">
        <v>5</v>
      </c>
      <c r="B7" s="10">
        <f>INDEX(Raw_Today!$A$2:$A$61,MATCH(LARGE(Raw_Today!$K$2:$K$61,A7),Raw_Today!$K$2:$K$61,0))</f>
        <v/>
      </c>
      <c r="C7" s="13">
        <f>LARGE(Raw_Today!$K$2:$K$61,A7)</f>
        <v/>
      </c>
      <c r="D7" s="10" t="n"/>
      <c r="E7" s="10" t="n">
        <v>5</v>
      </c>
      <c r="F7" s="10">
        <f>INDEX(Raw_Today!$A$2:$A$61,MATCH(SMALL(Raw_Today!$L$2:$L$61,E7),Raw_Today!$L$2:$L$61,0))</f>
        <v/>
      </c>
      <c r="G7" s="13">
        <f>SMALL(Raw_Today!$L$2:$L$61,E7)</f>
        <v/>
      </c>
    </row>
    <row r="8">
      <c r="A8" s="10" t="n">
        <v>6</v>
      </c>
      <c r="B8" s="10">
        <f>INDEX(Raw_Today!$A$2:$A$61,MATCH(LARGE(Raw_Today!$K$2:$K$61,A8),Raw_Today!$K$2:$K$61,0))</f>
        <v/>
      </c>
      <c r="C8" s="13">
        <f>LARGE(Raw_Today!$K$2:$K$61,A8)</f>
        <v/>
      </c>
      <c r="D8" s="10" t="n"/>
      <c r="E8" s="10" t="n">
        <v>6</v>
      </c>
      <c r="F8" s="10">
        <f>INDEX(Raw_Today!$A$2:$A$61,MATCH(SMALL(Raw_Today!$L$2:$L$61,E8),Raw_Today!$L$2:$L$61,0))</f>
        <v/>
      </c>
      <c r="G8" s="13">
        <f>SMALL(Raw_Today!$L$2:$L$61,E8)</f>
        <v/>
      </c>
    </row>
    <row r="9">
      <c r="A9" s="10" t="n">
        <v>7</v>
      </c>
      <c r="B9" s="10">
        <f>INDEX(Raw_Today!$A$2:$A$61,MATCH(LARGE(Raw_Today!$K$2:$K$61,A9),Raw_Today!$K$2:$K$61,0))</f>
        <v/>
      </c>
      <c r="C9" s="13">
        <f>LARGE(Raw_Today!$K$2:$K$61,A9)</f>
        <v/>
      </c>
      <c r="D9" s="10" t="n"/>
      <c r="E9" s="10" t="n">
        <v>7</v>
      </c>
      <c r="F9" s="10">
        <f>INDEX(Raw_Today!$A$2:$A$61,MATCH(SMALL(Raw_Today!$L$2:$L$61,E9),Raw_Today!$L$2:$L$61,0))</f>
        <v/>
      </c>
      <c r="G9" s="13">
        <f>SMALL(Raw_Today!$L$2:$L$61,E9)</f>
        <v/>
      </c>
    </row>
    <row r="10">
      <c r="A10" s="10" t="n">
        <v>8</v>
      </c>
      <c r="B10" s="10">
        <f>INDEX(Raw_Today!$A$2:$A$61,MATCH(LARGE(Raw_Today!$K$2:$K$61,A10),Raw_Today!$K$2:$K$61,0))</f>
        <v/>
      </c>
      <c r="C10" s="13">
        <f>LARGE(Raw_Today!$K$2:$K$61,A10)</f>
        <v/>
      </c>
      <c r="D10" s="10" t="n"/>
      <c r="E10" s="10" t="n">
        <v>8</v>
      </c>
      <c r="F10" s="10">
        <f>INDEX(Raw_Today!$A$2:$A$61,MATCH(SMALL(Raw_Today!$L$2:$L$61,E10),Raw_Today!$L$2:$L$61,0))</f>
        <v/>
      </c>
      <c r="G10" s="13">
        <f>SMALL(Raw_Today!$L$2:$L$61,E10)</f>
        <v/>
      </c>
    </row>
    <row r="11">
      <c r="A11" s="10" t="n">
        <v>9</v>
      </c>
      <c r="B11" s="10">
        <f>INDEX(Raw_Today!$A$2:$A$61,MATCH(LARGE(Raw_Today!$K$2:$K$61,A11),Raw_Today!$K$2:$K$61,0))</f>
        <v/>
      </c>
      <c r="C11" s="13">
        <f>LARGE(Raw_Today!$K$2:$K$61,A11)</f>
        <v/>
      </c>
      <c r="D11" s="10" t="n"/>
      <c r="E11" s="10" t="n">
        <v>9</v>
      </c>
      <c r="F11" s="10">
        <f>INDEX(Raw_Today!$A$2:$A$61,MATCH(SMALL(Raw_Today!$L$2:$L$61,E11),Raw_Today!$L$2:$L$61,0))</f>
        <v/>
      </c>
      <c r="G11" s="13">
        <f>SMALL(Raw_Today!$L$2:$L$61,E11)</f>
        <v/>
      </c>
    </row>
    <row r="12">
      <c r="A12" s="10" t="n">
        <v>10</v>
      </c>
      <c r="B12" s="10">
        <f>INDEX(Raw_Today!$A$2:$A$61,MATCH(LARGE(Raw_Today!$K$2:$K$61,A12),Raw_Today!$K$2:$K$61,0))</f>
        <v/>
      </c>
      <c r="C12" s="13">
        <f>LARGE(Raw_Today!$K$2:$K$61,A12)</f>
        <v/>
      </c>
      <c r="D12" s="10" t="n"/>
      <c r="E12" s="10" t="n">
        <v>10</v>
      </c>
      <c r="F12" s="10">
        <f>INDEX(Raw_Today!$A$2:$A$61,MATCH(SMALL(Raw_Today!$L$2:$L$61,E12),Raw_Today!$L$2:$L$61,0))</f>
        <v/>
      </c>
      <c r="G12" s="13">
        <f>SMALL(Raw_Today!$L$2:$L$61,E12)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11" customWidth="1" min="3" max="3"/>
    <col width="6" customWidth="1" min="5" max="5"/>
    <col width="13" customWidth="1" min="6" max="6"/>
    <col width="11" customWidth="1" min="7" max="7"/>
  </cols>
  <sheetData>
    <row r="1">
      <c r="A1" s="17" t="inlineStr">
        <is>
          <t>Top 10 Long Buildups (OI Chg %)</t>
        </is>
      </c>
      <c r="E1" s="17" t="inlineStr">
        <is>
          <t>Top 10 Volume Shockers</t>
        </is>
      </c>
    </row>
    <row r="2">
      <c r="A2" s="9" t="inlineStr">
        <is>
          <t>Rank</t>
        </is>
      </c>
      <c r="B2" s="9" t="inlineStr">
        <is>
          <t>Ticker</t>
        </is>
      </c>
      <c r="C2" s="9" t="inlineStr">
        <is>
          <t>OI Chg %</t>
        </is>
      </c>
      <c r="D2" s="9" t="n"/>
      <c r="E2" s="9" t="inlineStr">
        <is>
          <t>Rank</t>
        </is>
      </c>
      <c r="F2" s="9" t="inlineStr">
        <is>
          <t>Ticker</t>
        </is>
      </c>
      <c r="G2" s="9" t="inlineStr">
        <is>
          <t>Vol x Avg</t>
        </is>
      </c>
    </row>
    <row r="3">
      <c r="A3" s="10" t="n">
        <v>1</v>
      </c>
      <c r="B3" s="10">
        <f>INDEX(Raw_Today!$A$2:$A$61,MATCH(LARGE(Raw_Today!$M$2:$M$61,A3),Raw_Today!$M$2:$M$61,0))</f>
        <v/>
      </c>
      <c r="C3" s="13">
        <f>LARGE(Raw_Today!$M$2:$M$61,A3)</f>
        <v/>
      </c>
      <c r="D3" s="10" t="n"/>
      <c r="E3" s="10" t="n">
        <v>1</v>
      </c>
      <c r="F3" s="10">
        <f>INDEX(Raw_Today!$A$2:$A$61,MATCH(LARGE(Raw_Today!$I$2:$I$61,E3),Raw_Today!$I$2:$I$61,0))</f>
        <v/>
      </c>
      <c r="G3" s="14">
        <f>LARGE(Raw_Today!$I$2:$I$61,E3)</f>
        <v/>
      </c>
    </row>
    <row r="4">
      <c r="A4" s="10" t="n">
        <v>2</v>
      </c>
      <c r="B4" s="10">
        <f>INDEX(Raw_Today!$A$2:$A$61,MATCH(LARGE(Raw_Today!$M$2:$M$61,A4),Raw_Today!$M$2:$M$61,0))</f>
        <v/>
      </c>
      <c r="C4" s="13">
        <f>LARGE(Raw_Today!$M$2:$M$61,A4)</f>
        <v/>
      </c>
      <c r="D4" s="10" t="n"/>
      <c r="E4" s="10" t="n">
        <v>2</v>
      </c>
      <c r="F4" s="10">
        <f>INDEX(Raw_Today!$A$2:$A$61,MATCH(LARGE(Raw_Today!$I$2:$I$61,E4),Raw_Today!$I$2:$I$61,0))</f>
        <v/>
      </c>
      <c r="G4" s="14">
        <f>LARGE(Raw_Today!$I$2:$I$61,E4)</f>
        <v/>
      </c>
    </row>
    <row r="5">
      <c r="A5" s="10" t="n">
        <v>3</v>
      </c>
      <c r="B5" s="10">
        <f>INDEX(Raw_Today!$A$2:$A$61,MATCH(LARGE(Raw_Today!$M$2:$M$61,A5),Raw_Today!$M$2:$M$61,0))</f>
        <v/>
      </c>
      <c r="C5" s="13">
        <f>LARGE(Raw_Today!$M$2:$M$61,A5)</f>
        <v/>
      </c>
      <c r="D5" s="10" t="n"/>
      <c r="E5" s="10" t="n">
        <v>3</v>
      </c>
      <c r="F5" s="10">
        <f>INDEX(Raw_Today!$A$2:$A$61,MATCH(LARGE(Raw_Today!$I$2:$I$61,E5),Raw_Today!$I$2:$I$61,0))</f>
        <v/>
      </c>
      <c r="G5" s="14">
        <f>LARGE(Raw_Today!$I$2:$I$61,E5)</f>
        <v/>
      </c>
    </row>
    <row r="6">
      <c r="A6" s="10" t="n">
        <v>4</v>
      </c>
      <c r="B6" s="10">
        <f>INDEX(Raw_Today!$A$2:$A$61,MATCH(LARGE(Raw_Today!$M$2:$M$61,A6),Raw_Today!$M$2:$M$61,0))</f>
        <v/>
      </c>
      <c r="C6" s="13">
        <f>LARGE(Raw_Today!$M$2:$M$61,A6)</f>
        <v/>
      </c>
      <c r="D6" s="10" t="n"/>
      <c r="E6" s="10" t="n">
        <v>4</v>
      </c>
      <c r="F6" s="10">
        <f>INDEX(Raw_Today!$A$2:$A$61,MATCH(LARGE(Raw_Today!$I$2:$I$61,E6),Raw_Today!$I$2:$I$61,0))</f>
        <v/>
      </c>
      <c r="G6" s="14">
        <f>LARGE(Raw_Today!$I$2:$I$61,E6)</f>
        <v/>
      </c>
    </row>
    <row r="7">
      <c r="A7" s="10" t="n">
        <v>5</v>
      </c>
      <c r="B7" s="10">
        <f>INDEX(Raw_Today!$A$2:$A$61,MATCH(LARGE(Raw_Today!$M$2:$M$61,A7),Raw_Today!$M$2:$M$61,0))</f>
        <v/>
      </c>
      <c r="C7" s="13">
        <f>LARGE(Raw_Today!$M$2:$M$61,A7)</f>
        <v/>
      </c>
      <c r="D7" s="10" t="n"/>
      <c r="E7" s="10" t="n">
        <v>5</v>
      </c>
      <c r="F7" s="10">
        <f>INDEX(Raw_Today!$A$2:$A$61,MATCH(LARGE(Raw_Today!$I$2:$I$61,E7),Raw_Today!$I$2:$I$61,0))</f>
        <v/>
      </c>
      <c r="G7" s="14">
        <f>LARGE(Raw_Today!$I$2:$I$61,E7)</f>
        <v/>
      </c>
    </row>
    <row r="8">
      <c r="A8" s="10" t="n">
        <v>6</v>
      </c>
      <c r="B8" s="10">
        <f>INDEX(Raw_Today!$A$2:$A$61,MATCH(LARGE(Raw_Today!$M$2:$M$61,A8),Raw_Today!$M$2:$M$61,0))</f>
        <v/>
      </c>
      <c r="C8" s="13">
        <f>LARGE(Raw_Today!$M$2:$M$61,A8)</f>
        <v/>
      </c>
      <c r="D8" s="10" t="n"/>
      <c r="E8" s="10" t="n">
        <v>6</v>
      </c>
      <c r="F8" s="10">
        <f>INDEX(Raw_Today!$A$2:$A$61,MATCH(LARGE(Raw_Today!$I$2:$I$61,E8),Raw_Today!$I$2:$I$61,0))</f>
        <v/>
      </c>
      <c r="G8" s="14">
        <f>LARGE(Raw_Today!$I$2:$I$61,E8)</f>
        <v/>
      </c>
    </row>
    <row r="9">
      <c r="A9" s="10" t="n">
        <v>7</v>
      </c>
      <c r="B9" s="10">
        <f>INDEX(Raw_Today!$A$2:$A$61,MATCH(LARGE(Raw_Today!$M$2:$M$61,A9),Raw_Today!$M$2:$M$61,0))</f>
        <v/>
      </c>
      <c r="C9" s="13">
        <f>LARGE(Raw_Today!$M$2:$M$61,A9)</f>
        <v/>
      </c>
      <c r="D9" s="10" t="n"/>
      <c r="E9" s="10" t="n">
        <v>7</v>
      </c>
      <c r="F9" s="10">
        <f>INDEX(Raw_Today!$A$2:$A$61,MATCH(LARGE(Raw_Today!$I$2:$I$61,E9),Raw_Today!$I$2:$I$61,0))</f>
        <v/>
      </c>
      <c r="G9" s="14">
        <f>LARGE(Raw_Today!$I$2:$I$61,E9)</f>
        <v/>
      </c>
    </row>
    <row r="10">
      <c r="A10" s="10" t="n">
        <v>8</v>
      </c>
      <c r="B10" s="10">
        <f>INDEX(Raw_Today!$A$2:$A$61,MATCH(LARGE(Raw_Today!$M$2:$M$61,A10),Raw_Today!$M$2:$M$61,0))</f>
        <v/>
      </c>
      <c r="C10" s="13">
        <f>LARGE(Raw_Today!$M$2:$M$61,A10)</f>
        <v/>
      </c>
      <c r="D10" s="10" t="n"/>
      <c r="E10" s="10" t="n">
        <v>8</v>
      </c>
      <c r="F10" s="10">
        <f>INDEX(Raw_Today!$A$2:$A$61,MATCH(LARGE(Raw_Today!$I$2:$I$61,E10),Raw_Today!$I$2:$I$61,0))</f>
        <v/>
      </c>
      <c r="G10" s="14">
        <f>LARGE(Raw_Today!$I$2:$I$61,E10)</f>
        <v/>
      </c>
    </row>
    <row r="11">
      <c r="A11" s="10" t="n">
        <v>9</v>
      </c>
      <c r="B11" s="10">
        <f>INDEX(Raw_Today!$A$2:$A$61,MATCH(LARGE(Raw_Today!$M$2:$M$61,A11),Raw_Today!$M$2:$M$61,0))</f>
        <v/>
      </c>
      <c r="C11" s="13">
        <f>LARGE(Raw_Today!$M$2:$M$61,A11)</f>
        <v/>
      </c>
      <c r="D11" s="10" t="n"/>
      <c r="E11" s="10" t="n">
        <v>9</v>
      </c>
      <c r="F11" s="10">
        <f>INDEX(Raw_Today!$A$2:$A$61,MATCH(LARGE(Raw_Today!$I$2:$I$61,E11),Raw_Today!$I$2:$I$61,0))</f>
        <v/>
      </c>
      <c r="G11" s="14">
        <f>LARGE(Raw_Today!$I$2:$I$61,E11)</f>
        <v/>
      </c>
    </row>
    <row r="12">
      <c r="A12" s="10" t="n">
        <v>10</v>
      </c>
      <c r="B12" s="10">
        <f>INDEX(Raw_Today!$A$2:$A$61,MATCH(LARGE(Raw_Today!$M$2:$M$61,A12),Raw_Today!$M$2:$M$61,0))</f>
        <v/>
      </c>
      <c r="C12" s="13">
        <f>LARGE(Raw_Today!$M$2:$M$61,A12)</f>
        <v/>
      </c>
      <c r="D12" s="10" t="n"/>
      <c r="E12" s="10" t="n">
        <v>10</v>
      </c>
      <c r="F12" s="10">
        <f>INDEX(Raw_Today!$A$2:$A$61,MATCH(LARGE(Raw_Today!$I$2:$I$61,E12),Raw_Today!$I$2:$I$61,0))</f>
        <v/>
      </c>
      <c r="G12" s="14">
        <f>LARGE(Raw_Today!$I$2:$I$61,E12)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0" customWidth="1" min="4" max="4"/>
    <col width="15" customWidth="1" min="5" max="5"/>
    <col width="15" customWidth="1" min="6" max="6"/>
    <col width="14" customWidth="1" min="7" max="7"/>
  </cols>
  <sheetData>
    <row r="1">
      <c r="A1" s="9" t="inlineStr">
        <is>
          <t>Sector</t>
        </is>
      </c>
      <c r="B1" s="9" t="inlineStr">
        <is>
          <t>Avg % Chg</t>
        </is>
      </c>
      <c r="C1" s="9" t="inlineStr">
        <is>
          <t>Advancers</t>
        </is>
      </c>
      <c r="D1" s="9" t="inlineStr">
        <is>
          <t>Decliners</t>
        </is>
      </c>
      <c r="E1" s="9" t="inlineStr">
        <is>
          <t>Total Volume</t>
        </is>
      </c>
      <c r="F1" s="9" t="inlineStr">
        <is>
          <t>Net OI Change</t>
        </is>
      </c>
      <c r="G1" s="9" t="inlineStr">
        <is>
          <t>Long Buildups</t>
        </is>
      </c>
    </row>
    <row r="2">
      <c r="A2" s="10" t="inlineStr">
        <is>
          <t>Auto</t>
        </is>
      </c>
      <c r="B2" s="13">
        <f>AVERAGEIF(Raw_Today!$B$2:$B$61,A2,Raw_Today!$F$2:$F$61)</f>
        <v/>
      </c>
      <c r="C2" s="10">
        <f>COUNTIFS(Raw_Today!$B$2:$B$61,A2,Raw_Today!$F$2:$F$61,"&gt;0")</f>
        <v/>
      </c>
      <c r="D2" s="10">
        <f>COUNTIFS(Raw_Today!$B$2:$B$61,A2,Raw_Today!$F$2:$F$61,"&lt;0")</f>
        <v/>
      </c>
      <c r="E2" s="12">
        <f>SUMIF(Raw_Today!$B$2:$B$61,A2,Raw_Today!$D$2:$D$61)</f>
        <v/>
      </c>
      <c r="F2" s="12">
        <f>SUMIF(Raw_Today!$B$2:$B$61,A2,Raw_Today!$G$2:$G$61)</f>
        <v/>
      </c>
      <c r="G2" s="10">
        <f>COUNTIFS(Raw_Today!$B$2:$B$61,A2,Raw_Today!$J$2:$J$61,"Long Buildup")</f>
        <v/>
      </c>
    </row>
    <row r="3">
      <c r="A3" s="10" t="inlineStr">
        <is>
          <t>Banking</t>
        </is>
      </c>
      <c r="B3" s="13">
        <f>AVERAGEIF(Raw_Today!$B$2:$B$61,A3,Raw_Today!$F$2:$F$61)</f>
        <v/>
      </c>
      <c r="C3" s="10">
        <f>COUNTIFS(Raw_Today!$B$2:$B$61,A3,Raw_Today!$F$2:$F$61,"&gt;0")</f>
        <v/>
      </c>
      <c r="D3" s="10">
        <f>COUNTIFS(Raw_Today!$B$2:$B$61,A3,Raw_Today!$F$2:$F$61,"&lt;0")</f>
        <v/>
      </c>
      <c r="E3" s="12">
        <f>SUMIF(Raw_Today!$B$2:$B$61,A3,Raw_Today!$D$2:$D$61)</f>
        <v/>
      </c>
      <c r="F3" s="12">
        <f>SUMIF(Raw_Today!$B$2:$B$61,A3,Raw_Today!$G$2:$G$61)</f>
        <v/>
      </c>
      <c r="G3" s="10">
        <f>COUNTIFS(Raw_Today!$B$2:$B$61,A3,Raw_Today!$J$2:$J$61,"Long Buildup")</f>
        <v/>
      </c>
    </row>
    <row r="4">
      <c r="A4" s="10" t="inlineStr">
        <is>
          <t>Energy</t>
        </is>
      </c>
      <c r="B4" s="13">
        <f>AVERAGEIF(Raw_Today!$B$2:$B$61,A4,Raw_Today!$F$2:$F$61)</f>
        <v/>
      </c>
      <c r="C4" s="10">
        <f>COUNTIFS(Raw_Today!$B$2:$B$61,A4,Raw_Today!$F$2:$F$61,"&gt;0")</f>
        <v/>
      </c>
      <c r="D4" s="10">
        <f>COUNTIFS(Raw_Today!$B$2:$B$61,A4,Raw_Today!$F$2:$F$61,"&lt;0")</f>
        <v/>
      </c>
      <c r="E4" s="12">
        <f>SUMIF(Raw_Today!$B$2:$B$61,A4,Raw_Today!$D$2:$D$61)</f>
        <v/>
      </c>
      <c r="F4" s="12">
        <f>SUMIF(Raw_Today!$B$2:$B$61,A4,Raw_Today!$G$2:$G$61)</f>
        <v/>
      </c>
      <c r="G4" s="10">
        <f>COUNTIFS(Raw_Today!$B$2:$B$61,A4,Raw_Today!$J$2:$J$61,"Long Buildup")</f>
        <v/>
      </c>
    </row>
    <row r="5">
      <c r="A5" s="10" t="inlineStr">
        <is>
          <t>FMCG</t>
        </is>
      </c>
      <c r="B5" s="13">
        <f>AVERAGEIF(Raw_Today!$B$2:$B$61,A5,Raw_Today!$F$2:$F$61)</f>
        <v/>
      </c>
      <c r="C5" s="10">
        <f>COUNTIFS(Raw_Today!$B$2:$B$61,A5,Raw_Today!$F$2:$F$61,"&gt;0")</f>
        <v/>
      </c>
      <c r="D5" s="10">
        <f>COUNTIFS(Raw_Today!$B$2:$B$61,A5,Raw_Today!$F$2:$F$61,"&lt;0")</f>
        <v/>
      </c>
      <c r="E5" s="12">
        <f>SUMIF(Raw_Today!$B$2:$B$61,A5,Raw_Today!$D$2:$D$61)</f>
        <v/>
      </c>
      <c r="F5" s="12">
        <f>SUMIF(Raw_Today!$B$2:$B$61,A5,Raw_Today!$G$2:$G$61)</f>
        <v/>
      </c>
      <c r="G5" s="10">
        <f>COUNTIFS(Raw_Today!$B$2:$B$61,A5,Raw_Today!$J$2:$J$61,"Long Buildup")</f>
        <v/>
      </c>
    </row>
    <row r="6">
      <c r="A6" s="10" t="inlineStr">
        <is>
          <t>IT</t>
        </is>
      </c>
      <c r="B6" s="13">
        <f>AVERAGEIF(Raw_Today!$B$2:$B$61,A6,Raw_Today!$F$2:$F$61)</f>
        <v/>
      </c>
      <c r="C6" s="10">
        <f>COUNTIFS(Raw_Today!$B$2:$B$61,A6,Raw_Today!$F$2:$F$61,"&gt;0")</f>
        <v/>
      </c>
      <c r="D6" s="10">
        <f>COUNTIFS(Raw_Today!$B$2:$B$61,A6,Raw_Today!$F$2:$F$61,"&lt;0")</f>
        <v/>
      </c>
      <c r="E6" s="12">
        <f>SUMIF(Raw_Today!$B$2:$B$61,A6,Raw_Today!$D$2:$D$61)</f>
        <v/>
      </c>
      <c r="F6" s="12">
        <f>SUMIF(Raw_Today!$B$2:$B$61,A6,Raw_Today!$G$2:$G$61)</f>
        <v/>
      </c>
      <c r="G6" s="10">
        <f>COUNTIFS(Raw_Today!$B$2:$B$61,A6,Raw_Today!$J$2:$J$61,"Long Buildup")</f>
        <v/>
      </c>
    </row>
    <row r="7">
      <c r="A7" s="10" t="inlineStr">
        <is>
          <t>Metals</t>
        </is>
      </c>
      <c r="B7" s="13">
        <f>AVERAGEIF(Raw_Today!$B$2:$B$61,A7,Raw_Today!$F$2:$F$61)</f>
        <v/>
      </c>
      <c r="C7" s="10">
        <f>COUNTIFS(Raw_Today!$B$2:$B$61,A7,Raw_Today!$F$2:$F$61,"&gt;0")</f>
        <v/>
      </c>
      <c r="D7" s="10">
        <f>COUNTIFS(Raw_Today!$B$2:$B$61,A7,Raw_Today!$F$2:$F$61,"&lt;0")</f>
        <v/>
      </c>
      <c r="E7" s="12">
        <f>SUMIF(Raw_Today!$B$2:$B$61,A7,Raw_Today!$D$2:$D$61)</f>
        <v/>
      </c>
      <c r="F7" s="12">
        <f>SUMIF(Raw_Today!$B$2:$B$61,A7,Raw_Today!$G$2:$G$61)</f>
        <v/>
      </c>
      <c r="G7" s="10">
        <f>COUNTIFS(Raw_Today!$B$2:$B$61,A7,Raw_Today!$J$2:$J$61,"Long Buildup")</f>
        <v/>
      </c>
    </row>
    <row r="8">
      <c r="A8" s="10" t="inlineStr">
        <is>
          <t>Pharma</t>
        </is>
      </c>
      <c r="B8" s="13">
        <f>AVERAGEIF(Raw_Today!$B$2:$B$61,A8,Raw_Today!$F$2:$F$61)</f>
        <v/>
      </c>
      <c r="C8" s="10">
        <f>COUNTIFS(Raw_Today!$B$2:$B$61,A8,Raw_Today!$F$2:$F$61,"&gt;0")</f>
        <v/>
      </c>
      <c r="D8" s="10">
        <f>COUNTIFS(Raw_Today!$B$2:$B$61,A8,Raw_Today!$F$2:$F$61,"&lt;0")</f>
        <v/>
      </c>
      <c r="E8" s="12">
        <f>SUMIF(Raw_Today!$B$2:$B$61,A8,Raw_Today!$D$2:$D$61)</f>
        <v/>
      </c>
      <c r="F8" s="12">
        <f>SUMIF(Raw_Today!$B$2:$B$61,A8,Raw_Today!$G$2:$G$61)</f>
        <v/>
      </c>
      <c r="G8" s="10">
        <f>COUNTIFS(Raw_Today!$B$2:$B$61,A8,Raw_Today!$J$2:$J$61,"Long Buildup")</f>
        <v/>
      </c>
    </row>
    <row r="9">
      <c r="A9" s="10" t="inlineStr">
        <is>
          <t>Realty</t>
        </is>
      </c>
      <c r="B9" s="13">
        <f>AVERAGEIF(Raw_Today!$B$2:$B$61,A9,Raw_Today!$F$2:$F$61)</f>
        <v/>
      </c>
      <c r="C9" s="10">
        <f>COUNTIFS(Raw_Today!$B$2:$B$61,A9,Raw_Today!$F$2:$F$61,"&gt;0")</f>
        <v/>
      </c>
      <c r="D9" s="10">
        <f>COUNTIFS(Raw_Today!$B$2:$B$61,A9,Raw_Today!$F$2:$F$61,"&lt;0")</f>
        <v/>
      </c>
      <c r="E9" s="12">
        <f>SUMIF(Raw_Today!$B$2:$B$61,A9,Raw_Today!$D$2:$D$61)</f>
        <v/>
      </c>
      <c r="F9" s="12">
        <f>SUMIF(Raw_Today!$B$2:$B$61,A9,Raw_Today!$G$2:$G$61)</f>
        <v/>
      </c>
      <c r="G9" s="10">
        <f>COUNTIFS(Raw_Today!$B$2:$B$61,A9,Raw_Today!$J$2:$J$61,"Long Buildup")</f>
        <v/>
      </c>
    </row>
  </sheetData>
  <conditionalFormatting sqref="B2:B9">
    <cfRule type="colorScale" priority="1">
      <colorScale>
        <cfvo type="num" val="-0.03"/>
        <cfvo type="num" val="0"/>
        <cfvo type="num" val="0.03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2" customWidth="1" min="1" max="1"/>
    <col width="10" customWidth="1" min="2" max="2"/>
  </cols>
  <sheetData>
    <row r="1">
      <c r="A1" s="18" t="inlineStr">
        <is>
          <t>Self-tests — all must read TRUE</t>
        </is>
      </c>
    </row>
    <row r="2">
      <c r="A2" t="inlineStr">
        <is>
          <t>Check 1: Ticker universe identical (Today vs PrevDay)</t>
        </is>
      </c>
      <c r="B2" s="19">
        <f>COUNTA(Raw_Today!$A$2:$A$61)=COUNTA(Raw_PrevDay!$A$2:$A$61)</f>
        <v/>
      </c>
    </row>
    <row r="3">
      <c r="A3" t="inlineStr">
        <is>
          <t>Check 2: OI walk: SUM(OI Change) = SUM(OI_T) - SUM(OI_T-1)</t>
        </is>
      </c>
      <c r="B3" s="19">
        <f>SUM(Raw_Today!$G$2:$G$61)=SUM(Raw_Today!$E$2:$E$61)-SUM(Raw_PrevDay!$E$2:$E$61)</f>
        <v/>
      </c>
    </row>
    <row r="4">
      <c r="A4" t="inlineStr">
        <is>
          <t>Check 3: Breadth adds up: adv + dec + flat = 60</t>
        </is>
      </c>
      <c r="B4" s="19">
        <f>COUNTIF(Raw_Today!$F$2:$F$61,"&gt;0")+COUNTIF(Raw_Today!$F$2:$F$61,"&lt;0")+COUNTIF(Raw_Today!$F$2:$F$61,0)=60</f>
        <v/>
      </c>
    </row>
    <row r="5">
      <c r="A5" t="inlineStr">
        <is>
          <t>Check 4: Dashboard top gainer ties to MAX(% Change)</t>
        </is>
      </c>
      <c r="B5" s="19">
        <f>ABS(Dashboard!$C$4-MAX(Raw_Today!$F$2:$F$61))&lt;0.0000001</f>
        <v/>
      </c>
    </row>
    <row r="6">
      <c r="A6" t="inlineStr">
        <is>
          <t>Check 5: Dashboard top loser ties to MIN(% Change)</t>
        </is>
      </c>
      <c r="B6" s="19">
        <f>ABS(Dashboard!$C$6-MIN(Raw_Today!$F$2:$F$61))&lt;0.0000001</f>
        <v/>
      </c>
    </row>
    <row r="7">
      <c r="A7" t="inlineStr">
        <is>
          <t>Check 6: Dashboard volume shocker ties to MAX(Vol Multiple)</t>
        </is>
      </c>
      <c r="B7" s="19">
        <f>ABS(Dashboard!$C$10-MAX(Raw_Today!$I$2:$I$61))&lt;0.0000001</f>
        <v/>
      </c>
    </row>
    <row r="8">
      <c r="A8" t="inlineStr">
        <is>
          <t>Check 7: Sector heatmap total volume ties to raw</t>
        </is>
      </c>
      <c r="B8" s="19">
        <f>SUM(Sector_Heatmap!$E$2:$E$9)=SUM(Raw_Today!$D$2:$D$61)</f>
        <v/>
      </c>
    </row>
    <row r="9">
      <c r="A9" t="inlineStr">
        <is>
          <t>Check 8: OI signals exhaustive: 5 categories sum to 60</t>
        </is>
      </c>
      <c r="B9" s="19">
        <f>COUNTIF(Raw_Today!$J$2:$J$61,"Long Buildup")+COUNTIF(Raw_Today!$J$2:$J$61,"Short Buildup")+COUNTIF(Raw_Today!$J$2:$J$61,"Long Unwinding")+COUNTIF(Raw_Today!$J$2:$J$61,"Short Covering")+COUNTIF(Raw_Today!$J$2:$J$61,"Neutral")=60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2026-10-23T02:26:57+00:00Z</dcterms:created>
  <dcterms:modified xmlns:dcterms="http://purl.org/dc/terms/" xmlns:xsi="http://www.w3.org/2001/XMLSchema-instance" xsi:type="dcterms:W3CDTF">2026-10-23T02:26:57+00:00Z</dcterms:modified>
</cp:coreProperties>
</file>