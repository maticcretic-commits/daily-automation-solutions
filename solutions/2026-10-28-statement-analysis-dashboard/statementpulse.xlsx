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aw_Statements" sheetId="3" state="visible" r:id="rId3"/>
    <sheet xmlns:r="http://schemas.openxmlformats.org/officeDocument/2006/relationships" name="Raw_Monthly" sheetId="4" state="visible" r:id="rId4"/>
    <sheet xmlns:r="http://schemas.openxmlformats.org/officeDocument/2006/relationships" name="Statements" sheetId="5" state="visible" r:id="rId5"/>
    <sheet xmlns:r="http://schemas.openxmlformats.org/officeDocument/2006/relationships" name="Ratios" sheetId="6" state="visible" r:id="rId6"/>
    <sheet xmlns:r="http://schemas.openxmlformats.org/officeDocument/2006/relationships" name="Trend" sheetId="7" state="visible" r:id="rId7"/>
    <sheet xmlns:r="http://schemas.openxmlformats.org/officeDocument/2006/relationships" name="Checks" sheetId="8" state="visible" r:id="rId8"/>
  </sheets>
  <definedNames>
    <definedName name="_xlnm._FilterDatabase" localSheetId="2" hidden="1">'Raw_Statements'!$A$1:$D$73</definedName>
    <definedName name="_xlnm._FilterDatabase" localSheetId="3" hidden="1">'Raw_Monthly'!$A$1:$G$13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profit after tax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'Dashboard'!$A$14:$A$16</f>
            </numRef>
          </cat>
          <val>
            <numRef>
              <f>'Dashboard'!$B$14:$B$16</f>
            </numRef>
          </val>
        </ser>
        <ser>
          <idx val="1"/>
          <order val="1"/>
          <tx>
            <strRef>
              <f>'Dashboard'!C13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'Dashboard'!$A$14:$A$16</f>
            </numRef>
          </cat>
          <val>
            <numRef>
              <f>'Dashboard'!$C$14:$C$16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revenue, FY2026</a:t>
            </a:r>
          </a:p>
        </rich>
      </tx>
    </title>
    <plotArea>
      <lineChart>
        <grouping val="standard"/>
        <ser>
          <idx val="0"/>
          <order val="0"/>
          <tx>
            <strRef>
              <f>'Trend'!B1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'Trend'!$A$2:$A$13</f>
            </numRef>
          </cat>
          <val>
            <numRef>
              <f>'Trend'!$B$2:$B$13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FY2026 cost mix</a:t>
            </a:r>
          </a:p>
        </rich>
      </tx>
    </title>
    <plotArea>
      <pieChart>
        <varyColors val="1"/>
        <ser>
          <idx val="0"/>
          <order val="0"/>
          <tx>
            <strRef>
              <f>'Dashboard'!B50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'Dashboard'!$A$51:$A$55</f>
            </numRef>
          </cat>
          <val>
            <numRef>
              <f>'Dashboard'!$B$51:$B$55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33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56</row>
      <rowOff>0</rowOff>
    </from>
    <ext cx="50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StatementPulse — Financial Statement Analysis (DEMO)</t>
        </is>
      </c>
    </row>
    <row r="2">
      <c r="A2" t="inlineStr">
        <is>
          <t>Built around: Financial Statement Analysis Needed ASAP (Freelancer, Brisbane client).</t>
        </is>
      </c>
    </row>
    <row r="3">
      <c r="A3" t="inlineStr">
        <is>
          <t>Data: SYNTHETIC — fictional Sharma Retail Pvt. Ltd., Patna; FY2024-FY2026, seeded.</t>
        </is>
      </c>
    </row>
    <row r="4">
      <c r="A4" t="inlineStr"/>
    </row>
    <row r="5">
      <c r="A5" t="inlineStr">
        <is>
          <t>What this answers: is the business profitable, liquid, and generating cash?</t>
        </is>
      </c>
    </row>
    <row r="6">
      <c r="A6" t="inlineStr">
        <is>
          <t>Statements rebuilds the P&amp;L, balance sheet and indirect cash flow from the raw</t>
        </is>
      </c>
    </row>
    <row r="7">
      <c r="A7" t="inlineStr">
        <is>
          <t>line items — every subtotal is a formula, nothing is hard-coded. Ratios benchmarks</t>
        </is>
      </c>
    </row>
    <row r="8">
      <c r="A8" t="inlineStr">
        <is>
          <t>each ratio against a plain threshold and flags FY2026 exceptions. Trend shows the</t>
        </is>
      </c>
    </row>
    <row r="9">
      <c r="A9" t="inlineStr">
        <is>
          <t>FY2026 monthly build-up; its totals tie exactly to the annual statements.</t>
        </is>
      </c>
    </row>
    <row r="10">
      <c r="A10" t="inlineStr"/>
    </row>
    <row r="11">
      <c r="A11" t="inlineStr">
        <is>
          <t>How to use:</t>
        </is>
      </c>
    </row>
    <row r="12">
      <c r="A12" t="inlineStr">
        <is>
          <t>1. Replace the Amount column in Raw_Statements / rows in Raw_Monthly with real data,</t>
        </is>
      </c>
    </row>
    <row r="13">
      <c r="A13" t="inlineStr">
        <is>
          <t xml:space="preserve">   keeping the same Section / LineItem / Year labels.</t>
        </is>
      </c>
    </row>
    <row r="14">
      <c r="A14" t="inlineStr">
        <is>
          <t>2. Statements, Ratios, Trend, Dashboard and Checks update by formula.</t>
        </is>
      </c>
    </row>
    <row r="15">
      <c r="A15" t="inlineStr">
        <is>
          <t>3. Power BI version: see powerbi/MEASURES.md for the DAX mapping.</t>
        </is>
      </c>
    </row>
    <row r="16">
      <c r="A16" t="inlineStr"/>
    </row>
    <row r="17">
      <c r="A17" t="inlineStr">
        <is>
          <t>Sheets: Dashboard (KPIs + charts) | Statements | Ratios | Trend |</t>
        </is>
      </c>
    </row>
    <row r="18">
      <c r="A18" t="inlineStr">
        <is>
          <t>Raw_Statements | Raw_Monthly | Checks (must all read TRUE).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StatementPulse — Sharma Retail Pvt. Ltd. (SYNTHETIC DEMO, FY2024-FY2026)</t>
        </is>
      </c>
    </row>
    <row r="3">
      <c r="A3" s="2" t="inlineStr">
        <is>
          <t>KPI (FY2026 unless stated)</t>
        </is>
      </c>
      <c r="B3" s="2" t="inlineStr">
        <is>
          <t>Value</t>
        </is>
      </c>
    </row>
    <row r="4">
      <c r="A4" t="inlineStr">
        <is>
          <t>Revenue (FY2026)</t>
        </is>
      </c>
      <c r="B4" s="3">
        <f>Statements!D3</f>
        <v/>
      </c>
    </row>
    <row r="5">
      <c r="A5" t="inlineStr">
        <is>
          <t>Profit after tax (FY2026)</t>
        </is>
      </c>
      <c r="B5" s="3">
        <f>Statements!D13</f>
        <v/>
      </c>
    </row>
    <row r="6">
      <c r="A6" t="inlineStr">
        <is>
          <t>Net margin (FY2026)</t>
        </is>
      </c>
      <c r="B6" s="4">
        <f>Ratios!D7</f>
        <v/>
      </c>
    </row>
    <row r="7">
      <c r="A7" t="inlineStr">
        <is>
          <t>Current ratio (FY2026)</t>
        </is>
      </c>
      <c r="B7" s="5">
        <f>Ratios!D2</f>
        <v/>
      </c>
    </row>
    <row r="8">
      <c r="A8" t="inlineStr">
        <is>
          <t>Receivables days (FY2026)</t>
        </is>
      </c>
      <c r="B8" s="6">
        <f>Ratios!D10</f>
        <v/>
      </c>
    </row>
    <row r="9">
      <c r="A9" t="inlineStr">
        <is>
          <t>Operating cash conversion (FY2026)</t>
        </is>
      </c>
      <c r="B9" s="5">
        <f>Ratios!D13</f>
        <v/>
      </c>
    </row>
    <row r="11">
      <c r="A11" s="7" t="inlineStr">
        <is>
          <t>FY2026 ratio flags (see Ratios sheet)</t>
        </is>
      </c>
      <c r="B11">
        <f>Ratios!B15</f>
        <v/>
      </c>
    </row>
    <row r="13">
      <c r="A13" s="2" t="inlineStr">
        <is>
          <t>Year</t>
        </is>
      </c>
      <c r="B13" s="2" t="inlineStr">
        <is>
          <t>Revenue</t>
        </is>
      </c>
      <c r="C13" s="2" t="inlineStr">
        <is>
          <t>Profit after tax</t>
        </is>
      </c>
    </row>
    <row r="14">
      <c r="A14" t="inlineStr">
        <is>
          <t>FY2024</t>
        </is>
      </c>
      <c r="B14">
        <f>Statements!B3</f>
        <v/>
      </c>
      <c r="C14">
        <f>Statements!B35</f>
        <v/>
      </c>
    </row>
    <row r="15">
      <c r="A15" t="inlineStr">
        <is>
          <t>FY2025</t>
        </is>
      </c>
      <c r="B15">
        <f>Statements!C3</f>
        <v/>
      </c>
      <c r="C15">
        <f>Statements!C35</f>
        <v/>
      </c>
    </row>
    <row r="16">
      <c r="A16" t="inlineStr">
        <is>
          <t>FY2026</t>
        </is>
      </c>
      <c r="B16">
        <f>Statements!D3</f>
        <v/>
      </c>
      <c r="C16">
        <f>Statements!D35</f>
        <v/>
      </c>
    </row>
    <row r="50">
      <c r="A50" s="2" t="inlineStr">
        <is>
          <t>Cost item (FY2026)</t>
        </is>
      </c>
      <c r="B50" s="2" t="inlineStr">
        <is>
          <t>Amount</t>
        </is>
      </c>
    </row>
    <row r="51">
      <c r="A51" t="inlineStr">
        <is>
          <t>Cost of goods sold</t>
        </is>
      </c>
      <c r="B51">
        <f>Statements!D4</f>
        <v/>
      </c>
    </row>
    <row r="52">
      <c r="A52" t="inlineStr">
        <is>
          <t>Operating expenses</t>
        </is>
      </c>
      <c r="B52">
        <f>Statements!D6</f>
        <v/>
      </c>
    </row>
    <row r="53">
      <c r="A53" t="inlineStr">
        <is>
          <t>Depreciation</t>
        </is>
      </c>
      <c r="B53">
        <f>Statements!D8</f>
        <v/>
      </c>
    </row>
    <row r="54">
      <c r="A54" t="inlineStr">
        <is>
          <t>Interest expense</t>
        </is>
      </c>
      <c r="B54">
        <f>Statements!D10</f>
        <v/>
      </c>
    </row>
    <row r="55">
      <c r="A55" t="inlineStr">
        <is>
          <t>Tax expense</t>
        </is>
      </c>
      <c r="B55">
        <f>Statements!D12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0" customWidth="1" min="3" max="3"/>
    <col width="16" customWidth="1" style="3" min="4" max="4"/>
  </cols>
  <sheetData>
    <row r="1">
      <c r="A1" s="2" t="inlineStr">
        <is>
          <t>Section</t>
        </is>
      </c>
      <c r="B1" s="2" t="inlineStr">
        <is>
          <t>LineItem</t>
        </is>
      </c>
      <c r="C1" s="2" t="inlineStr">
        <is>
          <t>Year</t>
        </is>
      </c>
      <c r="D1" s="2" t="inlineStr">
        <is>
          <t>Amount</t>
        </is>
      </c>
    </row>
    <row r="2">
      <c r="A2" t="inlineStr">
        <is>
          <t>Profit &amp; loss</t>
        </is>
      </c>
      <c r="B2" t="inlineStr">
        <is>
          <t>Revenue</t>
        </is>
      </c>
      <c r="C2" t="inlineStr">
        <is>
          <t>FY2024</t>
        </is>
      </c>
      <c r="D2" t="n">
        <v>42000000</v>
      </c>
    </row>
    <row r="3">
      <c r="A3" t="inlineStr">
        <is>
          <t>Profit &amp; loss</t>
        </is>
      </c>
      <c r="B3" t="inlineStr">
        <is>
          <t>Cost of goods sold</t>
        </is>
      </c>
      <c r="C3" t="inlineStr">
        <is>
          <t>FY2024</t>
        </is>
      </c>
      <c r="D3" t="n">
        <v>26040000</v>
      </c>
    </row>
    <row r="4">
      <c r="A4" t="inlineStr">
        <is>
          <t>Profit &amp; loss</t>
        </is>
      </c>
      <c r="B4" t="inlineStr">
        <is>
          <t>Operating expenses</t>
        </is>
      </c>
      <c r="C4" t="inlineStr">
        <is>
          <t>FY2024</t>
        </is>
      </c>
      <c r="D4" t="n">
        <v>9240000</v>
      </c>
    </row>
    <row r="5">
      <c r="A5" t="inlineStr">
        <is>
          <t>Profit &amp; loss</t>
        </is>
      </c>
      <c r="B5" t="inlineStr">
        <is>
          <t>Depreciation</t>
        </is>
      </c>
      <c r="C5" t="inlineStr">
        <is>
          <t>FY2024</t>
        </is>
      </c>
      <c r="D5" t="n">
        <v>1800000</v>
      </c>
    </row>
    <row r="6">
      <c r="A6" t="inlineStr">
        <is>
          <t>Profit &amp; loss</t>
        </is>
      </c>
      <c r="B6" t="inlineStr">
        <is>
          <t>Interest expense</t>
        </is>
      </c>
      <c r="C6" t="inlineStr">
        <is>
          <t>FY2024</t>
        </is>
      </c>
      <c r="D6" t="n">
        <v>2200000</v>
      </c>
    </row>
    <row r="7">
      <c r="A7" t="inlineStr">
        <is>
          <t>Profit &amp; loss</t>
        </is>
      </c>
      <c r="B7" t="inlineStr">
        <is>
          <t>Tax expense</t>
        </is>
      </c>
      <c r="C7" t="inlineStr">
        <is>
          <t>FY2024</t>
        </is>
      </c>
      <c r="D7" t="n">
        <v>680000</v>
      </c>
    </row>
    <row r="8">
      <c r="A8" t="inlineStr">
        <is>
          <t>Balance sheet</t>
        </is>
      </c>
      <c r="B8" t="inlineStr">
        <is>
          <t>Cash and bank</t>
        </is>
      </c>
      <c r="C8" t="inlineStr">
        <is>
          <t>FY2024</t>
        </is>
      </c>
      <c r="D8" t="n">
        <v>10331342</v>
      </c>
    </row>
    <row r="9">
      <c r="A9" t="inlineStr">
        <is>
          <t>Balance sheet</t>
        </is>
      </c>
      <c r="B9" t="inlineStr">
        <is>
          <t>Trade receivables</t>
        </is>
      </c>
      <c r="C9" t="inlineStr">
        <is>
          <t>FY2024</t>
        </is>
      </c>
      <c r="D9" t="n">
        <v>5523288</v>
      </c>
    </row>
    <row r="10">
      <c r="A10" t="inlineStr">
        <is>
          <t>Balance sheet</t>
        </is>
      </c>
      <c r="B10" t="inlineStr">
        <is>
          <t>Inventories</t>
        </is>
      </c>
      <c r="C10" t="inlineStr">
        <is>
          <t>FY2024</t>
        </is>
      </c>
      <c r="D10" t="n">
        <v>2996384</v>
      </c>
    </row>
    <row r="11">
      <c r="A11" t="inlineStr">
        <is>
          <t>Balance sheet</t>
        </is>
      </c>
      <c r="B11" t="inlineStr">
        <is>
          <t>Other current assets</t>
        </is>
      </c>
      <c r="C11" t="inlineStr">
        <is>
          <t>FY2024</t>
        </is>
      </c>
      <c r="D11" t="n">
        <v>800000</v>
      </c>
    </row>
    <row r="12">
      <c r="A12" t="inlineStr">
        <is>
          <t>Balance sheet</t>
        </is>
      </c>
      <c r="B12" t="inlineStr">
        <is>
          <t>Property plant and equipment (net)</t>
        </is>
      </c>
      <c r="C12" t="inlineStr">
        <is>
          <t>FY2024</t>
        </is>
      </c>
      <c r="D12" t="n">
        <v>15200000</v>
      </c>
    </row>
    <row r="13">
      <c r="A13" t="inlineStr">
        <is>
          <t>Balance sheet</t>
        </is>
      </c>
      <c r="B13" t="inlineStr">
        <is>
          <t>Other non-current assets</t>
        </is>
      </c>
      <c r="C13" t="inlineStr">
        <is>
          <t>FY2024</t>
        </is>
      </c>
      <c r="D13" t="n">
        <v>1500000</v>
      </c>
    </row>
    <row r="14">
      <c r="A14" t="inlineStr">
        <is>
          <t>Balance sheet</t>
        </is>
      </c>
      <c r="B14" t="inlineStr">
        <is>
          <t>Trade payables</t>
        </is>
      </c>
      <c r="C14" t="inlineStr">
        <is>
          <t>FY2024</t>
        </is>
      </c>
      <c r="D14" t="n">
        <v>2711014</v>
      </c>
    </row>
    <row r="15">
      <c r="A15" t="inlineStr">
        <is>
          <t>Balance sheet</t>
        </is>
      </c>
      <c r="B15" t="inlineStr">
        <is>
          <t>Short-term borrowings</t>
        </is>
      </c>
      <c r="C15" t="inlineStr">
        <is>
          <t>FY2024</t>
        </is>
      </c>
      <c r="D15" t="n">
        <v>4000000</v>
      </c>
    </row>
    <row r="16">
      <c r="A16" t="inlineStr">
        <is>
          <t>Balance sheet</t>
        </is>
      </c>
      <c r="B16" t="inlineStr">
        <is>
          <t>Other current liabilities</t>
        </is>
      </c>
      <c r="C16" t="inlineStr">
        <is>
          <t>FY2024</t>
        </is>
      </c>
      <c r="D16" t="n">
        <v>600000</v>
      </c>
    </row>
    <row r="17">
      <c r="A17" t="inlineStr">
        <is>
          <t>Balance sheet</t>
        </is>
      </c>
      <c r="B17" t="inlineStr">
        <is>
          <t>Long-term borrowings</t>
        </is>
      </c>
      <c r="C17" t="inlineStr">
        <is>
          <t>FY2024</t>
        </is>
      </c>
      <c r="D17" t="n">
        <v>12000000</v>
      </c>
    </row>
    <row r="18">
      <c r="A18" t="inlineStr">
        <is>
          <t>Balance sheet</t>
        </is>
      </c>
      <c r="B18" t="inlineStr">
        <is>
          <t>Share capital</t>
        </is>
      </c>
      <c r="C18" t="inlineStr">
        <is>
          <t>FY2024</t>
        </is>
      </c>
      <c r="D18" t="n">
        <v>10000000</v>
      </c>
    </row>
    <row r="19">
      <c r="A19" t="inlineStr">
        <is>
          <t>Balance sheet</t>
        </is>
      </c>
      <c r="B19" t="inlineStr">
        <is>
          <t>Retained earnings</t>
        </is>
      </c>
      <c r="C19" t="inlineStr">
        <is>
          <t>FY2024</t>
        </is>
      </c>
      <c r="D19" t="n">
        <v>7040000</v>
      </c>
    </row>
    <row r="20">
      <c r="A20" t="inlineStr">
        <is>
          <t>Cash flow</t>
        </is>
      </c>
      <c r="B20" t="inlineStr">
        <is>
          <t>Capital expenditure</t>
        </is>
      </c>
      <c r="C20" t="inlineStr">
        <is>
          <t>FY2024</t>
        </is>
      </c>
      <c r="D20" t="n">
        <v>3000000</v>
      </c>
    </row>
    <row r="21">
      <c r="A21" t="inlineStr">
        <is>
          <t>Cash flow</t>
        </is>
      </c>
      <c r="B21" t="inlineStr">
        <is>
          <t>Dividends paid</t>
        </is>
      </c>
      <c r="C21" t="inlineStr">
        <is>
          <t>FY2024</t>
        </is>
      </c>
      <c r="D21" t="n">
        <v>1000000</v>
      </c>
    </row>
    <row r="22">
      <c r="A22" t="inlineStr">
        <is>
          <t>Profit &amp; loss</t>
        </is>
      </c>
      <c r="B22" t="inlineStr">
        <is>
          <t>Revenue</t>
        </is>
      </c>
      <c r="C22" t="inlineStr">
        <is>
          <t>FY2025</t>
        </is>
      </c>
      <c r="D22" t="n">
        <v>49560000</v>
      </c>
    </row>
    <row r="23">
      <c r="A23" t="inlineStr">
        <is>
          <t>Profit &amp; loss</t>
        </is>
      </c>
      <c r="B23" t="inlineStr">
        <is>
          <t>Cost of goods sold</t>
        </is>
      </c>
      <c r="C23" t="inlineStr">
        <is>
          <t>FY2025</t>
        </is>
      </c>
      <c r="D23" t="n">
        <v>29983800</v>
      </c>
    </row>
    <row r="24">
      <c r="A24" t="inlineStr">
        <is>
          <t>Profit &amp; loss</t>
        </is>
      </c>
      <c r="B24" t="inlineStr">
        <is>
          <t>Operating expenses</t>
        </is>
      </c>
      <c r="C24" t="inlineStr">
        <is>
          <t>FY2025</t>
        </is>
      </c>
      <c r="D24" t="n">
        <v>10655400</v>
      </c>
    </row>
    <row r="25">
      <c r="A25" t="inlineStr">
        <is>
          <t>Profit &amp; loss</t>
        </is>
      </c>
      <c r="B25" t="inlineStr">
        <is>
          <t>Depreciation</t>
        </is>
      </c>
      <c r="C25" t="inlineStr">
        <is>
          <t>FY2025</t>
        </is>
      </c>
      <c r="D25" t="n">
        <v>2100000</v>
      </c>
    </row>
    <row r="26">
      <c r="A26" t="inlineStr">
        <is>
          <t>Profit &amp; loss</t>
        </is>
      </c>
      <c r="B26" t="inlineStr">
        <is>
          <t>Interest expense</t>
        </is>
      </c>
      <c r="C26" t="inlineStr">
        <is>
          <t>FY2025</t>
        </is>
      </c>
      <c r="D26" t="n">
        <v>2500000</v>
      </c>
    </row>
    <row r="27">
      <c r="A27" t="inlineStr">
        <is>
          <t>Profit &amp; loss</t>
        </is>
      </c>
      <c r="B27" t="inlineStr">
        <is>
          <t>Tax expense</t>
        </is>
      </c>
      <c r="C27" t="inlineStr">
        <is>
          <t>FY2025</t>
        </is>
      </c>
      <c r="D27" t="n">
        <v>1080200</v>
      </c>
    </row>
    <row r="28">
      <c r="A28" t="inlineStr">
        <is>
          <t>Balance sheet</t>
        </is>
      </c>
      <c r="B28" t="inlineStr">
        <is>
          <t>Cash and bank</t>
        </is>
      </c>
      <c r="C28" t="inlineStr">
        <is>
          <t>FY2025</t>
        </is>
      </c>
      <c r="D28" t="n">
        <v>11809260</v>
      </c>
    </row>
    <row r="29">
      <c r="A29" t="inlineStr">
        <is>
          <t>Balance sheet</t>
        </is>
      </c>
      <c r="B29" t="inlineStr">
        <is>
          <t>Trade receivables</t>
        </is>
      </c>
      <c r="C29" t="inlineStr">
        <is>
          <t>FY2025</t>
        </is>
      </c>
      <c r="D29" t="n">
        <v>7060603</v>
      </c>
    </row>
    <row r="30">
      <c r="A30" t="inlineStr">
        <is>
          <t>Balance sheet</t>
        </is>
      </c>
      <c r="B30" t="inlineStr">
        <is>
          <t>Inventories</t>
        </is>
      </c>
      <c r="C30" t="inlineStr">
        <is>
          <t>FY2025</t>
        </is>
      </c>
      <c r="D30" t="n">
        <v>3696633</v>
      </c>
    </row>
    <row r="31">
      <c r="A31" t="inlineStr">
        <is>
          <t>Balance sheet</t>
        </is>
      </c>
      <c r="B31" t="inlineStr">
        <is>
          <t>Other current assets</t>
        </is>
      </c>
      <c r="C31" t="inlineStr">
        <is>
          <t>FY2025</t>
        </is>
      </c>
      <c r="D31" t="n">
        <v>900000</v>
      </c>
    </row>
    <row r="32">
      <c r="A32" t="inlineStr">
        <is>
          <t>Balance sheet</t>
        </is>
      </c>
      <c r="B32" t="inlineStr">
        <is>
          <t>Property plant and equipment (net)</t>
        </is>
      </c>
      <c r="C32" t="inlineStr">
        <is>
          <t>FY2025</t>
        </is>
      </c>
      <c r="D32" t="n">
        <v>16600000</v>
      </c>
    </row>
    <row r="33">
      <c r="A33" t="inlineStr">
        <is>
          <t>Balance sheet</t>
        </is>
      </c>
      <c r="B33" t="inlineStr">
        <is>
          <t>Other non-current assets</t>
        </is>
      </c>
      <c r="C33" t="inlineStr">
        <is>
          <t>FY2025</t>
        </is>
      </c>
      <c r="D33" t="n">
        <v>1500000</v>
      </c>
    </row>
    <row r="34">
      <c r="A34" t="inlineStr">
        <is>
          <t>Balance sheet</t>
        </is>
      </c>
      <c r="B34" t="inlineStr">
        <is>
          <t>Trade payables</t>
        </is>
      </c>
      <c r="C34" t="inlineStr">
        <is>
          <t>FY2025</t>
        </is>
      </c>
      <c r="D34" t="n">
        <v>3285896</v>
      </c>
    </row>
    <row r="35">
      <c r="A35" t="inlineStr">
        <is>
          <t>Balance sheet</t>
        </is>
      </c>
      <c r="B35" t="inlineStr">
        <is>
          <t>Short-term borrowings</t>
        </is>
      </c>
      <c r="C35" t="inlineStr">
        <is>
          <t>FY2025</t>
        </is>
      </c>
      <c r="D35" t="n">
        <v>5000000</v>
      </c>
    </row>
    <row r="36">
      <c r="A36" t="inlineStr">
        <is>
          <t>Balance sheet</t>
        </is>
      </c>
      <c r="B36" t="inlineStr">
        <is>
          <t>Other current liabilities</t>
        </is>
      </c>
      <c r="C36" t="inlineStr">
        <is>
          <t>FY2025</t>
        </is>
      </c>
      <c r="D36" t="n">
        <v>700000</v>
      </c>
    </row>
    <row r="37">
      <c r="A37" t="inlineStr">
        <is>
          <t>Balance sheet</t>
        </is>
      </c>
      <c r="B37" t="inlineStr">
        <is>
          <t>Long-term borrowings</t>
        </is>
      </c>
      <c r="C37" t="inlineStr">
        <is>
          <t>FY2025</t>
        </is>
      </c>
      <c r="D37" t="n">
        <v>13500000</v>
      </c>
    </row>
    <row r="38">
      <c r="A38" t="inlineStr">
        <is>
          <t>Balance sheet</t>
        </is>
      </c>
      <c r="B38" t="inlineStr">
        <is>
          <t>Share capital</t>
        </is>
      </c>
      <c r="C38" t="inlineStr">
        <is>
          <t>FY2025</t>
        </is>
      </c>
      <c r="D38" t="n">
        <v>10000000</v>
      </c>
    </row>
    <row r="39">
      <c r="A39" t="inlineStr">
        <is>
          <t>Balance sheet</t>
        </is>
      </c>
      <c r="B39" t="inlineStr">
        <is>
          <t>Retained earnings</t>
        </is>
      </c>
      <c r="C39" t="inlineStr">
        <is>
          <t>FY2025</t>
        </is>
      </c>
      <c r="D39" t="n">
        <v>9080600</v>
      </c>
    </row>
    <row r="40">
      <c r="A40" t="inlineStr">
        <is>
          <t>Cash flow</t>
        </is>
      </c>
      <c r="B40" t="inlineStr">
        <is>
          <t>Capital expenditure</t>
        </is>
      </c>
      <c r="C40" t="inlineStr">
        <is>
          <t>FY2025</t>
        </is>
      </c>
      <c r="D40" t="n">
        <v>3500000</v>
      </c>
    </row>
    <row r="41">
      <c r="A41" t="inlineStr">
        <is>
          <t>Cash flow</t>
        </is>
      </c>
      <c r="B41" t="inlineStr">
        <is>
          <t>Dividends paid</t>
        </is>
      </c>
      <c r="C41" t="inlineStr">
        <is>
          <t>FY2025</t>
        </is>
      </c>
      <c r="D41" t="n">
        <v>1200000</v>
      </c>
    </row>
    <row r="42">
      <c r="A42" t="inlineStr">
        <is>
          <t>Profit &amp; loss</t>
        </is>
      </c>
      <c r="B42" t="inlineStr">
        <is>
          <t>Revenue</t>
        </is>
      </c>
      <c r="C42" t="inlineStr">
        <is>
          <t>FY2026</t>
        </is>
      </c>
      <c r="D42" t="n">
        <v>60463200</v>
      </c>
    </row>
    <row r="43">
      <c r="A43" t="inlineStr">
        <is>
          <t>Profit &amp; loss</t>
        </is>
      </c>
      <c r="B43" t="inlineStr">
        <is>
          <t>Cost of goods sold</t>
        </is>
      </c>
      <c r="C43" t="inlineStr">
        <is>
          <t>FY2026</t>
        </is>
      </c>
      <c r="D43" t="n">
        <v>35673288</v>
      </c>
    </row>
    <row r="44">
      <c r="A44" t="inlineStr">
        <is>
          <t>Profit &amp; loss</t>
        </is>
      </c>
      <c r="B44" t="inlineStr">
        <is>
          <t>Operating expenses</t>
        </is>
      </c>
      <c r="C44" t="inlineStr">
        <is>
          <t>FY2026</t>
        </is>
      </c>
      <c r="D44" t="n">
        <v>12697272</v>
      </c>
    </row>
    <row r="45">
      <c r="A45" t="inlineStr">
        <is>
          <t>Profit &amp; loss</t>
        </is>
      </c>
      <c r="B45" t="inlineStr">
        <is>
          <t>Depreciation</t>
        </is>
      </c>
      <c r="C45" t="inlineStr">
        <is>
          <t>FY2026</t>
        </is>
      </c>
      <c r="D45" t="n">
        <v>2400000</v>
      </c>
    </row>
    <row r="46">
      <c r="A46" t="inlineStr">
        <is>
          <t>Profit &amp; loss</t>
        </is>
      </c>
      <c r="B46" t="inlineStr">
        <is>
          <t>Interest expense</t>
        </is>
      </c>
      <c r="C46" t="inlineStr">
        <is>
          <t>FY2026</t>
        </is>
      </c>
      <c r="D46" t="n">
        <v>2300000</v>
      </c>
    </row>
    <row r="47">
      <c r="A47" t="inlineStr">
        <is>
          <t>Profit &amp; loss</t>
        </is>
      </c>
      <c r="B47" t="inlineStr">
        <is>
          <t>Tax expense</t>
        </is>
      </c>
      <c r="C47" t="inlineStr">
        <is>
          <t>FY2026</t>
        </is>
      </c>
      <c r="D47" t="n">
        <v>1848160</v>
      </c>
    </row>
    <row r="48">
      <c r="A48" t="inlineStr">
        <is>
          <t>Balance sheet</t>
        </is>
      </c>
      <c r="B48" t="inlineStr">
        <is>
          <t>Cash and bank</t>
        </is>
      </c>
      <c r="C48" t="inlineStr">
        <is>
          <t>FY2026</t>
        </is>
      </c>
      <c r="D48" t="n">
        <v>7798938</v>
      </c>
    </row>
    <row r="49">
      <c r="A49" t="inlineStr">
        <is>
          <t>Balance sheet</t>
        </is>
      </c>
      <c r="B49" t="inlineStr">
        <is>
          <t>Trade receivables</t>
        </is>
      </c>
      <c r="C49" t="inlineStr">
        <is>
          <t>FY2026</t>
        </is>
      </c>
      <c r="D49" t="n">
        <v>9607851</v>
      </c>
    </row>
    <row r="50">
      <c r="A50" t="inlineStr">
        <is>
          <t>Balance sheet</t>
        </is>
      </c>
      <c r="B50" t="inlineStr">
        <is>
          <t>Inventories</t>
        </is>
      </c>
      <c r="C50" t="inlineStr">
        <is>
          <t>FY2026</t>
        </is>
      </c>
      <c r="D50" t="n">
        <v>4886752</v>
      </c>
    </row>
    <row r="51">
      <c r="A51" t="inlineStr">
        <is>
          <t>Balance sheet</t>
        </is>
      </c>
      <c r="B51" t="inlineStr">
        <is>
          <t>Other current assets</t>
        </is>
      </c>
      <c r="C51" t="inlineStr">
        <is>
          <t>FY2026</t>
        </is>
      </c>
      <c r="D51" t="n">
        <v>1000000</v>
      </c>
    </row>
    <row r="52">
      <c r="A52" t="inlineStr">
        <is>
          <t>Balance sheet</t>
        </is>
      </c>
      <c r="B52" t="inlineStr">
        <is>
          <t>Property plant and equipment (net)</t>
        </is>
      </c>
      <c r="C52" t="inlineStr">
        <is>
          <t>FY2026</t>
        </is>
      </c>
      <c r="D52" t="n">
        <v>17000000</v>
      </c>
    </row>
    <row r="53">
      <c r="A53" t="inlineStr">
        <is>
          <t>Balance sheet</t>
        </is>
      </c>
      <c r="B53" t="inlineStr">
        <is>
          <t>Other non-current assets</t>
        </is>
      </c>
      <c r="C53" t="inlineStr">
        <is>
          <t>FY2026</t>
        </is>
      </c>
      <c r="D53" t="n">
        <v>1500000</v>
      </c>
    </row>
    <row r="54">
      <c r="A54" t="inlineStr">
        <is>
          <t>Balance sheet</t>
        </is>
      </c>
      <c r="B54" t="inlineStr">
        <is>
          <t>Trade payables</t>
        </is>
      </c>
      <c r="C54" t="inlineStr">
        <is>
          <t>FY2026</t>
        </is>
      </c>
      <c r="D54" t="n">
        <v>3518461</v>
      </c>
    </row>
    <row r="55">
      <c r="A55" t="inlineStr">
        <is>
          <t>Balance sheet</t>
        </is>
      </c>
      <c r="B55" t="inlineStr">
        <is>
          <t>Short-term borrowings</t>
        </is>
      </c>
      <c r="C55" t="inlineStr">
        <is>
          <t>FY2026</t>
        </is>
      </c>
      <c r="D55" t="n">
        <v>3500000</v>
      </c>
    </row>
    <row r="56">
      <c r="A56" t="inlineStr">
        <is>
          <t>Balance sheet</t>
        </is>
      </c>
      <c r="B56" t="inlineStr">
        <is>
          <t>Other current liabilities</t>
        </is>
      </c>
      <c r="C56" t="inlineStr">
        <is>
          <t>FY2026</t>
        </is>
      </c>
      <c r="D56" t="n">
        <v>650000</v>
      </c>
    </row>
    <row r="57">
      <c r="A57" t="inlineStr">
        <is>
          <t>Balance sheet</t>
        </is>
      </c>
      <c r="B57" t="inlineStr">
        <is>
          <t>Long-term borrowings</t>
        </is>
      </c>
      <c r="C57" t="inlineStr">
        <is>
          <t>FY2026</t>
        </is>
      </c>
      <c r="D57" t="n">
        <v>11000000</v>
      </c>
    </row>
    <row r="58">
      <c r="A58" t="inlineStr">
        <is>
          <t>Balance sheet</t>
        </is>
      </c>
      <c r="B58" t="inlineStr">
        <is>
          <t>Share capital</t>
        </is>
      </c>
      <c r="C58" t="inlineStr">
        <is>
          <t>FY2026</t>
        </is>
      </c>
      <c r="D58" t="n">
        <v>10000000</v>
      </c>
    </row>
    <row r="59">
      <c r="A59" t="inlineStr">
        <is>
          <t>Balance sheet</t>
        </is>
      </c>
      <c r="B59" t="inlineStr">
        <is>
          <t>Retained earnings</t>
        </is>
      </c>
      <c r="C59" t="inlineStr">
        <is>
          <t>FY2026</t>
        </is>
      </c>
      <c r="D59" t="n">
        <v>13125080</v>
      </c>
    </row>
    <row r="60">
      <c r="A60" t="inlineStr">
        <is>
          <t>Cash flow</t>
        </is>
      </c>
      <c r="B60" t="inlineStr">
        <is>
          <t>Capital expenditure</t>
        </is>
      </c>
      <c r="C60" t="inlineStr">
        <is>
          <t>FY2026</t>
        </is>
      </c>
      <c r="D60" t="n">
        <v>2800000</v>
      </c>
    </row>
    <row r="61">
      <c r="A61" t="inlineStr">
        <is>
          <t>Cash flow</t>
        </is>
      </c>
      <c r="B61" t="inlineStr">
        <is>
          <t>Dividends paid</t>
        </is>
      </c>
      <c r="C61" t="inlineStr">
        <is>
          <t>FY2026</t>
        </is>
      </c>
      <c r="D61" t="n">
        <v>1500000</v>
      </c>
    </row>
    <row r="62">
      <c r="A62" t="inlineStr">
        <is>
          <t>Balance sheet</t>
        </is>
      </c>
      <c r="B62" t="inlineStr">
        <is>
          <t>Trade receivables</t>
        </is>
      </c>
      <c r="C62" t="inlineStr">
        <is>
          <t>Opening</t>
        </is>
      </c>
      <c r="D62" t="n">
        <v>5000000</v>
      </c>
    </row>
    <row r="63">
      <c r="A63" t="inlineStr">
        <is>
          <t>Balance sheet</t>
        </is>
      </c>
      <c r="B63" t="inlineStr">
        <is>
          <t>Inventories</t>
        </is>
      </c>
      <c r="C63" t="inlineStr">
        <is>
          <t>Opening</t>
        </is>
      </c>
      <c r="D63" t="n">
        <v>6000000</v>
      </c>
    </row>
    <row r="64">
      <c r="A64" t="inlineStr">
        <is>
          <t>Balance sheet</t>
        </is>
      </c>
      <c r="B64" t="inlineStr">
        <is>
          <t>Other current assets</t>
        </is>
      </c>
      <c r="C64" t="inlineStr">
        <is>
          <t>Opening</t>
        </is>
      </c>
      <c r="D64" t="n">
        <v>700000</v>
      </c>
    </row>
    <row r="65">
      <c r="A65" t="inlineStr">
        <is>
          <t>Balance sheet</t>
        </is>
      </c>
      <c r="B65" t="inlineStr">
        <is>
          <t>Property plant and equipment (net)</t>
        </is>
      </c>
      <c r="C65" t="inlineStr">
        <is>
          <t>Opening</t>
        </is>
      </c>
      <c r="D65" t="n">
        <v>14000000</v>
      </c>
    </row>
    <row r="66">
      <c r="A66" t="inlineStr">
        <is>
          <t>Balance sheet</t>
        </is>
      </c>
      <c r="B66" t="inlineStr">
        <is>
          <t>Other non-current assets</t>
        </is>
      </c>
      <c r="C66" t="inlineStr">
        <is>
          <t>Opening</t>
        </is>
      </c>
      <c r="D66" t="n">
        <v>1500000</v>
      </c>
    </row>
    <row r="67">
      <c r="A67" t="inlineStr">
        <is>
          <t>Balance sheet</t>
        </is>
      </c>
      <c r="B67" t="inlineStr">
        <is>
          <t>Trade payables</t>
        </is>
      </c>
      <c r="C67" t="inlineStr">
        <is>
          <t>Opening</t>
        </is>
      </c>
      <c r="D67" t="n">
        <v>4000000</v>
      </c>
    </row>
    <row r="68">
      <c r="A68" t="inlineStr">
        <is>
          <t>Balance sheet</t>
        </is>
      </c>
      <c r="B68" t="inlineStr">
        <is>
          <t>Short-term borrowings</t>
        </is>
      </c>
      <c r="C68" t="inlineStr">
        <is>
          <t>Opening</t>
        </is>
      </c>
      <c r="D68" t="n">
        <v>3500000</v>
      </c>
    </row>
    <row r="69">
      <c r="A69" t="inlineStr">
        <is>
          <t>Balance sheet</t>
        </is>
      </c>
      <c r="B69" t="inlineStr">
        <is>
          <t>Other current liabilities</t>
        </is>
      </c>
      <c r="C69" t="inlineStr">
        <is>
          <t>Opening</t>
        </is>
      </c>
      <c r="D69" t="n">
        <v>500000</v>
      </c>
    </row>
    <row r="70">
      <c r="A70" t="inlineStr">
        <is>
          <t>Balance sheet</t>
        </is>
      </c>
      <c r="B70" t="inlineStr">
        <is>
          <t>Long-term borrowings</t>
        </is>
      </c>
      <c r="C70" t="inlineStr">
        <is>
          <t>Opening</t>
        </is>
      </c>
      <c r="D70" t="n">
        <v>11000000</v>
      </c>
    </row>
    <row r="71">
      <c r="A71" t="inlineStr">
        <is>
          <t>Balance sheet</t>
        </is>
      </c>
      <c r="B71" t="inlineStr">
        <is>
          <t>Share capital</t>
        </is>
      </c>
      <c r="C71" t="inlineStr">
        <is>
          <t>Opening</t>
        </is>
      </c>
      <c r="D71" t="n">
        <v>10000000</v>
      </c>
    </row>
    <row r="72">
      <c r="A72" t="inlineStr">
        <is>
          <t>Balance sheet</t>
        </is>
      </c>
      <c r="B72" t="inlineStr">
        <is>
          <t>Retained earnings</t>
        </is>
      </c>
      <c r="C72" t="inlineStr">
        <is>
          <t>Opening</t>
        </is>
      </c>
      <c r="D72" t="n">
        <v>6000000</v>
      </c>
    </row>
    <row r="73">
      <c r="A73" t="inlineStr">
        <is>
          <t>Balance sheet</t>
        </is>
      </c>
      <c r="B73" t="inlineStr">
        <is>
          <t>Cash and bank</t>
        </is>
      </c>
      <c r="C73" t="inlineStr">
        <is>
          <t>Opening</t>
        </is>
      </c>
      <c r="D73" t="n">
        <v>7800000</v>
      </c>
    </row>
  </sheetData>
  <autoFilter ref="A1:D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style="3" min="2" max="2"/>
    <col width="14" customWidth="1" style="3" min="3" max="3"/>
    <col width="14" customWidth="1" style="3" min="4" max="4"/>
    <col width="14" customWidth="1" style="3" min="5" max="5"/>
    <col width="14" customWidth="1" style="3" min="6" max="6"/>
    <col width="14" customWidth="1" style="3" min="7" max="7"/>
  </cols>
  <sheetData>
    <row r="1">
      <c r="A1" s="2" t="inlineStr">
        <is>
          <t>Month</t>
        </is>
      </c>
      <c r="B1" s="2" t="inlineStr">
        <is>
          <t>Revenue</t>
        </is>
      </c>
      <c r="C1" s="2" t="inlineStr">
        <is>
          <t>COGS</t>
        </is>
      </c>
      <c r="D1" s="2" t="inlineStr">
        <is>
          <t>Opex</t>
        </is>
      </c>
      <c r="E1" s="2" t="inlineStr">
        <is>
          <t>Receivables</t>
        </is>
      </c>
      <c r="F1" s="2" t="inlineStr">
        <is>
          <t>Inventory</t>
        </is>
      </c>
      <c r="G1" s="2" t="inlineStr">
        <is>
          <t>Payables</t>
        </is>
      </c>
    </row>
    <row r="2">
      <c r="A2" t="inlineStr">
        <is>
          <t>2025-04</t>
        </is>
      </c>
      <c r="B2" t="n">
        <v>4817785</v>
      </c>
      <c r="C2" t="n">
        <v>2842493</v>
      </c>
      <c r="D2" t="n">
        <v>1011735</v>
      </c>
      <c r="E2" t="n">
        <v>7411806</v>
      </c>
      <c r="F2" t="n">
        <v>3784495</v>
      </c>
      <c r="G2" t="n">
        <v>2925031</v>
      </c>
    </row>
    <row r="3">
      <c r="A3" t="inlineStr">
        <is>
          <t>2025-05</t>
        </is>
      </c>
      <c r="B3" t="n">
        <v>4817785</v>
      </c>
      <c r="C3" t="n">
        <v>2842493</v>
      </c>
      <c r="D3" t="n">
        <v>1011735</v>
      </c>
      <c r="E3" t="n">
        <v>7623769</v>
      </c>
      <c r="F3" t="n">
        <v>3892895</v>
      </c>
      <c r="G3" t="n">
        <v>2864529</v>
      </c>
    </row>
    <row r="4">
      <c r="A4" t="inlineStr">
        <is>
          <t>2025-06</t>
        </is>
      </c>
      <c r="B4" t="n">
        <v>5058674</v>
      </c>
      <c r="C4" t="n">
        <v>2984618</v>
      </c>
      <c r="D4" t="n">
        <v>1062322</v>
      </c>
      <c r="E4" t="n">
        <v>7589748</v>
      </c>
      <c r="F4" t="n">
        <v>3856757</v>
      </c>
      <c r="G4" t="n">
        <v>2933953</v>
      </c>
    </row>
    <row r="5">
      <c r="A5" t="inlineStr">
        <is>
          <t>2025-07</t>
        </is>
      </c>
      <c r="B5" t="n">
        <v>4576896</v>
      </c>
      <c r="C5" t="n">
        <v>2700369</v>
      </c>
      <c r="D5" t="n">
        <v>961148</v>
      </c>
      <c r="E5" t="n">
        <v>7788988</v>
      </c>
      <c r="F5" t="n">
        <v>3985374</v>
      </c>
      <c r="G5" t="n">
        <v>3129252</v>
      </c>
    </row>
    <row r="6">
      <c r="A6" t="inlineStr">
        <is>
          <t>2025-08</t>
        </is>
      </c>
      <c r="B6" t="n">
        <v>4817785</v>
      </c>
      <c r="C6" t="n">
        <v>2842493</v>
      </c>
      <c r="D6" t="n">
        <v>1011735</v>
      </c>
      <c r="E6" t="n">
        <v>8093154</v>
      </c>
      <c r="F6" t="n">
        <v>4266530</v>
      </c>
      <c r="G6" t="n">
        <v>3176422</v>
      </c>
    </row>
    <row r="7">
      <c r="A7" t="inlineStr">
        <is>
          <t>2025-09</t>
        </is>
      </c>
      <c r="B7" t="n">
        <v>5058674</v>
      </c>
      <c r="C7" t="n">
        <v>2984618</v>
      </c>
      <c r="D7" t="n">
        <v>1062322</v>
      </c>
      <c r="E7" t="n">
        <v>7954196</v>
      </c>
      <c r="F7" t="n">
        <v>4395404</v>
      </c>
      <c r="G7" t="n">
        <v>3093879</v>
      </c>
    </row>
    <row r="8">
      <c r="A8" t="inlineStr">
        <is>
          <t>2025-10</t>
        </is>
      </c>
      <c r="B8" t="n">
        <v>6022231</v>
      </c>
      <c r="C8" t="n">
        <v>3553116</v>
      </c>
      <c r="D8" t="n">
        <v>1264668</v>
      </c>
      <c r="E8" t="n">
        <v>8423974</v>
      </c>
      <c r="F8" t="n">
        <v>4442167</v>
      </c>
      <c r="G8" t="n">
        <v>3148907</v>
      </c>
    </row>
    <row r="9">
      <c r="A9" t="inlineStr">
        <is>
          <t>2025-11</t>
        </is>
      </c>
      <c r="B9" t="n">
        <v>6263120</v>
      </c>
      <c r="C9" t="n">
        <v>3695241</v>
      </c>
      <c r="D9" t="n">
        <v>1315255</v>
      </c>
      <c r="E9" t="n">
        <v>8685883</v>
      </c>
      <c r="F9" t="n">
        <v>4518742</v>
      </c>
      <c r="G9" t="n">
        <v>3386840</v>
      </c>
    </row>
    <row r="10">
      <c r="A10" t="inlineStr">
        <is>
          <t>2025-12</t>
        </is>
      </c>
      <c r="B10" t="n">
        <v>5299563</v>
      </c>
      <c r="C10" t="n">
        <v>3126742</v>
      </c>
      <c r="D10" t="n">
        <v>1112908</v>
      </c>
      <c r="E10" t="n">
        <v>9239876</v>
      </c>
      <c r="F10" t="n">
        <v>4700461</v>
      </c>
      <c r="G10" t="n">
        <v>3391090</v>
      </c>
    </row>
    <row r="11">
      <c r="A11" t="inlineStr">
        <is>
          <t>2026-01</t>
        </is>
      </c>
      <c r="B11" t="n">
        <v>4576896</v>
      </c>
      <c r="C11" t="n">
        <v>2700368</v>
      </c>
      <c r="D11" t="n">
        <v>961148</v>
      </c>
      <c r="E11" t="n">
        <v>8936827</v>
      </c>
      <c r="F11" t="n">
        <v>4517030</v>
      </c>
      <c r="G11" t="n">
        <v>3517512</v>
      </c>
    </row>
    <row r="12">
      <c r="A12" t="inlineStr">
        <is>
          <t>2026-02</t>
        </is>
      </c>
      <c r="B12" t="n">
        <v>4095117</v>
      </c>
      <c r="C12" t="n">
        <v>2416119</v>
      </c>
      <c r="D12" t="n">
        <v>859975</v>
      </c>
      <c r="E12" t="n">
        <v>9268597</v>
      </c>
      <c r="F12" t="n">
        <v>4653141</v>
      </c>
      <c r="G12" t="n">
        <v>3360596</v>
      </c>
    </row>
    <row r="13">
      <c r="A13" t="inlineStr">
        <is>
          <t>2026-03</t>
        </is>
      </c>
      <c r="B13" t="n">
        <v>5058674</v>
      </c>
      <c r="C13" t="n">
        <v>2984618</v>
      </c>
      <c r="D13" t="n">
        <v>1062321</v>
      </c>
      <c r="E13" t="n">
        <v>9607851</v>
      </c>
      <c r="F13" t="n">
        <v>4886752</v>
      </c>
      <c r="G13" t="n">
        <v>3518461</v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style="3" min="2" max="2"/>
    <col width="18" customWidth="1" style="3" min="3" max="3"/>
    <col width="18" customWidth="1" style="3" min="4" max="4"/>
  </cols>
  <sheetData>
    <row r="1">
      <c r="A1" s="2" t="inlineStr">
        <is>
          <t>Line item</t>
        </is>
      </c>
      <c r="B1" s="2" t="inlineStr">
        <is>
          <t>FY2024</t>
        </is>
      </c>
      <c r="C1" s="2" t="inlineStr">
        <is>
          <t>FY2025</t>
        </is>
      </c>
      <c r="D1" s="2" t="inlineStr">
        <is>
          <t>FY2026</t>
        </is>
      </c>
    </row>
    <row r="2">
      <c r="A2" s="7" t="inlineStr">
        <is>
          <t>PROFIT &amp; LOSS</t>
        </is>
      </c>
      <c r="B2" s="7" t="n"/>
      <c r="C2" s="7" t="n"/>
      <c r="D2" s="7" t="n"/>
    </row>
    <row r="3">
      <c r="A3" t="inlineStr">
        <is>
          <t>Revenue</t>
        </is>
      </c>
      <c r="B3">
        <f>SUMIFS(Raw_Statements!$D$2:$D$73,Raw_Statements!$B$2:$B$73,"Revenue",Raw_Statements!$C$2:$C$73,"FY2024")</f>
        <v/>
      </c>
      <c r="C3">
        <f>SUMIFS(Raw_Statements!$D$2:$D$73,Raw_Statements!$B$2:$B$73,"Revenue",Raw_Statements!$C$2:$C$73,"FY2025")</f>
        <v/>
      </c>
      <c r="D3">
        <f>SUMIFS(Raw_Statements!$D$2:$D$73,Raw_Statements!$B$2:$B$73,"Revenue",Raw_Statements!$C$2:$C$73,"FY2026")</f>
        <v/>
      </c>
    </row>
    <row r="4">
      <c r="A4" t="inlineStr">
        <is>
          <t>Cost of goods sold</t>
        </is>
      </c>
      <c r="B4">
        <f>SUMIFS(Raw_Statements!$D$2:$D$73,Raw_Statements!$B$2:$B$73,"Cost of goods sold",Raw_Statements!$C$2:$C$73,"FY2024")</f>
        <v/>
      </c>
      <c r="C4">
        <f>SUMIFS(Raw_Statements!$D$2:$D$73,Raw_Statements!$B$2:$B$73,"Cost of goods sold",Raw_Statements!$C$2:$C$73,"FY2025")</f>
        <v/>
      </c>
      <c r="D4">
        <f>SUMIFS(Raw_Statements!$D$2:$D$73,Raw_Statements!$B$2:$B$73,"Cost of goods sold",Raw_Statements!$C$2:$C$73,"FY2026")</f>
        <v/>
      </c>
    </row>
    <row r="5">
      <c r="A5" t="inlineStr">
        <is>
          <t>Gross profit</t>
        </is>
      </c>
      <c r="B5">
        <f>B3-B4</f>
        <v/>
      </c>
      <c r="C5">
        <f>C3-C4</f>
        <v/>
      </c>
      <c r="D5">
        <f>D3-D4</f>
        <v/>
      </c>
    </row>
    <row r="6">
      <c r="A6" t="inlineStr">
        <is>
          <t>Operating expenses</t>
        </is>
      </c>
      <c r="B6">
        <f>SUMIFS(Raw_Statements!$D$2:$D$73,Raw_Statements!$B$2:$B$73,"Operating expenses",Raw_Statements!$C$2:$C$73,"FY2024")</f>
        <v/>
      </c>
      <c r="C6">
        <f>SUMIFS(Raw_Statements!$D$2:$D$73,Raw_Statements!$B$2:$B$73,"Operating expenses",Raw_Statements!$C$2:$C$73,"FY2025")</f>
        <v/>
      </c>
      <c r="D6">
        <f>SUMIFS(Raw_Statements!$D$2:$D$73,Raw_Statements!$B$2:$B$73,"Operating expenses",Raw_Statements!$C$2:$C$73,"FY2026")</f>
        <v/>
      </c>
    </row>
    <row r="7">
      <c r="A7" t="inlineStr">
        <is>
          <t>EBITDA</t>
        </is>
      </c>
      <c r="B7">
        <f>B5-B6</f>
        <v/>
      </c>
      <c r="C7">
        <f>C5-C6</f>
        <v/>
      </c>
      <c r="D7">
        <f>D5-D6</f>
        <v/>
      </c>
    </row>
    <row r="8">
      <c r="A8" t="inlineStr">
        <is>
          <t>Depreciation</t>
        </is>
      </c>
      <c r="B8">
        <f>SUMIFS(Raw_Statements!$D$2:$D$73,Raw_Statements!$B$2:$B$73,"Depreciation",Raw_Statements!$C$2:$C$73,"FY2024")</f>
        <v/>
      </c>
      <c r="C8">
        <f>SUMIFS(Raw_Statements!$D$2:$D$73,Raw_Statements!$B$2:$B$73,"Depreciation",Raw_Statements!$C$2:$C$73,"FY2025")</f>
        <v/>
      </c>
      <c r="D8">
        <f>SUMIFS(Raw_Statements!$D$2:$D$73,Raw_Statements!$B$2:$B$73,"Depreciation",Raw_Statements!$C$2:$C$73,"FY2026")</f>
        <v/>
      </c>
    </row>
    <row r="9">
      <c r="A9" t="inlineStr">
        <is>
          <t>EBIT</t>
        </is>
      </c>
      <c r="B9">
        <f>B7-B8</f>
        <v/>
      </c>
      <c r="C9">
        <f>C7-C8</f>
        <v/>
      </c>
      <c r="D9">
        <f>D7-D8</f>
        <v/>
      </c>
    </row>
    <row r="10">
      <c r="A10" t="inlineStr">
        <is>
          <t>Interest expense</t>
        </is>
      </c>
      <c r="B10">
        <f>SUMIFS(Raw_Statements!$D$2:$D$73,Raw_Statements!$B$2:$B$73,"Interest expense",Raw_Statements!$C$2:$C$73,"FY2024")</f>
        <v/>
      </c>
      <c r="C10">
        <f>SUMIFS(Raw_Statements!$D$2:$D$73,Raw_Statements!$B$2:$B$73,"Interest expense",Raw_Statements!$C$2:$C$73,"FY2025")</f>
        <v/>
      </c>
      <c r="D10">
        <f>SUMIFS(Raw_Statements!$D$2:$D$73,Raw_Statements!$B$2:$B$73,"Interest expense",Raw_Statements!$C$2:$C$73,"FY2026")</f>
        <v/>
      </c>
    </row>
    <row r="11">
      <c r="A11" t="inlineStr">
        <is>
          <t>Profit before tax</t>
        </is>
      </c>
      <c r="B11">
        <f>B9-B10</f>
        <v/>
      </c>
      <c r="C11">
        <f>C9-C10</f>
        <v/>
      </c>
      <c r="D11">
        <f>D9-D10</f>
        <v/>
      </c>
    </row>
    <row r="12">
      <c r="A12" t="inlineStr">
        <is>
          <t>Tax expense</t>
        </is>
      </c>
      <c r="B12">
        <f>SUMIFS(Raw_Statements!$D$2:$D$73,Raw_Statements!$B$2:$B$73,"Tax expense",Raw_Statements!$C$2:$C$73,"FY2024")</f>
        <v/>
      </c>
      <c r="C12">
        <f>SUMIFS(Raw_Statements!$D$2:$D$73,Raw_Statements!$B$2:$B$73,"Tax expense",Raw_Statements!$C$2:$C$73,"FY2025")</f>
        <v/>
      </c>
      <c r="D12">
        <f>SUMIFS(Raw_Statements!$D$2:$D$73,Raw_Statements!$B$2:$B$73,"Tax expense",Raw_Statements!$C$2:$C$73,"FY2026")</f>
        <v/>
      </c>
    </row>
    <row r="13">
      <c r="A13" t="inlineStr">
        <is>
          <t>Profit after tax</t>
        </is>
      </c>
      <c r="B13">
        <f>B11-B12</f>
        <v/>
      </c>
      <c r="C13">
        <f>C11-C12</f>
        <v/>
      </c>
      <c r="D13">
        <f>D11-D12</f>
        <v/>
      </c>
    </row>
    <row r="14">
      <c r="A14" s="7" t="inlineStr">
        <is>
          <t>BALANCE SHEET</t>
        </is>
      </c>
      <c r="B14" s="7" t="n"/>
      <c r="C14" s="7" t="n"/>
      <c r="D14" s="7" t="n"/>
    </row>
    <row r="15">
      <c r="A15" t="inlineStr">
        <is>
          <t>Cash and bank</t>
        </is>
      </c>
      <c r="B15">
        <f>SUMIFS(Raw_Statements!$D$2:$D$73,Raw_Statements!$B$2:$B$73,"Cash and bank",Raw_Statements!$C$2:$C$73,"FY2024")</f>
        <v/>
      </c>
      <c r="C15">
        <f>SUMIFS(Raw_Statements!$D$2:$D$73,Raw_Statements!$B$2:$B$73,"Cash and bank",Raw_Statements!$C$2:$C$73,"FY2025")</f>
        <v/>
      </c>
      <c r="D15">
        <f>SUMIFS(Raw_Statements!$D$2:$D$73,Raw_Statements!$B$2:$B$73,"Cash and bank",Raw_Statements!$C$2:$C$73,"FY2026")</f>
        <v/>
      </c>
    </row>
    <row r="16">
      <c r="A16" t="inlineStr">
        <is>
          <t>Trade receivables</t>
        </is>
      </c>
      <c r="B16">
        <f>SUMIFS(Raw_Statements!$D$2:$D$73,Raw_Statements!$B$2:$B$73,"Trade receivables",Raw_Statements!$C$2:$C$73,"FY2024")</f>
        <v/>
      </c>
      <c r="C16">
        <f>SUMIFS(Raw_Statements!$D$2:$D$73,Raw_Statements!$B$2:$B$73,"Trade receivables",Raw_Statements!$C$2:$C$73,"FY2025")</f>
        <v/>
      </c>
      <c r="D16">
        <f>SUMIFS(Raw_Statements!$D$2:$D$73,Raw_Statements!$B$2:$B$73,"Trade receivables",Raw_Statements!$C$2:$C$73,"FY2026")</f>
        <v/>
      </c>
    </row>
    <row r="17">
      <c r="A17" t="inlineStr">
        <is>
          <t>Inventories</t>
        </is>
      </c>
      <c r="B17">
        <f>SUMIFS(Raw_Statements!$D$2:$D$73,Raw_Statements!$B$2:$B$73,"Inventories",Raw_Statements!$C$2:$C$73,"FY2024")</f>
        <v/>
      </c>
      <c r="C17">
        <f>SUMIFS(Raw_Statements!$D$2:$D$73,Raw_Statements!$B$2:$B$73,"Inventories",Raw_Statements!$C$2:$C$73,"FY2025")</f>
        <v/>
      </c>
      <c r="D17">
        <f>SUMIFS(Raw_Statements!$D$2:$D$73,Raw_Statements!$B$2:$B$73,"Inventories",Raw_Statements!$C$2:$C$73,"FY2026")</f>
        <v/>
      </c>
    </row>
    <row r="18">
      <c r="A18" t="inlineStr">
        <is>
          <t>Other current assets</t>
        </is>
      </c>
      <c r="B18">
        <f>SUMIFS(Raw_Statements!$D$2:$D$73,Raw_Statements!$B$2:$B$73,"Other current assets",Raw_Statements!$C$2:$C$73,"FY2024")</f>
        <v/>
      </c>
      <c r="C18">
        <f>SUMIFS(Raw_Statements!$D$2:$D$73,Raw_Statements!$B$2:$B$73,"Other current assets",Raw_Statements!$C$2:$C$73,"FY2025")</f>
        <v/>
      </c>
      <c r="D18">
        <f>SUMIFS(Raw_Statements!$D$2:$D$73,Raw_Statements!$B$2:$B$73,"Other current assets",Raw_Statements!$C$2:$C$73,"FY2026")</f>
        <v/>
      </c>
    </row>
    <row r="19">
      <c r="A19" t="inlineStr">
        <is>
          <t>Total current assets</t>
        </is>
      </c>
      <c r="B19">
        <f>SUM(B15:B18)</f>
        <v/>
      </c>
      <c r="C19">
        <f>SUM(C15:C18)</f>
        <v/>
      </c>
      <c r="D19">
        <f>SUM(D15:D18)</f>
        <v/>
      </c>
    </row>
    <row r="20">
      <c r="A20" t="inlineStr">
        <is>
          <t>Property plant and equipment (net)</t>
        </is>
      </c>
      <c r="B20">
        <f>SUMIFS(Raw_Statements!$D$2:$D$73,Raw_Statements!$B$2:$B$73,"Property plant and equipment (net)",Raw_Statements!$C$2:$C$73,"FY2024")</f>
        <v/>
      </c>
      <c r="C20">
        <f>SUMIFS(Raw_Statements!$D$2:$D$73,Raw_Statements!$B$2:$B$73,"Property plant and equipment (net)",Raw_Statements!$C$2:$C$73,"FY2025")</f>
        <v/>
      </c>
      <c r="D20">
        <f>SUMIFS(Raw_Statements!$D$2:$D$73,Raw_Statements!$B$2:$B$73,"Property plant and equipment (net)",Raw_Statements!$C$2:$C$73,"FY2026")</f>
        <v/>
      </c>
    </row>
    <row r="21">
      <c r="A21" t="inlineStr">
        <is>
          <t>Other non-current assets</t>
        </is>
      </c>
      <c r="B21">
        <f>SUMIFS(Raw_Statements!$D$2:$D$73,Raw_Statements!$B$2:$B$73,"Other non-current assets",Raw_Statements!$C$2:$C$73,"FY2024")</f>
        <v/>
      </c>
      <c r="C21">
        <f>SUMIFS(Raw_Statements!$D$2:$D$73,Raw_Statements!$B$2:$B$73,"Other non-current assets",Raw_Statements!$C$2:$C$73,"FY2025")</f>
        <v/>
      </c>
      <c r="D21">
        <f>SUMIFS(Raw_Statements!$D$2:$D$73,Raw_Statements!$B$2:$B$73,"Other non-current assets",Raw_Statements!$C$2:$C$73,"FY2026")</f>
        <v/>
      </c>
    </row>
    <row r="22">
      <c r="A22" t="inlineStr">
        <is>
          <t>Total non-current assets</t>
        </is>
      </c>
      <c r="B22">
        <f>B20+B21</f>
        <v/>
      </c>
      <c r="C22">
        <f>C20+C21</f>
        <v/>
      </c>
      <c r="D22">
        <f>D20+D21</f>
        <v/>
      </c>
    </row>
    <row r="23">
      <c r="A23" t="inlineStr">
        <is>
          <t>TOTAL ASSETS</t>
        </is>
      </c>
      <c r="B23">
        <f>B19+B22</f>
        <v/>
      </c>
      <c r="C23">
        <f>C19+C22</f>
        <v/>
      </c>
      <c r="D23">
        <f>D19+D22</f>
        <v/>
      </c>
    </row>
    <row r="24">
      <c r="A24" t="inlineStr">
        <is>
          <t>Trade payables</t>
        </is>
      </c>
      <c r="B24">
        <f>SUMIFS(Raw_Statements!$D$2:$D$73,Raw_Statements!$B$2:$B$73,"Trade payables",Raw_Statements!$C$2:$C$73,"FY2024")</f>
        <v/>
      </c>
      <c r="C24">
        <f>SUMIFS(Raw_Statements!$D$2:$D$73,Raw_Statements!$B$2:$B$73,"Trade payables",Raw_Statements!$C$2:$C$73,"FY2025")</f>
        <v/>
      </c>
      <c r="D24">
        <f>SUMIFS(Raw_Statements!$D$2:$D$73,Raw_Statements!$B$2:$B$73,"Trade payables",Raw_Statements!$C$2:$C$73,"FY2026")</f>
        <v/>
      </c>
    </row>
    <row r="25">
      <c r="A25" t="inlineStr">
        <is>
          <t>Short-term borrowings</t>
        </is>
      </c>
      <c r="B25">
        <f>SUMIFS(Raw_Statements!$D$2:$D$73,Raw_Statements!$B$2:$B$73,"Short-term borrowings",Raw_Statements!$C$2:$C$73,"FY2024")</f>
        <v/>
      </c>
      <c r="C25">
        <f>SUMIFS(Raw_Statements!$D$2:$D$73,Raw_Statements!$B$2:$B$73,"Short-term borrowings",Raw_Statements!$C$2:$C$73,"FY2025")</f>
        <v/>
      </c>
      <c r="D25">
        <f>SUMIFS(Raw_Statements!$D$2:$D$73,Raw_Statements!$B$2:$B$73,"Short-term borrowings",Raw_Statements!$C$2:$C$73,"FY2026")</f>
        <v/>
      </c>
    </row>
    <row r="26">
      <c r="A26" t="inlineStr">
        <is>
          <t>Other current liabilities</t>
        </is>
      </c>
      <c r="B26">
        <f>SUMIFS(Raw_Statements!$D$2:$D$73,Raw_Statements!$B$2:$B$73,"Other current liabilities",Raw_Statements!$C$2:$C$73,"FY2024")</f>
        <v/>
      </c>
      <c r="C26">
        <f>SUMIFS(Raw_Statements!$D$2:$D$73,Raw_Statements!$B$2:$B$73,"Other current liabilities",Raw_Statements!$C$2:$C$73,"FY2025")</f>
        <v/>
      </c>
      <c r="D26">
        <f>SUMIFS(Raw_Statements!$D$2:$D$73,Raw_Statements!$B$2:$B$73,"Other current liabilities",Raw_Statements!$C$2:$C$73,"FY2026")</f>
        <v/>
      </c>
    </row>
    <row r="27">
      <c r="A27" t="inlineStr">
        <is>
          <t>Total current liabilities</t>
        </is>
      </c>
      <c r="B27">
        <f>SUM(B24:B26)</f>
        <v/>
      </c>
      <c r="C27">
        <f>SUM(C24:C26)</f>
        <v/>
      </c>
      <c r="D27">
        <f>SUM(D24:D26)</f>
        <v/>
      </c>
    </row>
    <row r="28">
      <c r="A28" t="inlineStr">
        <is>
          <t>Long-term borrowings</t>
        </is>
      </c>
      <c r="B28">
        <f>SUMIFS(Raw_Statements!$D$2:$D$73,Raw_Statements!$B$2:$B$73,"Long-term borrowings",Raw_Statements!$C$2:$C$73,"FY2024")</f>
        <v/>
      </c>
      <c r="C28">
        <f>SUMIFS(Raw_Statements!$D$2:$D$73,Raw_Statements!$B$2:$B$73,"Long-term borrowings",Raw_Statements!$C$2:$C$73,"FY2025")</f>
        <v/>
      </c>
      <c r="D28">
        <f>SUMIFS(Raw_Statements!$D$2:$D$73,Raw_Statements!$B$2:$B$73,"Long-term borrowings",Raw_Statements!$C$2:$C$73,"FY2026")</f>
        <v/>
      </c>
    </row>
    <row r="29">
      <c r="A29" t="inlineStr">
        <is>
          <t>Share capital</t>
        </is>
      </c>
      <c r="B29">
        <f>SUMIFS(Raw_Statements!$D$2:$D$73,Raw_Statements!$B$2:$B$73,"Share capital",Raw_Statements!$C$2:$C$73,"FY2024")</f>
        <v/>
      </c>
      <c r="C29">
        <f>SUMIFS(Raw_Statements!$D$2:$D$73,Raw_Statements!$B$2:$B$73,"Share capital",Raw_Statements!$C$2:$C$73,"FY2025")</f>
        <v/>
      </c>
      <c r="D29">
        <f>SUMIFS(Raw_Statements!$D$2:$D$73,Raw_Statements!$B$2:$B$73,"Share capital",Raw_Statements!$C$2:$C$73,"FY2026")</f>
        <v/>
      </c>
    </row>
    <row r="30">
      <c r="A30" t="inlineStr">
        <is>
          <t>Retained earnings</t>
        </is>
      </c>
      <c r="B30">
        <f>SUMIFS(Raw_Statements!$D$2:$D$73,Raw_Statements!$B$2:$B$73,"Retained earnings",Raw_Statements!$C$2:$C$73,"FY2024")</f>
        <v/>
      </c>
      <c r="C30">
        <f>SUMIFS(Raw_Statements!$D$2:$D$73,Raw_Statements!$B$2:$B$73,"Retained earnings",Raw_Statements!$C$2:$C$73,"FY2025")</f>
        <v/>
      </c>
      <c r="D30">
        <f>SUMIFS(Raw_Statements!$D$2:$D$73,Raw_Statements!$B$2:$B$73,"Retained earnings",Raw_Statements!$C$2:$C$73,"FY2026")</f>
        <v/>
      </c>
    </row>
    <row r="31">
      <c r="A31" t="inlineStr">
        <is>
          <t>Total equity</t>
        </is>
      </c>
      <c r="B31">
        <f>B29+B30</f>
        <v/>
      </c>
      <c r="C31">
        <f>C29+C30</f>
        <v/>
      </c>
      <c r="D31">
        <f>D29+D30</f>
        <v/>
      </c>
    </row>
    <row r="32">
      <c r="A32" t="inlineStr">
        <is>
          <t>TOTAL LIABILITIES + EQUITY</t>
        </is>
      </c>
      <c r="B32">
        <f>B27+B28+B31</f>
        <v/>
      </c>
      <c r="C32">
        <f>C27+C28+C31</f>
        <v/>
      </c>
      <c r="D32">
        <f>D27+D28+D31</f>
        <v/>
      </c>
    </row>
    <row r="33">
      <c r="A33" t="inlineStr">
        <is>
          <t>Balance check (assets - L+E; must be 0)</t>
        </is>
      </c>
      <c r="B33">
        <f>B23-B32</f>
        <v/>
      </c>
      <c r="C33">
        <f>C23-C32</f>
        <v/>
      </c>
      <c r="D33">
        <f>D23-D32</f>
        <v/>
      </c>
    </row>
    <row r="34">
      <c r="A34" s="7" t="inlineStr">
        <is>
          <t>CASH FLOW (indirect)</t>
        </is>
      </c>
      <c r="B34" s="7" t="n"/>
      <c r="C34" s="7" t="n"/>
      <c r="D34" s="7" t="n"/>
    </row>
    <row r="35">
      <c r="A35" t="inlineStr">
        <is>
          <t>Profit after tax</t>
        </is>
      </c>
      <c r="B35">
        <f>B13</f>
        <v/>
      </c>
      <c r="C35">
        <f>C13</f>
        <v/>
      </c>
      <c r="D35">
        <f>D13</f>
        <v/>
      </c>
    </row>
    <row r="36">
      <c r="A36" t="inlineStr">
        <is>
          <t>Add: Depreciation</t>
        </is>
      </c>
      <c r="B36">
        <f>B8</f>
        <v/>
      </c>
      <c r="C36">
        <f>C8</f>
        <v/>
      </c>
      <c r="D36">
        <f>D8</f>
        <v/>
      </c>
    </row>
    <row r="37">
      <c r="A37" t="inlineStr">
        <is>
          <t>Less: increase in receivables</t>
        </is>
      </c>
      <c r="B37">
        <f>-(B16-SUMIFS(Raw_Statements!$D$2:$D$73,Raw_Statements!$B$2:$B$73,"Trade receivables",Raw_Statements!$C$2:$C$73,"Opening"))</f>
        <v/>
      </c>
      <c r="C37">
        <f>-(C16-B16)</f>
        <v/>
      </c>
      <c r="D37">
        <f>-(D16-C16)</f>
        <v/>
      </c>
    </row>
    <row r="38">
      <c r="A38" t="inlineStr">
        <is>
          <t>Less: increase in inventories</t>
        </is>
      </c>
      <c r="B38">
        <f>-(B17-SUMIFS(Raw_Statements!$D$2:$D$73,Raw_Statements!$B$2:$B$73,"Inventories",Raw_Statements!$C$2:$C$73,"Opening"))</f>
        <v/>
      </c>
      <c r="C38">
        <f>-(C17-B17)</f>
        <v/>
      </c>
      <c r="D38">
        <f>-(D17-C17)</f>
        <v/>
      </c>
    </row>
    <row r="39">
      <c r="A39" t="inlineStr">
        <is>
          <t>Add: increase in payables</t>
        </is>
      </c>
      <c r="B39">
        <f>+(B24-SUMIFS(Raw_Statements!$D$2:$D$73,Raw_Statements!$B$2:$B$73,"Trade payables",Raw_Statements!$C$2:$C$73,"Opening"))</f>
        <v/>
      </c>
      <c r="C39">
        <f>+(C24-B24)</f>
        <v/>
      </c>
      <c r="D39">
        <f>+(D24-C24)</f>
        <v/>
      </c>
    </row>
    <row r="40">
      <c r="A40" t="inlineStr">
        <is>
          <t>Working capital: other current items</t>
        </is>
      </c>
      <c r="B40">
        <f>-(B18-SUMIFS(Raw_Statements!$D$2:$D$73,Raw_Statements!$B$2:$B$73,"Other current assets",Raw_Statements!$C$2:$C$73,"Opening"))++(B26-SUMIFS(Raw_Statements!$D$2:$D$73,Raw_Statements!$B$2:$B$73,"Other current liabilities",Raw_Statements!$C$2:$C$73,"Opening"))</f>
        <v/>
      </c>
      <c r="C40">
        <f>-(C18-B18)++(C26-B26)</f>
        <v/>
      </c>
      <c r="D40">
        <f>-(D18-C18)++(D26-C26)</f>
        <v/>
      </c>
    </row>
    <row r="41">
      <c r="A41" t="inlineStr">
        <is>
          <t>Cash flow from operations</t>
        </is>
      </c>
      <c r="B41">
        <f>SUM(B35:B40)</f>
        <v/>
      </c>
      <c r="C41">
        <f>SUM(C35:C40)</f>
        <v/>
      </c>
      <c r="D41">
        <f>SUM(D35:D40)</f>
        <v/>
      </c>
    </row>
    <row r="42">
      <c r="A42" t="inlineStr">
        <is>
          <t>Capital expenditure</t>
        </is>
      </c>
      <c r="B42">
        <f>-SUMIFS(Raw_Statements!$D$2:$D$73,Raw_Statements!$B$2:$B$73,"Capital expenditure",Raw_Statements!$C$2:$C$73,"FY2024")</f>
        <v/>
      </c>
      <c r="C42">
        <f>-SUMIFS(Raw_Statements!$D$2:$D$73,Raw_Statements!$B$2:$B$73,"Capital expenditure",Raw_Statements!$C$2:$C$73,"FY2025")</f>
        <v/>
      </c>
      <c r="D42">
        <f>-SUMIFS(Raw_Statements!$D$2:$D$73,Raw_Statements!$B$2:$B$73,"Capital expenditure",Raw_Statements!$C$2:$C$73,"FY2026")</f>
        <v/>
      </c>
    </row>
    <row r="43">
      <c r="A43" t="inlineStr">
        <is>
          <t>Change in borrowings</t>
        </is>
      </c>
      <c r="B43">
        <f>(B25-SUMIFS(Raw_Statements!$D$2:$D$73,Raw_Statements!$B$2:$B$73,"Short-term borrowings",Raw_Statements!$C$2:$C$73,"Opening"))+(B28-SUMIFS(Raw_Statements!$D$2:$D$73,Raw_Statements!$B$2:$B$73,"Long-term borrowings",Raw_Statements!$C$2:$C$73,"Opening"))</f>
        <v/>
      </c>
      <c r="C43">
        <f>(C25-B25)+(C28-B28)</f>
        <v/>
      </c>
      <c r="D43">
        <f>(D25-C25)+(D28-C28)</f>
        <v/>
      </c>
    </row>
    <row r="44">
      <c r="A44" t="inlineStr">
        <is>
          <t>Dividends paid</t>
        </is>
      </c>
      <c r="B44">
        <f>-SUMIFS(Raw_Statements!$D$2:$D$73,Raw_Statements!$B$2:$B$73,"Dividends paid",Raw_Statements!$C$2:$C$73,"FY2024")</f>
        <v/>
      </c>
      <c r="C44">
        <f>-SUMIFS(Raw_Statements!$D$2:$D$73,Raw_Statements!$B$2:$B$73,"Dividends paid",Raw_Statements!$C$2:$C$73,"FY2025")</f>
        <v/>
      </c>
      <c r="D44">
        <f>-SUMIFS(Raw_Statements!$D$2:$D$73,Raw_Statements!$B$2:$B$73,"Dividends paid",Raw_Statements!$C$2:$C$73,"FY2026")</f>
        <v/>
      </c>
    </row>
    <row r="45">
      <c r="A45" t="inlineStr">
        <is>
          <t>Cash flow from financing</t>
        </is>
      </c>
      <c r="B45">
        <f>B43+B44</f>
        <v/>
      </c>
      <c r="C45">
        <f>C43+C44</f>
        <v/>
      </c>
      <c r="D45">
        <f>D43+D44</f>
        <v/>
      </c>
    </row>
    <row r="46">
      <c r="A46" t="inlineStr">
        <is>
          <t>Net change in cash</t>
        </is>
      </c>
      <c r="B46">
        <f>B41+B42+B45</f>
        <v/>
      </c>
      <c r="C46">
        <f>C41+C42+C45</f>
        <v/>
      </c>
      <c r="D46">
        <f>D41+D42+D45</f>
        <v/>
      </c>
    </row>
    <row r="47">
      <c r="A47" t="inlineStr">
        <is>
          <t>Opening cash</t>
        </is>
      </c>
      <c r="B47">
        <f>SUMIFS(Raw_Statements!$D$2:$D$73,Raw_Statements!$B$2:$B$73,"Cash and bank",Raw_Statements!$C$2:$C$73,"Opening")</f>
        <v/>
      </c>
      <c r="C47">
        <f>B48</f>
        <v/>
      </c>
      <c r="D47">
        <f>C48</f>
        <v/>
      </c>
    </row>
    <row r="48">
      <c r="A48" t="inlineStr">
        <is>
          <t>Closing cash</t>
        </is>
      </c>
      <c r="B48">
        <f>B47+B46</f>
        <v/>
      </c>
      <c r="C48">
        <f>C47+C46</f>
        <v/>
      </c>
      <c r="D48">
        <f>D47+D46</f>
        <v/>
      </c>
    </row>
    <row r="49">
      <c r="A49" t="inlineStr">
        <is>
          <t>Closing vs balance-sheet cash (must be 0)</t>
        </is>
      </c>
      <c r="B49">
        <f>B48-B15</f>
        <v/>
      </c>
      <c r="C49">
        <f>C48-C15</f>
        <v/>
      </c>
      <c r="D49">
        <f>D48-D15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>
      <c r="A1" s="2" t="inlineStr">
        <is>
          <t>Ratio</t>
        </is>
      </c>
      <c r="B1" s="2" t="inlineStr">
        <is>
          <t>FY2024</t>
        </is>
      </c>
      <c r="C1" s="2" t="inlineStr">
        <is>
          <t>FY2025</t>
        </is>
      </c>
      <c r="D1" s="2" t="inlineStr">
        <is>
          <t>FY2026</t>
        </is>
      </c>
      <c r="E1" s="2" t="inlineStr">
        <is>
          <t>Benchmark</t>
        </is>
      </c>
      <c r="F1" s="2" t="inlineStr">
        <is>
          <t>FY2026 status</t>
        </is>
      </c>
    </row>
    <row r="2">
      <c r="A2" t="inlineStr">
        <is>
          <t>Current ratio (CA / CL)</t>
        </is>
      </c>
      <c r="B2" s="5">
        <f>Statements!B19/Statements!B27</f>
        <v/>
      </c>
      <c r="C2" s="5">
        <f>Statements!C19/Statements!C27</f>
        <v/>
      </c>
      <c r="D2" s="5">
        <f>Statements!D19/Statements!D27</f>
        <v/>
      </c>
      <c r="E2" s="5" t="n">
        <v>1.5</v>
      </c>
      <c r="F2">
        <f>IF(D2&gt;=E2,"OK","FLAG")</f>
        <v/>
      </c>
    </row>
    <row r="3">
      <c r="A3" t="inlineStr">
        <is>
          <t>Quick ratio ((CA - inventory) / CL)</t>
        </is>
      </c>
      <c r="B3" s="5">
        <f>(Statements!B19-Statements!B17)/Statements!B27</f>
        <v/>
      </c>
      <c r="C3" s="5">
        <f>(Statements!C19-Statements!C17)/Statements!C27</f>
        <v/>
      </c>
      <c r="D3" s="5">
        <f>(Statements!D19-Statements!D17)/Statements!D27</f>
        <v/>
      </c>
      <c r="E3" s="5" t="n">
        <v>1</v>
      </c>
      <c r="F3">
        <f>IF(D3&gt;=E3,"OK","FLAG")</f>
        <v/>
      </c>
    </row>
    <row r="4">
      <c r="A4" t="inlineStr">
        <is>
          <t>Debt-to-equity ((ST + LT debt) / equity)</t>
        </is>
      </c>
      <c r="B4" s="5">
        <f>(Statements!B25+Statements!B28)/Statements!B31</f>
        <v/>
      </c>
      <c r="C4" s="5">
        <f>(Statements!C25+Statements!C28)/Statements!C31</f>
        <v/>
      </c>
      <c r="D4" s="5">
        <f>(Statements!D25+Statements!D28)/Statements!D31</f>
        <v/>
      </c>
      <c r="E4" s="5" t="n">
        <v>1</v>
      </c>
      <c r="F4">
        <f>IF(D4&lt;=E4,"OK","FLAG")</f>
        <v/>
      </c>
    </row>
    <row r="5">
      <c r="A5" t="inlineStr">
        <is>
          <t>Interest coverage (EBIT / interest)</t>
        </is>
      </c>
      <c r="B5" s="5">
        <f>Statements!B9/Statements!B10</f>
        <v/>
      </c>
      <c r="C5" s="5">
        <f>Statements!C9/Statements!C10</f>
        <v/>
      </c>
      <c r="D5" s="5">
        <f>Statements!D9/Statements!D10</f>
        <v/>
      </c>
      <c r="E5" s="5" t="n">
        <v>3</v>
      </c>
      <c r="F5">
        <f>IF(D5&gt;=E5,"OK","FLAG")</f>
        <v/>
      </c>
    </row>
    <row r="6">
      <c r="A6" t="inlineStr">
        <is>
          <t>Gross margin</t>
        </is>
      </c>
      <c r="B6" s="4">
        <f>Statements!B5/Statements!B3</f>
        <v/>
      </c>
      <c r="C6" s="4">
        <f>Statements!C5/Statements!C3</f>
        <v/>
      </c>
      <c r="D6" s="4">
        <f>Statements!D5/Statements!D3</f>
        <v/>
      </c>
      <c r="E6" t="inlineStr">
        <is>
          <t>—</t>
        </is>
      </c>
      <c r="F6" t="inlineStr">
        <is>
          <t>—</t>
        </is>
      </c>
    </row>
    <row r="7">
      <c r="A7" t="inlineStr">
        <is>
          <t>Net margin (PAT / revenue)</t>
        </is>
      </c>
      <c r="B7" s="4">
        <f>Statements!B13/Statements!B3</f>
        <v/>
      </c>
      <c r="C7" s="4">
        <f>Statements!C13/Statements!C3</f>
        <v/>
      </c>
      <c r="D7" s="4">
        <f>Statements!D13/Statements!D3</f>
        <v/>
      </c>
      <c r="E7" s="4" t="n">
        <v>0.08</v>
      </c>
      <c r="F7">
        <f>IF(D7&gt;=E7,"OK","FLAG")</f>
        <v/>
      </c>
    </row>
    <row r="8">
      <c r="A8" t="inlineStr">
        <is>
          <t>Return on assets (PAT / total assets)</t>
        </is>
      </c>
      <c r="B8" s="4">
        <f>Statements!B13/Statements!B23</f>
        <v/>
      </c>
      <c r="C8" s="4">
        <f>Statements!C13/Statements!C23</f>
        <v/>
      </c>
      <c r="D8" s="4">
        <f>Statements!D13/Statements!D23</f>
        <v/>
      </c>
      <c r="E8" t="inlineStr">
        <is>
          <t>—</t>
        </is>
      </c>
      <c r="F8" t="inlineStr">
        <is>
          <t>—</t>
        </is>
      </c>
    </row>
    <row r="9">
      <c r="A9" t="inlineStr">
        <is>
          <t>Return on equity (PAT / equity)</t>
        </is>
      </c>
      <c r="B9" s="4">
        <f>Statements!B13/Statements!B31</f>
        <v/>
      </c>
      <c r="C9" s="4">
        <f>Statements!C13/Statements!C31</f>
        <v/>
      </c>
      <c r="D9" s="4">
        <f>Statements!D13/Statements!D31</f>
        <v/>
      </c>
      <c r="E9" s="4" t="n">
        <v>0.15</v>
      </c>
      <c r="F9">
        <f>IF(D9&gt;=E9,"OK","FLAG")</f>
        <v/>
      </c>
    </row>
    <row r="10">
      <c r="A10" t="inlineStr">
        <is>
          <t>Receivables days</t>
        </is>
      </c>
      <c r="B10" s="6">
        <f>Statements!B16/Statements!B3*365</f>
        <v/>
      </c>
      <c r="C10" s="6">
        <f>Statements!C16/Statements!C3*365</f>
        <v/>
      </c>
      <c r="D10" s="6">
        <f>Statements!D16/Statements!D3*365</f>
        <v/>
      </c>
      <c r="E10" s="6" t="n">
        <v>60</v>
      </c>
      <c r="F10">
        <f>IF(D10&lt;=E10,"OK","FLAG")</f>
        <v/>
      </c>
    </row>
    <row r="11">
      <c r="A11" t="inlineStr">
        <is>
          <t>Inventory days</t>
        </is>
      </c>
      <c r="B11" s="6">
        <f>Statements!B17/Statements!B4*365</f>
        <v/>
      </c>
      <c r="C11" s="6">
        <f>Statements!C17/Statements!C4*365</f>
        <v/>
      </c>
      <c r="D11" s="6">
        <f>Statements!D17/Statements!D4*365</f>
        <v/>
      </c>
      <c r="E11" s="6" t="n">
        <v>60</v>
      </c>
      <c r="F11">
        <f>IF(D11&lt;=E11,"OK","FLAG")</f>
        <v/>
      </c>
    </row>
    <row r="12">
      <c r="A12" t="inlineStr">
        <is>
          <t>Payables days</t>
        </is>
      </c>
      <c r="B12" s="6">
        <f>Statements!B24/Statements!B4*365</f>
        <v/>
      </c>
      <c r="C12" s="6">
        <f>Statements!C24/Statements!C4*365</f>
        <v/>
      </c>
      <c r="D12" s="6">
        <f>Statements!D24/Statements!D4*365</f>
        <v/>
      </c>
      <c r="E12" s="6" t="n">
        <v>45</v>
      </c>
      <c r="F12">
        <f>IF(D12&lt;=E12,"OK","FLAG")</f>
        <v/>
      </c>
    </row>
    <row r="13">
      <c r="A13" t="inlineStr">
        <is>
          <t>Operating cash conversion (CFO / PAT)</t>
        </is>
      </c>
      <c r="B13" s="5">
        <f>Statements!B41/Statements!B13</f>
        <v/>
      </c>
      <c r="C13" s="5">
        <f>Statements!C41/Statements!C13</f>
        <v/>
      </c>
      <c r="D13" s="5">
        <f>Statements!D41/Statements!D13</f>
        <v/>
      </c>
      <c r="E13" s="5" t="n">
        <v>1</v>
      </c>
      <c r="F13">
        <f>IF(D13&gt;=E13,"OK","FLAG")</f>
        <v/>
      </c>
    </row>
    <row r="14">
      <c r="A14" t="inlineStr">
        <is>
          <t>Working capital (CA - CL, Rs)</t>
        </is>
      </c>
      <c r="B14" s="3">
        <f>Statements!B19-Statements!B27</f>
        <v/>
      </c>
      <c r="C14" s="3">
        <f>Statements!C19-Statements!C27</f>
        <v/>
      </c>
      <c r="D14" s="3">
        <f>Statements!D19-Statements!D27</f>
        <v/>
      </c>
      <c r="E14" t="inlineStr">
        <is>
          <t>—</t>
        </is>
      </c>
      <c r="F14" t="inlineStr">
        <is>
          <t>—</t>
        </is>
      </c>
    </row>
    <row r="15">
      <c r="A15" s="7" t="inlineStr">
        <is>
          <t>FY2026 flags (count of FLAG above)</t>
        </is>
      </c>
      <c r="B15">
        <f>COUNTIF(F2:F14,"FLAG")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style="3" min="2" max="2"/>
    <col width="15" customWidth="1" style="3" min="3" max="3"/>
    <col width="15" customWidth="1" style="3" min="4" max="4"/>
    <col width="15" customWidth="1" style="3" min="5" max="5"/>
    <col width="15" customWidth="1" style="3" min="6" max="6"/>
    <col width="13" customWidth="1" style="4" min="7" max="7"/>
    <col width="15" customWidth="1" style="3" min="8" max="8"/>
    <col width="15" customWidth="1" style="3" min="9" max="9"/>
    <col width="15" customWidth="1" style="3" min="10" max="10"/>
    <col width="15" customWidth="1" style="3" min="11" max="11"/>
  </cols>
  <sheetData>
    <row r="1">
      <c r="A1" s="2" t="inlineStr">
        <is>
          <t>Month</t>
        </is>
      </c>
      <c r="B1" s="2" t="inlineStr">
        <is>
          <t>Revenue</t>
        </is>
      </c>
      <c r="C1" s="2" t="inlineStr">
        <is>
          <t>COGS</t>
        </is>
      </c>
      <c r="D1" s="2" t="inlineStr">
        <is>
          <t>Gross profit</t>
        </is>
      </c>
      <c r="E1" s="2" t="inlineStr">
        <is>
          <t>Opex</t>
        </is>
      </c>
      <c r="F1" s="2" t="inlineStr">
        <is>
          <t>Operating surplus</t>
        </is>
      </c>
      <c r="G1" s="2" t="inlineStr">
        <is>
          <t>Margin%</t>
        </is>
      </c>
      <c r="H1" s="2" t="inlineStr">
        <is>
          <t>Receivables</t>
        </is>
      </c>
      <c r="I1" s="2" t="inlineStr">
        <is>
          <t>Inventory</t>
        </is>
      </c>
      <c r="J1" s="2" t="inlineStr">
        <is>
          <t>Payables</t>
        </is>
      </c>
      <c r="K1" s="2" t="inlineStr">
        <is>
          <t>Working capital</t>
        </is>
      </c>
    </row>
    <row r="2">
      <c r="A2" t="inlineStr">
        <is>
          <t>2025-04</t>
        </is>
      </c>
      <c r="B2">
        <f>SUMIFS(Raw_Monthly!$B$2:$B$13,Raw_Monthly!$A$2:$A$13,$A2)</f>
        <v/>
      </c>
      <c r="C2">
        <f>SUMIFS(Raw_Monthly!$C$2:$C$13,Raw_Monthly!$A$2:$A$13,$A2)</f>
        <v/>
      </c>
      <c r="D2">
        <f>B2-C2</f>
        <v/>
      </c>
      <c r="E2">
        <f>SUMIFS(Raw_Monthly!$D$2:$D$13,Raw_Monthly!$A$2:$A$13,$A2)</f>
        <v/>
      </c>
      <c r="F2">
        <f>B2-C2-E2</f>
        <v/>
      </c>
      <c r="G2">
        <f>IF(B2=0,0,F2/B2)</f>
        <v/>
      </c>
      <c r="H2">
        <f>SUMIFS(Raw_Monthly!$E$2:$E$13,Raw_Monthly!$A$2:$A$13,$A2)</f>
        <v/>
      </c>
      <c r="I2">
        <f>SUMIFS(Raw_Monthly!$F$2:$F$13,Raw_Monthly!$A$2:$A$13,$A2)</f>
        <v/>
      </c>
      <c r="J2">
        <f>SUMIFS(Raw_Monthly!$G$2:$G$13,Raw_Monthly!$A$2:$A$13,$A2)</f>
        <v/>
      </c>
      <c r="K2">
        <f>H2+I2-J2</f>
        <v/>
      </c>
    </row>
    <row r="3">
      <c r="A3" t="inlineStr">
        <is>
          <t>2025-05</t>
        </is>
      </c>
      <c r="B3">
        <f>SUMIFS(Raw_Monthly!$B$2:$B$13,Raw_Monthly!$A$2:$A$13,$A3)</f>
        <v/>
      </c>
      <c r="C3">
        <f>SUMIFS(Raw_Monthly!$C$2:$C$13,Raw_Monthly!$A$2:$A$13,$A3)</f>
        <v/>
      </c>
      <c r="D3">
        <f>B3-C3</f>
        <v/>
      </c>
      <c r="E3">
        <f>SUMIFS(Raw_Monthly!$D$2:$D$13,Raw_Monthly!$A$2:$A$13,$A3)</f>
        <v/>
      </c>
      <c r="F3">
        <f>B3-C3-E3</f>
        <v/>
      </c>
      <c r="G3">
        <f>IF(B3=0,0,F3/B3)</f>
        <v/>
      </c>
      <c r="H3">
        <f>SUMIFS(Raw_Monthly!$E$2:$E$13,Raw_Monthly!$A$2:$A$13,$A3)</f>
        <v/>
      </c>
      <c r="I3">
        <f>SUMIFS(Raw_Monthly!$F$2:$F$13,Raw_Monthly!$A$2:$A$13,$A3)</f>
        <v/>
      </c>
      <c r="J3">
        <f>SUMIFS(Raw_Monthly!$G$2:$G$13,Raw_Monthly!$A$2:$A$13,$A3)</f>
        <v/>
      </c>
      <c r="K3">
        <f>H3+I3-J3</f>
        <v/>
      </c>
    </row>
    <row r="4">
      <c r="A4" t="inlineStr">
        <is>
          <t>2025-06</t>
        </is>
      </c>
      <c r="B4">
        <f>SUMIFS(Raw_Monthly!$B$2:$B$13,Raw_Monthly!$A$2:$A$13,$A4)</f>
        <v/>
      </c>
      <c r="C4">
        <f>SUMIFS(Raw_Monthly!$C$2:$C$13,Raw_Monthly!$A$2:$A$13,$A4)</f>
        <v/>
      </c>
      <c r="D4">
        <f>B4-C4</f>
        <v/>
      </c>
      <c r="E4">
        <f>SUMIFS(Raw_Monthly!$D$2:$D$13,Raw_Monthly!$A$2:$A$13,$A4)</f>
        <v/>
      </c>
      <c r="F4">
        <f>B4-C4-E4</f>
        <v/>
      </c>
      <c r="G4">
        <f>IF(B4=0,0,F4/B4)</f>
        <v/>
      </c>
      <c r="H4">
        <f>SUMIFS(Raw_Monthly!$E$2:$E$13,Raw_Monthly!$A$2:$A$13,$A4)</f>
        <v/>
      </c>
      <c r="I4">
        <f>SUMIFS(Raw_Monthly!$F$2:$F$13,Raw_Monthly!$A$2:$A$13,$A4)</f>
        <v/>
      </c>
      <c r="J4">
        <f>SUMIFS(Raw_Monthly!$G$2:$G$13,Raw_Monthly!$A$2:$A$13,$A4)</f>
        <v/>
      </c>
      <c r="K4">
        <f>H4+I4-J4</f>
        <v/>
      </c>
    </row>
    <row r="5">
      <c r="A5" t="inlineStr">
        <is>
          <t>2025-07</t>
        </is>
      </c>
      <c r="B5">
        <f>SUMIFS(Raw_Monthly!$B$2:$B$13,Raw_Monthly!$A$2:$A$13,$A5)</f>
        <v/>
      </c>
      <c r="C5">
        <f>SUMIFS(Raw_Monthly!$C$2:$C$13,Raw_Monthly!$A$2:$A$13,$A5)</f>
        <v/>
      </c>
      <c r="D5">
        <f>B5-C5</f>
        <v/>
      </c>
      <c r="E5">
        <f>SUMIFS(Raw_Monthly!$D$2:$D$13,Raw_Monthly!$A$2:$A$13,$A5)</f>
        <v/>
      </c>
      <c r="F5">
        <f>B5-C5-E5</f>
        <v/>
      </c>
      <c r="G5">
        <f>IF(B5=0,0,F5/B5)</f>
        <v/>
      </c>
      <c r="H5">
        <f>SUMIFS(Raw_Monthly!$E$2:$E$13,Raw_Monthly!$A$2:$A$13,$A5)</f>
        <v/>
      </c>
      <c r="I5">
        <f>SUMIFS(Raw_Monthly!$F$2:$F$13,Raw_Monthly!$A$2:$A$13,$A5)</f>
        <v/>
      </c>
      <c r="J5">
        <f>SUMIFS(Raw_Monthly!$G$2:$G$13,Raw_Monthly!$A$2:$A$13,$A5)</f>
        <v/>
      </c>
      <c r="K5">
        <f>H5+I5-J5</f>
        <v/>
      </c>
    </row>
    <row r="6">
      <c r="A6" t="inlineStr">
        <is>
          <t>2025-08</t>
        </is>
      </c>
      <c r="B6">
        <f>SUMIFS(Raw_Monthly!$B$2:$B$13,Raw_Monthly!$A$2:$A$13,$A6)</f>
        <v/>
      </c>
      <c r="C6">
        <f>SUMIFS(Raw_Monthly!$C$2:$C$13,Raw_Monthly!$A$2:$A$13,$A6)</f>
        <v/>
      </c>
      <c r="D6">
        <f>B6-C6</f>
        <v/>
      </c>
      <c r="E6">
        <f>SUMIFS(Raw_Monthly!$D$2:$D$13,Raw_Monthly!$A$2:$A$13,$A6)</f>
        <v/>
      </c>
      <c r="F6">
        <f>B6-C6-E6</f>
        <v/>
      </c>
      <c r="G6">
        <f>IF(B6=0,0,F6/B6)</f>
        <v/>
      </c>
      <c r="H6">
        <f>SUMIFS(Raw_Monthly!$E$2:$E$13,Raw_Monthly!$A$2:$A$13,$A6)</f>
        <v/>
      </c>
      <c r="I6">
        <f>SUMIFS(Raw_Monthly!$F$2:$F$13,Raw_Monthly!$A$2:$A$13,$A6)</f>
        <v/>
      </c>
      <c r="J6">
        <f>SUMIFS(Raw_Monthly!$G$2:$G$13,Raw_Monthly!$A$2:$A$13,$A6)</f>
        <v/>
      </c>
      <c r="K6">
        <f>H6+I6-J6</f>
        <v/>
      </c>
    </row>
    <row r="7">
      <c r="A7" t="inlineStr">
        <is>
          <t>2025-09</t>
        </is>
      </c>
      <c r="B7">
        <f>SUMIFS(Raw_Monthly!$B$2:$B$13,Raw_Monthly!$A$2:$A$13,$A7)</f>
        <v/>
      </c>
      <c r="C7">
        <f>SUMIFS(Raw_Monthly!$C$2:$C$13,Raw_Monthly!$A$2:$A$13,$A7)</f>
        <v/>
      </c>
      <c r="D7">
        <f>B7-C7</f>
        <v/>
      </c>
      <c r="E7">
        <f>SUMIFS(Raw_Monthly!$D$2:$D$13,Raw_Monthly!$A$2:$A$13,$A7)</f>
        <v/>
      </c>
      <c r="F7">
        <f>B7-C7-E7</f>
        <v/>
      </c>
      <c r="G7">
        <f>IF(B7=0,0,F7/B7)</f>
        <v/>
      </c>
      <c r="H7">
        <f>SUMIFS(Raw_Monthly!$E$2:$E$13,Raw_Monthly!$A$2:$A$13,$A7)</f>
        <v/>
      </c>
      <c r="I7">
        <f>SUMIFS(Raw_Monthly!$F$2:$F$13,Raw_Monthly!$A$2:$A$13,$A7)</f>
        <v/>
      </c>
      <c r="J7">
        <f>SUMIFS(Raw_Monthly!$G$2:$G$13,Raw_Monthly!$A$2:$A$13,$A7)</f>
        <v/>
      </c>
      <c r="K7">
        <f>H7+I7-J7</f>
        <v/>
      </c>
    </row>
    <row r="8">
      <c r="A8" t="inlineStr">
        <is>
          <t>2025-10</t>
        </is>
      </c>
      <c r="B8">
        <f>SUMIFS(Raw_Monthly!$B$2:$B$13,Raw_Monthly!$A$2:$A$13,$A8)</f>
        <v/>
      </c>
      <c r="C8">
        <f>SUMIFS(Raw_Monthly!$C$2:$C$13,Raw_Monthly!$A$2:$A$13,$A8)</f>
        <v/>
      </c>
      <c r="D8">
        <f>B8-C8</f>
        <v/>
      </c>
      <c r="E8">
        <f>SUMIFS(Raw_Monthly!$D$2:$D$13,Raw_Monthly!$A$2:$A$13,$A8)</f>
        <v/>
      </c>
      <c r="F8">
        <f>B8-C8-E8</f>
        <v/>
      </c>
      <c r="G8">
        <f>IF(B8=0,0,F8/B8)</f>
        <v/>
      </c>
      <c r="H8">
        <f>SUMIFS(Raw_Monthly!$E$2:$E$13,Raw_Monthly!$A$2:$A$13,$A8)</f>
        <v/>
      </c>
      <c r="I8">
        <f>SUMIFS(Raw_Monthly!$F$2:$F$13,Raw_Monthly!$A$2:$A$13,$A8)</f>
        <v/>
      </c>
      <c r="J8">
        <f>SUMIFS(Raw_Monthly!$G$2:$G$13,Raw_Monthly!$A$2:$A$13,$A8)</f>
        <v/>
      </c>
      <c r="K8">
        <f>H8+I8-J8</f>
        <v/>
      </c>
    </row>
    <row r="9">
      <c r="A9" t="inlineStr">
        <is>
          <t>2025-11</t>
        </is>
      </c>
      <c r="B9">
        <f>SUMIFS(Raw_Monthly!$B$2:$B$13,Raw_Monthly!$A$2:$A$13,$A9)</f>
        <v/>
      </c>
      <c r="C9">
        <f>SUMIFS(Raw_Monthly!$C$2:$C$13,Raw_Monthly!$A$2:$A$13,$A9)</f>
        <v/>
      </c>
      <c r="D9">
        <f>B9-C9</f>
        <v/>
      </c>
      <c r="E9">
        <f>SUMIFS(Raw_Monthly!$D$2:$D$13,Raw_Monthly!$A$2:$A$13,$A9)</f>
        <v/>
      </c>
      <c r="F9">
        <f>B9-C9-E9</f>
        <v/>
      </c>
      <c r="G9">
        <f>IF(B9=0,0,F9/B9)</f>
        <v/>
      </c>
      <c r="H9">
        <f>SUMIFS(Raw_Monthly!$E$2:$E$13,Raw_Monthly!$A$2:$A$13,$A9)</f>
        <v/>
      </c>
      <c r="I9">
        <f>SUMIFS(Raw_Monthly!$F$2:$F$13,Raw_Monthly!$A$2:$A$13,$A9)</f>
        <v/>
      </c>
      <c r="J9">
        <f>SUMIFS(Raw_Monthly!$G$2:$G$13,Raw_Monthly!$A$2:$A$13,$A9)</f>
        <v/>
      </c>
      <c r="K9">
        <f>H9+I9-J9</f>
        <v/>
      </c>
    </row>
    <row r="10">
      <c r="A10" t="inlineStr">
        <is>
          <t>2025-12</t>
        </is>
      </c>
      <c r="B10">
        <f>SUMIFS(Raw_Monthly!$B$2:$B$13,Raw_Monthly!$A$2:$A$13,$A10)</f>
        <v/>
      </c>
      <c r="C10">
        <f>SUMIFS(Raw_Monthly!$C$2:$C$13,Raw_Monthly!$A$2:$A$13,$A10)</f>
        <v/>
      </c>
      <c r="D10">
        <f>B10-C10</f>
        <v/>
      </c>
      <c r="E10">
        <f>SUMIFS(Raw_Monthly!$D$2:$D$13,Raw_Monthly!$A$2:$A$13,$A10)</f>
        <v/>
      </c>
      <c r="F10">
        <f>B10-C10-E10</f>
        <v/>
      </c>
      <c r="G10">
        <f>IF(B10=0,0,F10/B10)</f>
        <v/>
      </c>
      <c r="H10">
        <f>SUMIFS(Raw_Monthly!$E$2:$E$13,Raw_Monthly!$A$2:$A$13,$A10)</f>
        <v/>
      </c>
      <c r="I10">
        <f>SUMIFS(Raw_Monthly!$F$2:$F$13,Raw_Monthly!$A$2:$A$13,$A10)</f>
        <v/>
      </c>
      <c r="J10">
        <f>SUMIFS(Raw_Monthly!$G$2:$G$13,Raw_Monthly!$A$2:$A$13,$A10)</f>
        <v/>
      </c>
      <c r="K10">
        <f>H10+I10-J10</f>
        <v/>
      </c>
    </row>
    <row r="11">
      <c r="A11" t="inlineStr">
        <is>
          <t>2026-01</t>
        </is>
      </c>
      <c r="B11">
        <f>SUMIFS(Raw_Monthly!$B$2:$B$13,Raw_Monthly!$A$2:$A$13,$A11)</f>
        <v/>
      </c>
      <c r="C11">
        <f>SUMIFS(Raw_Monthly!$C$2:$C$13,Raw_Monthly!$A$2:$A$13,$A11)</f>
        <v/>
      </c>
      <c r="D11">
        <f>B11-C11</f>
        <v/>
      </c>
      <c r="E11">
        <f>SUMIFS(Raw_Monthly!$D$2:$D$13,Raw_Monthly!$A$2:$A$13,$A11)</f>
        <v/>
      </c>
      <c r="F11">
        <f>B11-C11-E11</f>
        <v/>
      </c>
      <c r="G11">
        <f>IF(B11=0,0,F11/B11)</f>
        <v/>
      </c>
      <c r="H11">
        <f>SUMIFS(Raw_Monthly!$E$2:$E$13,Raw_Monthly!$A$2:$A$13,$A11)</f>
        <v/>
      </c>
      <c r="I11">
        <f>SUMIFS(Raw_Monthly!$F$2:$F$13,Raw_Monthly!$A$2:$A$13,$A11)</f>
        <v/>
      </c>
      <c r="J11">
        <f>SUMIFS(Raw_Monthly!$G$2:$G$13,Raw_Monthly!$A$2:$A$13,$A11)</f>
        <v/>
      </c>
      <c r="K11">
        <f>H11+I11-J11</f>
        <v/>
      </c>
    </row>
    <row r="12">
      <c r="A12" t="inlineStr">
        <is>
          <t>2026-02</t>
        </is>
      </c>
      <c r="B12">
        <f>SUMIFS(Raw_Monthly!$B$2:$B$13,Raw_Monthly!$A$2:$A$13,$A12)</f>
        <v/>
      </c>
      <c r="C12">
        <f>SUMIFS(Raw_Monthly!$C$2:$C$13,Raw_Monthly!$A$2:$A$13,$A12)</f>
        <v/>
      </c>
      <c r="D12">
        <f>B12-C12</f>
        <v/>
      </c>
      <c r="E12">
        <f>SUMIFS(Raw_Monthly!$D$2:$D$13,Raw_Monthly!$A$2:$A$13,$A12)</f>
        <v/>
      </c>
      <c r="F12">
        <f>B12-C12-E12</f>
        <v/>
      </c>
      <c r="G12">
        <f>IF(B12=0,0,F12/B12)</f>
        <v/>
      </c>
      <c r="H12">
        <f>SUMIFS(Raw_Monthly!$E$2:$E$13,Raw_Monthly!$A$2:$A$13,$A12)</f>
        <v/>
      </c>
      <c r="I12">
        <f>SUMIFS(Raw_Monthly!$F$2:$F$13,Raw_Monthly!$A$2:$A$13,$A12)</f>
        <v/>
      </c>
      <c r="J12">
        <f>SUMIFS(Raw_Monthly!$G$2:$G$13,Raw_Monthly!$A$2:$A$13,$A12)</f>
        <v/>
      </c>
      <c r="K12">
        <f>H12+I12-J12</f>
        <v/>
      </c>
    </row>
    <row r="13">
      <c r="A13" t="inlineStr">
        <is>
          <t>2026-03</t>
        </is>
      </c>
      <c r="B13">
        <f>SUMIFS(Raw_Monthly!$B$2:$B$13,Raw_Monthly!$A$2:$A$13,$A13)</f>
        <v/>
      </c>
      <c r="C13">
        <f>SUMIFS(Raw_Monthly!$C$2:$C$13,Raw_Monthly!$A$2:$A$13,$A13)</f>
        <v/>
      </c>
      <c r="D13">
        <f>B13-C13</f>
        <v/>
      </c>
      <c r="E13">
        <f>SUMIFS(Raw_Monthly!$D$2:$D$13,Raw_Monthly!$A$2:$A$13,$A13)</f>
        <v/>
      </c>
      <c r="F13">
        <f>B13-C13-E13</f>
        <v/>
      </c>
      <c r="G13">
        <f>IF(B13=0,0,F13/B13)</f>
        <v/>
      </c>
      <c r="H13">
        <f>SUMIFS(Raw_Monthly!$E$2:$E$13,Raw_Monthly!$A$2:$A$13,$A13)</f>
        <v/>
      </c>
      <c r="I13">
        <f>SUMIFS(Raw_Monthly!$F$2:$F$13,Raw_Monthly!$A$2:$A$13,$A13)</f>
        <v/>
      </c>
      <c r="J13">
        <f>SUMIFS(Raw_Monthly!$G$2:$G$13,Raw_Monthly!$A$2:$A$13,$A13)</f>
        <v/>
      </c>
      <c r="K13">
        <f>H13+I13-J13</f>
        <v/>
      </c>
    </row>
    <row r="14">
      <c r="A14" t="inlineStr">
        <is>
          <t>TOTAL / Mar-26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IF(B14=0,0,F14/B14)</f>
        <v/>
      </c>
      <c r="H14">
        <f>H13</f>
        <v/>
      </c>
      <c r="I14">
        <f>I13</f>
        <v/>
      </c>
      <c r="J14">
        <f>J13</f>
        <v/>
      </c>
      <c r="K14">
        <f>K13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2" t="inlineStr">
        <is>
          <t>Check</t>
        </is>
      </c>
      <c r="B1" s="2" t="inlineStr">
        <is>
          <t>Result</t>
        </is>
      </c>
    </row>
    <row r="2">
      <c r="A2" t="inlineStr">
        <is>
          <t>Balance sheet balances, FY2024</t>
        </is>
      </c>
      <c r="B2">
        <f>ABS(Statements!B33)&lt;1</f>
        <v/>
      </c>
    </row>
    <row r="3">
      <c r="A3" t="inlineStr">
        <is>
          <t>Balance sheet balances, FY2025</t>
        </is>
      </c>
      <c r="B3">
        <f>ABS(Statements!C33)&lt;1</f>
        <v/>
      </c>
    </row>
    <row r="4">
      <c r="A4" t="inlineStr">
        <is>
          <t>Balance sheet balances, FY2026</t>
        </is>
      </c>
      <c r="B4">
        <f>ABS(Statements!D33)&lt;1</f>
        <v/>
      </c>
    </row>
    <row r="5">
      <c r="A5" t="inlineStr">
        <is>
          <t>Cash-flow closing cash = balance-sheet cash, FY2024</t>
        </is>
      </c>
      <c r="B5">
        <f>ABS(Statements!B49)&lt;1</f>
        <v/>
      </c>
    </row>
    <row r="6">
      <c r="A6" t="inlineStr">
        <is>
          <t>Cash-flow closing cash = balance-sheet cash, FY2025</t>
        </is>
      </c>
      <c r="B6">
        <f>ABS(Statements!C49)&lt;1</f>
        <v/>
      </c>
    </row>
    <row r="7">
      <c r="A7" t="inlineStr">
        <is>
          <t>Cash-flow closing cash = balance-sheet cash, FY2026</t>
        </is>
      </c>
      <c r="B7">
        <f>ABS(Statements!D49)&lt;1</f>
        <v/>
      </c>
    </row>
    <row r="8">
      <c r="A8" t="inlineStr">
        <is>
          <t>Monthly revenue total = FY2026 revenue</t>
        </is>
      </c>
      <c r="B8">
        <f>ABS(Trend!B14-Statements!D3)&lt;1</f>
        <v/>
      </c>
    </row>
    <row r="9">
      <c r="A9" t="inlineStr">
        <is>
          <t>Retained earnings roll-forward, FY2026</t>
        </is>
      </c>
      <c r="B9">
        <f>ABS(Statements!D30-(Statements!C30+Statements!D35-SUMIFS(Raw_Statements!$D$2:$D$73,Raw_Statements!$B$2:$B$73,"Dividends paid",Raw_Statements!$C$2:$C$73,"FY2026")))&lt;1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2026-10-28T02:31:33+00:00Z</dcterms:created>
  <dcterms:modified xmlns:dcterms="http://purl.org/dc/terms/" xmlns:xsi="http://www.w3.org/2001/XMLSchema-instance" xsi:type="dcterms:W3CDTF">2026-10-28T02:31:33+00:00Z</dcterms:modified>
</cp:coreProperties>
</file>