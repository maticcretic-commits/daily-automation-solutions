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'Register'!$A$3:$K$58</definedName>
    <definedName name="_xlnm.Print_Titles" localSheetId="0">'Register'!$1:$3</definedName>
    <definedName name="_xlnm.Print_Titles" localSheetId="1">'Summary'!$1:$4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0" customWidth="1" min="5" max="5"/>
    <col width="13" customWidth="1" min="6" max="6"/>
    <col width="13" customWidth="1" min="7" max="7"/>
    <col width="14" customWidth="1" min="8" max="8"/>
    <col width="12" customWidth="1" min="9" max="9"/>
    <col width="44" customWidth="1" min="10" max="10"/>
    <col width="62" customWidth="1" min="11" max="11"/>
  </cols>
  <sheetData>
    <row r="1">
      <c r="A1" t="inlineStr">
        <is>
          <t>Demo Traders (FICTIONAL — synthetic demo data)</t>
        </is>
      </c>
    </row>
    <row r="2">
      <c r="A2" t="inlineStr">
        <is>
          <t>Cleaned asset register. Line totals and the Summary sheet are Excel formulas — see BEFORE_AFTER.md.</t>
        </is>
      </c>
    </row>
    <row r="3">
      <c r="A3" s="1" t="inlineStr">
        <is>
          <t>Asset ID</t>
        </is>
      </c>
      <c r="B3" s="1" t="inlineStr">
        <is>
          <t>Item</t>
        </is>
      </c>
      <c r="C3" s="1" t="inlineStr">
        <is>
          <t>Category</t>
        </is>
      </c>
      <c r="D3" s="1" t="inlineStr">
        <is>
          <t>Purchase Date</t>
        </is>
      </c>
      <c r="E3" s="1" t="inlineStr">
        <is>
          <t>Quantity</t>
        </is>
      </c>
      <c r="F3" s="1" t="inlineStr">
        <is>
          <t>Unit Price</t>
        </is>
      </c>
      <c r="G3" s="1" t="inlineStr">
        <is>
          <t>Line Total</t>
        </is>
      </c>
      <c r="H3" s="1" t="inlineStr">
        <is>
          <t>Status</t>
        </is>
      </c>
      <c r="I3" s="1" t="inlineStr">
        <is>
          <t>Location</t>
        </is>
      </c>
      <c r="J3" s="1" t="inlineStr">
        <is>
          <t>Flag</t>
        </is>
      </c>
      <c r="K3" s="1" t="inlineStr">
        <is>
          <t>Notes</t>
        </is>
      </c>
    </row>
    <row r="4">
      <c r="A4" t="inlineStr">
        <is>
          <t>AST-032</t>
        </is>
      </c>
      <c r="B4" t="inlineStr">
        <is>
          <t>Office Printer — S/N 1032</t>
        </is>
      </c>
      <c r="C4" t="inlineStr">
        <is>
          <t>IT Equipment</t>
        </is>
      </c>
      <c r="D4" s="2" t="n">
        <v>45046</v>
      </c>
      <c r="E4" t="n">
        <v>1</v>
      </c>
      <c r="F4" s="3" t="n">
        <v>5184</v>
      </c>
      <c r="G4" s="3">
        <f>IF(OR(E4="",F4=""),"",E4*F4)</f>
        <v/>
      </c>
      <c r="H4" t="inlineStr">
        <is>
          <t>In Storage</t>
        </is>
      </c>
      <c r="I4" t="inlineStr">
        <is>
          <t>Patna</t>
        </is>
      </c>
      <c r="J4" t="inlineStr"/>
      <c r="K4" t="inlineStr">
        <is>
          <t>Date '30 Apr 2023' normalised; Price '₹5,184' converted to 5184</t>
        </is>
      </c>
    </row>
    <row r="5">
      <c r="A5" t="inlineStr">
        <is>
          <t>AST-009</t>
        </is>
      </c>
      <c r="B5" t="inlineStr">
        <is>
          <t>Bookshelf — S/N 1009</t>
        </is>
      </c>
      <c r="C5" t="inlineStr">
        <is>
          <t>Furniture</t>
        </is>
      </c>
      <c r="D5" s="2" t="n">
        <v>44895</v>
      </c>
      <c r="E5" t="n">
        <v>4</v>
      </c>
      <c r="F5" s="3" t="n">
        <v>2733</v>
      </c>
      <c r="G5" s="3">
        <f>IF(OR(E5="",F5=""),"",E5*F5)</f>
        <v/>
      </c>
      <c r="H5" t="inlineStr">
        <is>
          <t>In Use</t>
        </is>
      </c>
      <c r="I5" t="inlineStr">
        <is>
          <t>Delhi</t>
        </is>
      </c>
      <c r="J5" t="inlineStr"/>
      <c r="K5" t="inlineStr">
        <is>
          <t>Date '30.11.2022' normalised; Quantity text '4' converted to number; Price 'Rs. 2733' converted to 2733</t>
        </is>
      </c>
    </row>
    <row r="6">
      <c r="A6" t="inlineStr">
        <is>
          <t>AST-014</t>
        </is>
      </c>
      <c r="B6" t="inlineStr">
        <is>
          <t>Pickup Truck — S/N 1014</t>
        </is>
      </c>
      <c r="C6" t="inlineStr">
        <is>
          <t>Vehicle</t>
        </is>
      </c>
      <c r="D6" s="2" t="n">
        <v>45080</v>
      </c>
      <c r="E6" t="n">
        <v>7</v>
      </c>
      <c r="F6" s="3" t="n">
        <v>86918</v>
      </c>
      <c r="G6" s="3">
        <f>IF(OR(E6="",F6=""),"",E6*F6)</f>
        <v/>
      </c>
      <c r="H6" t="inlineStr">
        <is>
          <t>In Storage</t>
        </is>
      </c>
      <c r="I6" t="inlineStr">
        <is>
          <t>Mumbai</t>
        </is>
      </c>
      <c r="J6" t="inlineStr"/>
      <c r="K6" t="inlineStr">
        <is>
          <t>Date '03.06.2023' normalised; Price 'INR 86,918' converted to 86918</t>
        </is>
      </c>
    </row>
    <row r="7">
      <c r="A7" t="inlineStr">
        <is>
          <t>AST-007</t>
        </is>
      </c>
      <c r="B7" t="inlineStr">
        <is>
          <t>Tool Chest — S/N 1007</t>
        </is>
      </c>
      <c r="C7" t="inlineStr">
        <is>
          <t>Tools</t>
        </is>
      </c>
      <c r="D7" s="2" t="n">
        <v>44821</v>
      </c>
      <c r="E7" t="n">
        <v>10</v>
      </c>
      <c r="F7" s="3" t="n">
        <v>1859</v>
      </c>
      <c r="G7" s="3">
        <f>IF(OR(E7="",F7=""),"",E7*F7)</f>
        <v/>
      </c>
      <c r="H7" t="inlineStr">
        <is>
          <t>In Use</t>
        </is>
      </c>
      <c r="I7" t="inlineStr">
        <is>
          <t>Kolkata</t>
        </is>
      </c>
      <c r="J7" t="inlineStr"/>
      <c r="K7" t="inlineStr"/>
    </row>
    <row r="8">
      <c r="A8" t="inlineStr">
        <is>
          <t>AST-026</t>
        </is>
      </c>
      <c r="B8" t="inlineStr">
        <is>
          <t>Pickup Truck — S/N 1026</t>
        </is>
      </c>
      <c r="C8" t="inlineStr">
        <is>
          <t>Vehicle</t>
        </is>
      </c>
      <c r="D8" s="2" t="n">
        <v>44824</v>
      </c>
      <c r="E8" t="n">
        <v>7</v>
      </c>
      <c r="F8" s="3" t="n">
        <v>88562</v>
      </c>
      <c r="G8" s="3">
        <f>IF(OR(E8="",F8=""),"",E8*F8)</f>
        <v/>
      </c>
      <c r="H8" t="inlineStr">
        <is>
          <t>In Storage</t>
        </is>
      </c>
      <c r="I8" t="inlineStr">
        <is>
          <t>Mumbai</t>
        </is>
      </c>
      <c r="J8" t="inlineStr"/>
      <c r="K8" t="inlineStr">
        <is>
          <t>Date '2022-09-20' normalised; Price 'INR 88,562' converted to 88562</t>
        </is>
      </c>
    </row>
    <row r="9">
      <c r="A9" t="inlineStr">
        <is>
          <t>AST-049</t>
        </is>
      </c>
      <c r="B9" t="inlineStr">
        <is>
          <t>Bookshelf — S/N 1049</t>
        </is>
      </c>
      <c r="C9" t="inlineStr">
        <is>
          <t>Furniture</t>
        </is>
      </c>
      <c r="D9" s="2" t="n">
        <v>44975</v>
      </c>
      <c r="E9" t="n">
        <v>4</v>
      </c>
      <c r="F9" s="3" t="n">
        <v>8213</v>
      </c>
      <c r="G9" s="3">
        <f>IF(OR(E9="",F9=""),"",E9*F9)</f>
        <v/>
      </c>
      <c r="H9" t="inlineStr">
        <is>
          <t>In Use</t>
        </is>
      </c>
      <c r="I9" t="inlineStr">
        <is>
          <t>Delhi</t>
        </is>
      </c>
      <c r="J9" t="inlineStr"/>
      <c r="K9" t="inlineStr">
        <is>
          <t>Date '18.02.2023' normalised; Price 'Rs. 8213' converted to 8213</t>
        </is>
      </c>
    </row>
    <row r="10">
      <c r="A10" t="inlineStr">
        <is>
          <t>AST-028</t>
        </is>
      </c>
      <c r="B10" t="inlineStr">
        <is>
          <t>External Hard Drive — S/N 1028</t>
        </is>
      </c>
      <c r="C10" t="inlineStr">
        <is>
          <t>IT Equipment</t>
        </is>
      </c>
      <c r="D10" s="2" t="n">
        <v>44898</v>
      </c>
      <c r="E10" t="n">
        <v>1</v>
      </c>
      <c r="F10" s="3" t="n">
        <v>4636</v>
      </c>
      <c r="G10" s="3">
        <f>IF(OR(E10="",F10=""),"",E10*F10)</f>
        <v/>
      </c>
      <c r="H10" t="inlineStr">
        <is>
          <t>Under Repair</t>
        </is>
      </c>
      <c r="I10" t="inlineStr">
        <is>
          <t>Patna</t>
        </is>
      </c>
      <c r="J10" t="inlineStr"/>
      <c r="K10" t="inlineStr">
        <is>
          <t>Date 'December 03, 2022' normalised; Price '₹4,636' converted to 4636</t>
        </is>
      </c>
    </row>
    <row r="11">
      <c r="A11" t="inlineStr">
        <is>
          <t>AST-040</t>
        </is>
      </c>
      <c r="B11" t="inlineStr">
        <is>
          <t>External Hard Drive — S/N 1040</t>
        </is>
      </c>
      <c r="C11" t="inlineStr">
        <is>
          <t>IT Equipment</t>
        </is>
      </c>
      <c r="D11" s="2" t="n">
        <v>44642</v>
      </c>
      <c r="E11" t="n">
        <v>1</v>
      </c>
      <c r="F11" s="3" t="n">
        <v>6280</v>
      </c>
      <c r="G11" s="3">
        <f>IF(OR(E11="",F11=""),"",E11*F11)</f>
        <v/>
      </c>
      <c r="H11" t="inlineStr">
        <is>
          <t>Under Repair</t>
        </is>
      </c>
      <c r="I11" t="inlineStr">
        <is>
          <t>Patna</t>
        </is>
      </c>
      <c r="J11" t="inlineStr"/>
      <c r="K11" t="inlineStr">
        <is>
          <t>Date '22/03/2022' normalised; Price '₹6,280' converted to 6280</t>
        </is>
      </c>
    </row>
    <row r="12">
      <c r="A12" t="inlineStr">
        <is>
          <t>AST-004</t>
        </is>
      </c>
      <c r="B12" t="inlineStr">
        <is>
          <t>External Hard Drive — S/N 1004</t>
        </is>
      </c>
      <c r="C12" t="inlineStr">
        <is>
          <t>IT Equipment</t>
        </is>
      </c>
      <c r="D12" s="2" t="n">
        <v>44710</v>
      </c>
      <c r="E12" t="n">
        <v>1</v>
      </c>
      <c r="F12" s="3" t="n">
        <v>1348</v>
      </c>
      <c r="G12" s="3">
        <f>IF(OR(E12="",F12=""),"",E12*F12)</f>
        <v/>
      </c>
      <c r="H12" t="inlineStr">
        <is>
          <t>Under Repair</t>
        </is>
      </c>
      <c r="I12" t="inlineStr">
        <is>
          <t>Patna</t>
        </is>
      </c>
      <c r="J12" t="inlineStr"/>
      <c r="K12" t="inlineStr">
        <is>
          <t>Date '29.05.2022' normalised; Price '₹1,348' converted to 1348</t>
        </is>
      </c>
    </row>
    <row r="13">
      <c r="A13" t="inlineStr">
        <is>
          <t>AST-022</t>
        </is>
      </c>
      <c r="B13" t="inlineStr">
        <is>
          <t>Scooter — S/N 1022</t>
        </is>
      </c>
      <c r="C13" t="inlineStr">
        <is>
          <t>Vehicle</t>
        </is>
      </c>
      <c r="D13" s="2" t="n">
        <v>44676</v>
      </c>
      <c r="E13" t="n">
        <v>7</v>
      </c>
      <c r="F13" s="3" t="n">
        <v>88014</v>
      </c>
      <c r="G13" s="3">
        <f>IF(OR(E13="",F13=""),"",E13*F13)</f>
        <v/>
      </c>
      <c r="H13" t="inlineStr">
        <is>
          <t>Under Repair</t>
        </is>
      </c>
      <c r="I13" t="inlineStr">
        <is>
          <t>Mumbai</t>
        </is>
      </c>
      <c r="J13" t="inlineStr"/>
      <c r="K13" t="inlineStr">
        <is>
          <t>Date '25 Apr 2022' normalised; Price 'INR 88,014' converted to 88014</t>
        </is>
      </c>
    </row>
    <row r="14">
      <c r="A14" t="inlineStr">
        <is>
          <t>AST-037</t>
        </is>
      </c>
      <c r="B14" t="inlineStr">
        <is>
          <t>Filing Cabinet — S/N 1037</t>
        </is>
      </c>
      <c r="C14" t="inlineStr">
        <is>
          <t>Furniture</t>
        </is>
      </c>
      <c r="D14" s="2" t="n">
        <v>45231</v>
      </c>
      <c r="E14" t="n">
        <v>4</v>
      </c>
      <c r="F14" s="3" t="n">
        <v>6569</v>
      </c>
      <c r="G14" s="3">
        <f>IF(OR(E14="",F14=""),"",E14*F14)</f>
        <v/>
      </c>
      <c r="H14" t="inlineStr">
        <is>
          <t>In Use</t>
        </is>
      </c>
      <c r="I14" t="inlineStr">
        <is>
          <t>Delhi</t>
        </is>
      </c>
      <c r="J14" t="inlineStr"/>
      <c r="K14" t="inlineStr">
        <is>
          <t>Date '01 Nov 2023' normalised; Price 'Rs. 6569' converted to 6569</t>
        </is>
      </c>
    </row>
    <row r="15">
      <c r="A15" t="inlineStr">
        <is>
          <t>AST-012</t>
        </is>
      </c>
      <c r="B15" t="inlineStr">
        <is>
          <t>Laptop 14in — S/N 1012</t>
        </is>
      </c>
      <c r="C15" t="inlineStr">
        <is>
          <t>IT Equipment</t>
        </is>
      </c>
      <c r="D15" s="2" t="n">
        <v>45006</v>
      </c>
      <c r="E15" t="n">
        <v>1</v>
      </c>
      <c r="F15" s="3" t="n">
        <v>2444</v>
      </c>
      <c r="G15" s="3">
        <f>IF(OR(E15="",F15=""),"",E15*F15)</f>
        <v/>
      </c>
      <c r="H15" t="inlineStr">
        <is>
          <t>In Use</t>
        </is>
      </c>
      <c r="I15" t="inlineStr">
        <is>
          <t>Patna</t>
        </is>
      </c>
      <c r="J15" t="inlineStr"/>
      <c r="K15" t="inlineStr">
        <is>
          <t>Date '21 Mar 2023' normalised; Price '₹2,444' converted to 2444</t>
        </is>
      </c>
    </row>
    <row r="16">
      <c r="A16" t="inlineStr">
        <is>
          <t>AST-031</t>
        </is>
      </c>
      <c r="B16" t="inlineStr">
        <is>
          <t>Welding Kit — S/N 1031</t>
        </is>
      </c>
      <c r="C16" t="inlineStr">
        <is>
          <t>Tools</t>
        </is>
      </c>
      <c r="D16" s="2" t="n">
        <v>45009</v>
      </c>
      <c r="E16" t="n">
        <v>10</v>
      </c>
      <c r="F16" s="3" t="n">
        <v>45</v>
      </c>
      <c r="G16" s="3">
        <f>IF(OR(E16="",F16=""),"",E16*F16)</f>
        <v/>
      </c>
      <c r="H16" t="inlineStr">
        <is>
          <t>In Use</t>
        </is>
      </c>
      <c r="I16" t="inlineStr">
        <is>
          <t>Kolkata</t>
        </is>
      </c>
      <c r="J16" t="inlineStr">
        <is>
          <t>Price currency symbol was '$' — verify currency</t>
        </is>
      </c>
      <c r="K16" t="inlineStr">
        <is>
          <t>Date '2023-03-24' normalised; Price '$45' converted to 45 (currency symbol was '$' — figure kept as supplied; verify currency)</t>
        </is>
      </c>
    </row>
    <row r="17">
      <c r="A17" t="inlineStr">
        <is>
          <t>AST-030</t>
        </is>
      </c>
      <c r="B17" t="inlineStr">
        <is>
          <t>Delivery Van — S/N 1030</t>
        </is>
      </c>
      <c r="C17" t="inlineStr">
        <is>
          <t>Vehicle</t>
        </is>
      </c>
      <c r="D17" s="2" t="n">
        <v>44972</v>
      </c>
      <c r="E17" t="n">
        <v>7</v>
      </c>
      <c r="F17" s="3" t="n">
        <v>89110</v>
      </c>
      <c r="G17" s="3">
        <f>IF(OR(E17="",F17=""),"",E17*F17)</f>
        <v/>
      </c>
      <c r="H17" t="inlineStr">
        <is>
          <t>In Use</t>
        </is>
      </c>
      <c r="I17" t="inlineStr">
        <is>
          <t>Mumbai</t>
        </is>
      </c>
      <c r="J17" t="inlineStr"/>
      <c r="K17" t="inlineStr">
        <is>
          <t>Date '15/02/2023' normalised; Price 'INR 89,110' converted to 89110</t>
        </is>
      </c>
    </row>
    <row r="18">
      <c r="A18" t="inlineStr">
        <is>
          <t>AST-045</t>
        </is>
      </c>
      <c r="B18" t="inlineStr">
        <is>
          <t>Office Chair — S/N 1045</t>
        </is>
      </c>
      <c r="C18" t="inlineStr">
        <is>
          <t>Furniture</t>
        </is>
      </c>
      <c r="D18" s="2" t="n">
        <v>44827</v>
      </c>
      <c r="E18" t="n">
        <v>4</v>
      </c>
      <c r="F18" s="3" t="n">
        <v>7665</v>
      </c>
      <c r="G18" s="3">
        <f>IF(OR(E18="",F18=""),"",E18*F18)</f>
        <v/>
      </c>
      <c r="H18" t="inlineStr">
        <is>
          <t>In Use</t>
        </is>
      </c>
      <c r="I18" t="inlineStr">
        <is>
          <t>Delhi</t>
        </is>
      </c>
      <c r="J18" t="inlineStr"/>
      <c r="K18" t="inlineStr">
        <is>
          <t>Date '23/09/2022' normalised; Price 'Rs. 7665' converted to 7665</t>
        </is>
      </c>
    </row>
    <row r="19">
      <c r="A19" t="inlineStr">
        <is>
          <t>AST-001</t>
        </is>
      </c>
      <c r="B19" t="inlineStr">
        <is>
          <t>Work Desk — S/N 1001</t>
        </is>
      </c>
      <c r="C19" t="inlineStr">
        <is>
          <t>Furniture</t>
        </is>
      </c>
      <c r="D19" s="2" t="n">
        <v>44599</v>
      </c>
      <c r="E19" t="n">
        <v>4</v>
      </c>
      <c r="F19" s="3" t="n">
        <v>1637</v>
      </c>
      <c r="G19" s="3">
        <f>IF(OR(E19="",F19=""),"",E19*F19)</f>
        <v/>
      </c>
      <c r="H19" t="inlineStr">
        <is>
          <t>In Use</t>
        </is>
      </c>
      <c r="I19" t="inlineStr">
        <is>
          <t>Delhi</t>
        </is>
      </c>
      <c r="J19" t="inlineStr"/>
      <c r="K19" t="inlineStr">
        <is>
          <t>Date '2022-02-07' normalised; Price 'Rs. 1637' converted to 1637</t>
        </is>
      </c>
    </row>
    <row r="20">
      <c r="A20" t="inlineStr">
        <is>
          <t>AST-024</t>
        </is>
      </c>
      <c r="B20" t="inlineStr">
        <is>
          <t>Laptop 14in — S/N 1024</t>
        </is>
      </c>
      <c r="C20" t="inlineStr">
        <is>
          <t>IT Equipment</t>
        </is>
      </c>
      <c r="D20" s="2" t="n">
        <v>44750</v>
      </c>
      <c r="E20" t="n">
        <v>1</v>
      </c>
      <c r="F20" s="3" t="n">
        <v>4088</v>
      </c>
      <c r="G20" s="3">
        <f>IF(OR(E20="",F20=""),"",E20*F20)</f>
        <v/>
      </c>
      <c r="H20" t="inlineStr">
        <is>
          <t>In Use</t>
        </is>
      </c>
      <c r="I20" t="inlineStr">
        <is>
          <t>Patna</t>
        </is>
      </c>
      <c r="J20" t="inlineStr"/>
      <c r="K20" t="inlineStr">
        <is>
          <t>Date '08.07.2022' normalised; Price '₹4,088' converted to 4088</t>
        </is>
      </c>
    </row>
    <row r="21">
      <c r="A21" t="inlineStr">
        <is>
          <t>AST-005</t>
        </is>
      </c>
      <c r="B21" t="inlineStr">
        <is>
          <t>Office Chair — S/N 1005</t>
        </is>
      </c>
      <c r="C21" t="inlineStr">
        <is>
          <t>Furniture</t>
        </is>
      </c>
      <c r="D21" s="2" t="n">
        <v>44747</v>
      </c>
      <c r="F21" s="3" t="n">
        <v>2185</v>
      </c>
      <c r="G21" s="3">
        <f>IF(OR(E21="",F21=""),"",E21*F21)</f>
        <v/>
      </c>
      <c r="H21" t="inlineStr">
        <is>
          <t>Disposed</t>
        </is>
      </c>
      <c r="I21" t="inlineStr">
        <is>
          <t>Delhi</t>
        </is>
      </c>
      <c r="J21" t="inlineStr">
        <is>
          <t>Quantity missing — line total not computed</t>
        </is>
      </c>
      <c r="K21" t="inlineStr">
        <is>
          <t>Date '05/07/2022' normalised; Quantity missing; Price 'Rs. 2185' converted to 2185</t>
        </is>
      </c>
    </row>
    <row r="22">
      <c r="A22" t="inlineStr">
        <is>
          <t>AST-053</t>
        </is>
      </c>
      <c r="B22" t="inlineStr">
        <is>
          <t>Conference Table — S/N 1053</t>
        </is>
      </c>
      <c r="C22" t="inlineStr">
        <is>
          <t>Furniture</t>
        </is>
      </c>
      <c r="D22" s="2" t="n">
        <v>45123</v>
      </c>
      <c r="E22" t="n">
        <v>4</v>
      </c>
      <c r="F22" s="3" t="n">
        <v>8761</v>
      </c>
      <c r="G22" s="3">
        <f>IF(OR(E22="",F22=""),"",E22*F22)</f>
        <v/>
      </c>
      <c r="H22" t="inlineStr">
        <is>
          <t>Disposed</t>
        </is>
      </c>
      <c r="I22" t="inlineStr">
        <is>
          <t>Delhi</t>
        </is>
      </c>
      <c r="J22" t="inlineStr"/>
      <c r="K22" t="inlineStr">
        <is>
          <t>Date 'July 16, 2023' normalised; Price 'Rs. 8761' converted to 8761</t>
        </is>
      </c>
    </row>
    <row r="23">
      <c r="A23" t="inlineStr">
        <is>
          <t>AST-033</t>
        </is>
      </c>
      <c r="B23" t="inlineStr">
        <is>
          <t>Conference Table — S/N 1033</t>
        </is>
      </c>
      <c r="C23" t="inlineStr">
        <is>
          <t>Furniture</t>
        </is>
      </c>
      <c r="D23" s="2" t="n">
        <v>45083</v>
      </c>
      <c r="E23" t="n">
        <v>4</v>
      </c>
      <c r="F23" s="3" t="n">
        <v>6021</v>
      </c>
      <c r="G23" s="3">
        <f>IF(OR(E23="",F23=""),"",E23*F23)</f>
        <v/>
      </c>
      <c r="H23" t="inlineStr">
        <is>
          <t>In Use</t>
        </is>
      </c>
      <c r="I23" t="inlineStr">
        <is>
          <t>Delhi</t>
        </is>
      </c>
      <c r="J23" t="inlineStr"/>
      <c r="K23" t="inlineStr">
        <is>
          <t>Date 'June 06, 2023' normalised; Quantity text '4' converted to number; Price 'Rs. 6021' converted to 6021</t>
        </is>
      </c>
    </row>
    <row r="24">
      <c r="A24" t="inlineStr">
        <is>
          <t>AST-015</t>
        </is>
      </c>
      <c r="B24" t="inlineStr">
        <is>
          <t>Drill Machine — S/N 1015</t>
        </is>
      </c>
      <c r="C24" t="inlineStr">
        <is>
          <t>Tools</t>
        </is>
      </c>
      <c r="D24" s="2" t="n">
        <v>45117</v>
      </c>
      <c r="E24" t="n">
        <v>10</v>
      </c>
      <c r="F24" s="3" t="n">
        <v>2955</v>
      </c>
      <c r="G24" s="3">
        <f>IF(OR(E24="",F24=""),"",E24*F24)</f>
        <v/>
      </c>
      <c r="H24" t="inlineStr">
        <is>
          <t>In Use</t>
        </is>
      </c>
      <c r="I24" t="inlineStr">
        <is>
          <t>Kolkata</t>
        </is>
      </c>
      <c r="J24" t="inlineStr"/>
      <c r="K24" t="inlineStr">
        <is>
          <t>Date '10/07/2023' normalised</t>
        </is>
      </c>
    </row>
    <row r="25">
      <c r="A25" t="inlineStr">
        <is>
          <t>AST-046</t>
        </is>
      </c>
      <c r="B25" t="inlineStr">
        <is>
          <t>Scooter — S/N 1046</t>
        </is>
      </c>
      <c r="C25" t="inlineStr">
        <is>
          <t>Vehicle</t>
        </is>
      </c>
      <c r="D25" s="2" t="n">
        <v>44864</v>
      </c>
      <c r="E25" t="n">
        <v>7</v>
      </c>
      <c r="F25" s="3" t="n">
        <v>91302</v>
      </c>
      <c r="G25" s="3">
        <f>IF(OR(E25="",F25=""),"",E25*F25)</f>
        <v/>
      </c>
      <c r="H25" t="inlineStr">
        <is>
          <t>Under Repair</t>
        </is>
      </c>
      <c r="I25" t="inlineStr">
        <is>
          <t>Mumbai</t>
        </is>
      </c>
      <c r="J25" t="inlineStr"/>
      <c r="K25" t="inlineStr">
        <is>
          <t>Date '2022-10-30' normalised; Price 'INR 91,302' converted to 91302</t>
        </is>
      </c>
    </row>
    <row r="26">
      <c r="A26" t="inlineStr">
        <is>
          <t>AST-020</t>
        </is>
      </c>
      <c r="B26" t="inlineStr">
        <is>
          <t>Office Printer — S/N 1020</t>
        </is>
      </c>
      <c r="C26" t="inlineStr">
        <is>
          <t>IT Equipment</t>
        </is>
      </c>
      <c r="D26" s="2" t="n">
        <v>44602</v>
      </c>
      <c r="E26" t="n">
        <v>1</v>
      </c>
      <c r="F26" s="3" t="n">
        <v>3540</v>
      </c>
      <c r="G26" s="3">
        <f>IF(OR(E26="",F26=""),"",E26*F26)</f>
        <v/>
      </c>
      <c r="H26" t="inlineStr">
        <is>
          <t>In Storage</t>
        </is>
      </c>
      <c r="I26" t="inlineStr">
        <is>
          <t>Patna</t>
        </is>
      </c>
      <c r="J26" t="inlineStr"/>
      <c r="K26" t="inlineStr">
        <is>
          <t>Date '10/02/2022' normalised; Price '₹3,540' converted to 3540</t>
        </is>
      </c>
    </row>
    <row r="27">
      <c r="A27" t="inlineStr">
        <is>
          <t>AST-039</t>
        </is>
      </c>
      <c r="B27" t="inlineStr">
        <is>
          <t>Air Compressor — S/N 1039</t>
        </is>
      </c>
      <c r="C27" t="inlineStr">
        <is>
          <t>Tools</t>
        </is>
      </c>
      <c r="D27" s="2" t="n">
        <v>44605</v>
      </c>
      <c r="E27" t="n">
        <v>10</v>
      </c>
      <c r="F27" s="3" t="n">
        <v>6243</v>
      </c>
      <c r="G27" s="3">
        <f>IF(OR(E27="",F27=""),"",E27*F27)</f>
        <v/>
      </c>
      <c r="H27" t="inlineStr">
        <is>
          <t>In Use</t>
        </is>
      </c>
      <c r="I27" t="inlineStr">
        <is>
          <t>Kolkata</t>
        </is>
      </c>
      <c r="J27" t="inlineStr"/>
      <c r="K27" t="inlineStr">
        <is>
          <t>Date '13.02.2022' normalised</t>
        </is>
      </c>
    </row>
    <row r="28">
      <c r="A28" t="inlineStr">
        <is>
          <t>AST-052</t>
        </is>
      </c>
      <c r="B28" t="inlineStr">
        <is>
          <t>External Hard Drive — S/N 1052</t>
        </is>
      </c>
      <c r="C28" t="inlineStr">
        <is>
          <t>IT Equipment</t>
        </is>
      </c>
      <c r="D28" s="2" t="n">
        <v>45086</v>
      </c>
      <c r="E28" t="n">
        <v>1</v>
      </c>
      <c r="F28" s="3" t="n">
        <v>7924</v>
      </c>
      <c r="G28" s="3">
        <f>IF(OR(E28="",F28=""),"",E28*F28)</f>
        <v/>
      </c>
      <c r="H28" t="inlineStr">
        <is>
          <t>Under Repair</t>
        </is>
      </c>
      <c r="I28" t="inlineStr">
        <is>
          <t>Patna</t>
        </is>
      </c>
      <c r="J28" t="inlineStr"/>
      <c r="K28" t="inlineStr">
        <is>
          <t>Date '09 Jun 2023' normalised; Price '₹7,924' converted to 7924</t>
        </is>
      </c>
    </row>
    <row r="29">
      <c r="A29" t="inlineStr">
        <is>
          <t>AST-025</t>
        </is>
      </c>
      <c r="B29" t="inlineStr">
        <is>
          <t>Office Chair — S/N 1025</t>
        </is>
      </c>
      <c r="C29" t="inlineStr">
        <is>
          <t>Furniture</t>
        </is>
      </c>
      <c r="D29" s="2" t="n">
        <v>44787</v>
      </c>
      <c r="E29" t="n">
        <v>4</v>
      </c>
      <c r="F29" s="3" t="n">
        <v>4925</v>
      </c>
      <c r="G29" s="3">
        <f>IF(OR(E29="",F29=""),"",E29*F29)</f>
        <v/>
      </c>
      <c r="H29" t="inlineStr">
        <is>
          <t>In Use</t>
        </is>
      </c>
      <c r="I29" t="inlineStr">
        <is>
          <t>Delhi</t>
        </is>
      </c>
      <c r="J29" t="inlineStr"/>
      <c r="K29" t="inlineStr">
        <is>
          <t>Date '14/08/2022' normalised; Price 'Rs. 4925' converted to 4925</t>
        </is>
      </c>
    </row>
    <row r="30">
      <c r="A30" t="inlineStr">
        <is>
          <t>AST-013</t>
        </is>
      </c>
      <c r="B30" t="inlineStr">
        <is>
          <t>Conference Table — S/N 1013</t>
        </is>
      </c>
      <c r="C30" t="inlineStr">
        <is>
          <t>Furniture</t>
        </is>
      </c>
      <c r="D30" s="2" t="n">
        <v>45043</v>
      </c>
      <c r="E30" t="n">
        <v>4</v>
      </c>
      <c r="F30" s="3" t="n">
        <v>3281</v>
      </c>
      <c r="G30" s="3">
        <f>IF(OR(E30="",F30=""),"",E30*F30)</f>
        <v/>
      </c>
      <c r="H30" t="inlineStr">
        <is>
          <t>In Use</t>
        </is>
      </c>
      <c r="I30" t="inlineStr">
        <is>
          <t>Delhi</t>
        </is>
      </c>
      <c r="J30" t="inlineStr"/>
      <c r="K30" t="inlineStr">
        <is>
          <t>Date 'April 27, 2023' normalised; Price 'Rs. 3281' converted to 3281</t>
        </is>
      </c>
    </row>
    <row r="31">
      <c r="A31" t="inlineStr">
        <is>
          <t>AST-016</t>
        </is>
      </c>
      <c r="B31" t="inlineStr">
        <is>
          <t>External Hard Drive — S/N 1016</t>
        </is>
      </c>
      <c r="C31" t="inlineStr">
        <is>
          <t>IT Equipment</t>
        </is>
      </c>
      <c r="D31" s="2" t="n">
        <v>45154</v>
      </c>
      <c r="E31" t="n">
        <v>1</v>
      </c>
      <c r="F31" s="3" t="n">
        <v>2992</v>
      </c>
      <c r="G31" s="3">
        <f>IF(OR(E31="",F31=""),"",E31*F31)</f>
        <v/>
      </c>
      <c r="H31" t="inlineStr">
        <is>
          <t>Under Repair</t>
        </is>
      </c>
      <c r="I31" t="inlineStr">
        <is>
          <t>Patna</t>
        </is>
      </c>
      <c r="J31" t="inlineStr"/>
      <c r="K31" t="inlineStr">
        <is>
          <t>Date '2023-08-16' normalised; Price '₹2,992' converted to 2992</t>
        </is>
      </c>
    </row>
    <row r="32">
      <c r="A32" t="inlineStr">
        <is>
          <t>AST-050</t>
        </is>
      </c>
      <c r="B32" t="inlineStr">
        <is>
          <t>Pickup Truck — S/N 1050</t>
        </is>
      </c>
      <c r="C32" t="inlineStr">
        <is>
          <t>Vehicle</t>
        </is>
      </c>
      <c r="D32" s="2" t="n">
        <v>45012</v>
      </c>
      <c r="E32" t="n">
        <v>7</v>
      </c>
      <c r="F32" s="3" t="n">
        <v>91850</v>
      </c>
      <c r="G32" s="3">
        <f>IF(OR(E32="",F32=""),"",E32*F32)</f>
        <v/>
      </c>
      <c r="H32" t="inlineStr">
        <is>
          <t>In Storage</t>
        </is>
      </c>
      <c r="I32" t="inlineStr">
        <is>
          <t>Mumbai</t>
        </is>
      </c>
      <c r="J32" t="inlineStr"/>
      <c r="K32" t="inlineStr">
        <is>
          <t>Date '27/03/2023' normalised; Price 'INR 91,850' converted to 91850</t>
        </is>
      </c>
    </row>
    <row r="33">
      <c r="A33" t="inlineStr">
        <is>
          <t>AST-054</t>
        </is>
      </c>
      <c r="B33" t="inlineStr">
        <is>
          <t>Delivery Van — S/N 1054</t>
        </is>
      </c>
      <c r="C33" t="inlineStr">
        <is>
          <t>Vehicle</t>
        </is>
      </c>
      <c r="D33" s="2" t="n">
        <v>45160</v>
      </c>
      <c r="E33" t="n">
        <v>7</v>
      </c>
      <c r="F33" s="3" t="n">
        <v>92398</v>
      </c>
      <c r="G33" s="3">
        <f>IF(OR(E33="",F33=""),"",E33*F33)</f>
        <v/>
      </c>
      <c r="H33" t="inlineStr">
        <is>
          <t>In Use</t>
        </is>
      </c>
      <c r="I33" t="inlineStr">
        <is>
          <t>Mumbai</t>
        </is>
      </c>
      <c r="J33" t="inlineStr"/>
      <c r="K33" t="inlineStr">
        <is>
          <t>Date '22.08.2023' normalised; Price 'INR 92,398' converted to 92398</t>
        </is>
      </c>
    </row>
    <row r="34">
      <c r="A34" t="inlineStr">
        <is>
          <t>AST-021</t>
        </is>
      </c>
      <c r="B34" t="inlineStr">
        <is>
          <t>Work Desk — S/N 1021</t>
        </is>
      </c>
      <c r="C34" t="inlineStr">
        <is>
          <t>Furniture</t>
        </is>
      </c>
      <c r="D34" s="2" t="n">
        <v>44639</v>
      </c>
      <c r="E34" t="n">
        <v>4</v>
      </c>
      <c r="F34" s="3" t="n">
        <v>4377</v>
      </c>
      <c r="G34" s="3">
        <f>IF(OR(E34="",F34=""),"",E34*F34)</f>
        <v/>
      </c>
      <c r="H34" t="inlineStr">
        <is>
          <t>In Use</t>
        </is>
      </c>
      <c r="I34" t="inlineStr">
        <is>
          <t>Delhi</t>
        </is>
      </c>
      <c r="J34" t="inlineStr"/>
      <c r="K34" t="inlineStr">
        <is>
          <t>Date '2022-03-19' normalised; Price 'Rs. 4377' converted to 4377</t>
        </is>
      </c>
    </row>
    <row r="35">
      <c r="A35" t="inlineStr">
        <is>
          <t>AST-043</t>
        </is>
      </c>
      <c r="B35" t="inlineStr">
        <is>
          <t>Generator — S/N 1043</t>
        </is>
      </c>
      <c r="C35" t="inlineStr">
        <is>
          <t>Tools</t>
        </is>
      </c>
      <c r="D35" s="2" t="n">
        <v>44753</v>
      </c>
      <c r="E35" t="n">
        <v>10</v>
      </c>
      <c r="F35" s="3" t="n">
        <v>6791</v>
      </c>
      <c r="G35" s="3">
        <f>IF(OR(E35="",F35=""),"",E35*F35)</f>
        <v/>
      </c>
      <c r="H35" t="inlineStr">
        <is>
          <t>In Use</t>
        </is>
      </c>
      <c r="I35" t="inlineStr">
        <is>
          <t>Kolkata</t>
        </is>
      </c>
      <c r="J35" t="inlineStr"/>
      <c r="K35" t="inlineStr">
        <is>
          <t>Date 'July 11, 2022' normalised</t>
        </is>
      </c>
    </row>
    <row r="36">
      <c r="A36" t="inlineStr">
        <is>
          <t>AST-029</t>
        </is>
      </c>
      <c r="B36" t="inlineStr">
        <is>
          <t>Bookshelf — S/N 1029</t>
        </is>
      </c>
      <c r="C36" t="inlineStr">
        <is>
          <t>Furniture</t>
        </is>
      </c>
      <c r="D36" s="2" t="n">
        <v>44935</v>
      </c>
      <c r="E36" t="n">
        <v>4</v>
      </c>
      <c r="F36" s="3" t="n">
        <v>5473</v>
      </c>
      <c r="G36" s="3">
        <f>IF(OR(E36="",F36=""),"",E36*F36)</f>
        <v/>
      </c>
      <c r="H36" t="inlineStr">
        <is>
          <t>Disposed</t>
        </is>
      </c>
      <c r="I36" t="inlineStr">
        <is>
          <t>Delhi</t>
        </is>
      </c>
      <c r="J36" t="inlineStr"/>
      <c r="K36" t="inlineStr">
        <is>
          <t>Date '09.01.2023' normalised; Price 'Rs. 5473' converted to 5473</t>
        </is>
      </c>
    </row>
    <row r="37">
      <c r="A37" t="inlineStr">
        <is>
          <t>AST-023</t>
        </is>
      </c>
      <c r="B37" t="inlineStr">
        <is>
          <t>Generator — S/N 1023</t>
        </is>
      </c>
      <c r="C37" t="inlineStr">
        <is>
          <t>Tools</t>
        </is>
      </c>
      <c r="D37" s="2" t="n">
        <v>44713</v>
      </c>
      <c r="E37" t="n">
        <v>10</v>
      </c>
      <c r="F37" s="3" t="n">
        <v>4051</v>
      </c>
      <c r="G37" s="3">
        <f>IF(OR(E37="",F37=""),"",E37*F37)</f>
        <v/>
      </c>
      <c r="H37" t="inlineStr">
        <is>
          <t>Disposed</t>
        </is>
      </c>
      <c r="I37" t="inlineStr">
        <is>
          <t>Kolkata</t>
        </is>
      </c>
      <c r="J37" t="inlineStr"/>
      <c r="K37" t="inlineStr"/>
    </row>
    <row r="38">
      <c r="A38" t="inlineStr">
        <is>
          <t>AST-048</t>
        </is>
      </c>
      <c r="B38" t="inlineStr">
        <is>
          <t>Laptop 14in — S/N 1048</t>
        </is>
      </c>
      <c r="C38" t="inlineStr">
        <is>
          <t>IT Equipment</t>
        </is>
      </c>
      <c r="D38" s="2" t="n">
        <v>44938</v>
      </c>
      <c r="E38" t="n">
        <v>1</v>
      </c>
      <c r="F38" s="3" t="n">
        <v>7376</v>
      </c>
      <c r="G38" s="3">
        <f>IF(OR(E38="",F38=""),"",E38*F38)</f>
        <v/>
      </c>
      <c r="H38" t="inlineStr">
        <is>
          <t>In Use</t>
        </is>
      </c>
      <c r="I38" t="inlineStr">
        <is>
          <t>Patna</t>
        </is>
      </c>
      <c r="J38" t="inlineStr"/>
      <c r="K38" t="inlineStr">
        <is>
          <t>Date 'January 12, 2023' normalised; Quantity text '1' converted to number; Price '₹7,376' converted to 7376</t>
        </is>
      </c>
    </row>
    <row r="39">
      <c r="A39" t="inlineStr">
        <is>
          <t>AST-044</t>
        </is>
      </c>
      <c r="B39" t="inlineStr">
        <is>
          <t>Office Printer — S/N 1044</t>
        </is>
      </c>
      <c r="C39" t="inlineStr">
        <is>
          <t>IT Equipment</t>
        </is>
      </c>
      <c r="D39" s="2" t="n">
        <v>44790</v>
      </c>
      <c r="E39" t="n">
        <v>1</v>
      </c>
      <c r="F39" s="3" t="n">
        <v>6828</v>
      </c>
      <c r="G39" s="3">
        <f>IF(OR(E39="",F39=""),"",E39*F39)</f>
        <v/>
      </c>
      <c r="H39" t="inlineStr">
        <is>
          <t>In Storage</t>
        </is>
      </c>
      <c r="I39" t="inlineStr">
        <is>
          <t>Patna</t>
        </is>
      </c>
      <c r="J39" t="inlineStr"/>
      <c r="K39" t="inlineStr">
        <is>
          <t>Date '17.08.2022' normalised; Price '₹6,828' converted to 6828</t>
        </is>
      </c>
    </row>
    <row r="40">
      <c r="A40" t="inlineStr">
        <is>
          <t>AST-002</t>
        </is>
      </c>
      <c r="B40" t="inlineStr">
        <is>
          <t>Pickup Truck — S/N 1002</t>
        </is>
      </c>
      <c r="C40" t="inlineStr">
        <is>
          <t>Vehicle</t>
        </is>
      </c>
      <c r="D40" s="2" t="n">
        <v>44636</v>
      </c>
      <c r="E40" t="n">
        <v>7</v>
      </c>
      <c r="F40" s="3" t="n">
        <v>85274</v>
      </c>
      <c r="G40" s="3">
        <f>IF(OR(E40="",F40=""),"",E40*F40)</f>
        <v/>
      </c>
      <c r="H40" t="inlineStr">
        <is>
          <t>In Storage</t>
        </is>
      </c>
      <c r="I40" t="inlineStr">
        <is>
          <t>Mumbai</t>
        </is>
      </c>
      <c r="J40" t="inlineStr"/>
      <c r="K40" t="inlineStr">
        <is>
          <t>Date '16 Mar 2022' normalised; Price 'INR 85,274' converted to 85274</t>
        </is>
      </c>
    </row>
    <row r="41">
      <c r="A41" t="inlineStr">
        <is>
          <t>AST-006</t>
        </is>
      </c>
      <c r="B41" t="inlineStr">
        <is>
          <t>Delivery Van — S/N 1006</t>
        </is>
      </c>
      <c r="C41" t="inlineStr">
        <is>
          <t>Vehicle</t>
        </is>
      </c>
      <c r="D41" s="2" t="n">
        <v>44784</v>
      </c>
      <c r="E41" t="n">
        <v>7</v>
      </c>
      <c r="F41" s="3" t="n">
        <v>85822</v>
      </c>
      <c r="G41" s="3">
        <f>IF(OR(E41="",F41=""),"",E41*F41)</f>
        <v/>
      </c>
      <c r="H41" t="inlineStr">
        <is>
          <t>In Use</t>
        </is>
      </c>
      <c r="I41" t="inlineStr">
        <is>
          <t>Mumbai</t>
        </is>
      </c>
      <c r="J41" t="inlineStr"/>
      <c r="K41" t="inlineStr">
        <is>
          <t>Date '2022-08-11' normalised; Price 'INR 85,822' converted to 85822</t>
        </is>
      </c>
    </row>
    <row r="42">
      <c r="A42" t="inlineStr">
        <is>
          <t>AST-011</t>
        </is>
      </c>
      <c r="B42" t="inlineStr">
        <is>
          <t>Welding Kit — S/N 1011</t>
        </is>
      </c>
      <c r="C42" t="inlineStr">
        <is>
          <t>Tools</t>
        </is>
      </c>
      <c r="D42" s="2" t="n"/>
      <c r="E42" t="n">
        <v>10</v>
      </c>
      <c r="F42" s="3" t="n">
        <v>2407</v>
      </c>
      <c r="G42" s="3">
        <f>IF(OR(E42="",F42=""),"",E42*F42)</f>
        <v/>
      </c>
      <c r="H42" t="inlineStr">
        <is>
          <t>Disposed</t>
        </is>
      </c>
      <c r="I42" t="inlineStr">
        <is>
          <t>Kolkata</t>
        </is>
      </c>
      <c r="J42" t="inlineStr">
        <is>
          <t>Purchase date could not be parsed</t>
        </is>
      </c>
      <c r="K42" t="inlineStr">
        <is>
          <t>Date '31/02/2024' could not be parsed — left blank</t>
        </is>
      </c>
    </row>
    <row r="43">
      <c r="A43" t="inlineStr">
        <is>
          <t>AST-042</t>
        </is>
      </c>
      <c r="B43" t="inlineStr">
        <is>
          <t>Delivery Van — S/N 1042</t>
        </is>
      </c>
      <c r="C43" t="inlineStr">
        <is>
          <t>Vehicle</t>
        </is>
      </c>
      <c r="D43" s="2" t="n">
        <v>44716</v>
      </c>
      <c r="E43" t="n">
        <v>7</v>
      </c>
      <c r="F43" s="3" t="n">
        <v>90754</v>
      </c>
      <c r="G43" s="3">
        <f>IF(OR(E43="",F43=""),"",E43*F43)</f>
        <v/>
      </c>
      <c r="H43" t="inlineStr">
        <is>
          <t>In Use</t>
        </is>
      </c>
      <c r="I43" t="inlineStr">
        <is>
          <t>Mumbai</t>
        </is>
      </c>
      <c r="J43" t="inlineStr"/>
      <c r="K43" t="inlineStr">
        <is>
          <t>Date '04 Jun 2022' normalised; Price 'INR 90,754' converted to 90754</t>
        </is>
      </c>
    </row>
    <row r="44">
      <c r="A44" t="inlineStr">
        <is>
          <t>AST-010</t>
        </is>
      </c>
      <c r="B44" t="inlineStr">
        <is>
          <t>Scooter — S/N 1010</t>
        </is>
      </c>
      <c r="C44" t="inlineStr">
        <is>
          <t>Vehicle</t>
        </is>
      </c>
      <c r="D44" s="2" t="n">
        <v>44932</v>
      </c>
      <c r="E44" t="n">
        <v>7</v>
      </c>
      <c r="F44" s="3" t="n">
        <v>86370</v>
      </c>
      <c r="G44" s="3">
        <f>IF(OR(E44="",F44=""),"",E44*F44)</f>
        <v/>
      </c>
      <c r="H44" t="inlineStr">
        <is>
          <t>Under Repair</t>
        </is>
      </c>
      <c r="I44" t="inlineStr">
        <is>
          <t>Mumbai</t>
        </is>
      </c>
      <c r="J44" t="inlineStr"/>
      <c r="K44" t="inlineStr">
        <is>
          <t>Date '06/01/2023' normalised; Price 'INR 86,370' converted to 86370</t>
        </is>
      </c>
    </row>
    <row r="45">
      <c r="A45" t="inlineStr">
        <is>
          <t>AST-055</t>
        </is>
      </c>
      <c r="B45" t="inlineStr">
        <is>
          <t>Drill Machine — S/N 1055</t>
        </is>
      </c>
      <c r="C45" t="inlineStr">
        <is>
          <t>Tools</t>
        </is>
      </c>
      <c r="D45" s="2" t="n">
        <v>45197</v>
      </c>
      <c r="E45" t="n">
        <v>10</v>
      </c>
      <c r="F45" s="3" t="n">
        <v>8435</v>
      </c>
      <c r="G45" s="3">
        <f>IF(OR(E45="",F45=""),"",E45*F45)</f>
        <v/>
      </c>
      <c r="H45" t="inlineStr">
        <is>
          <t>In Use</t>
        </is>
      </c>
      <c r="I45" t="inlineStr">
        <is>
          <t>Kolkata</t>
        </is>
      </c>
      <c r="J45" t="inlineStr"/>
      <c r="K45" t="inlineStr">
        <is>
          <t>Date '28/09/2023' normalised</t>
        </is>
      </c>
    </row>
    <row r="46">
      <c r="A46" t="inlineStr">
        <is>
          <t>AST-019</t>
        </is>
      </c>
      <c r="B46" t="inlineStr">
        <is>
          <t>Air Compressor — S/N 1019</t>
        </is>
      </c>
      <c r="C46" t="inlineStr">
        <is>
          <t>Tools</t>
        </is>
      </c>
      <c r="D46" s="2" t="n">
        <v>44565</v>
      </c>
      <c r="F46" s="3" t="n">
        <v>3503</v>
      </c>
      <c r="G46" s="3">
        <f>IF(OR(E46="",F46=""),"",E46*F46)</f>
        <v/>
      </c>
      <c r="H46" t="inlineStr">
        <is>
          <t>In Use</t>
        </is>
      </c>
      <c r="I46" t="inlineStr">
        <is>
          <t>Kolkata</t>
        </is>
      </c>
      <c r="J46" t="inlineStr">
        <is>
          <t>Quantity missing — line total not computed</t>
        </is>
      </c>
      <c r="K46" t="inlineStr">
        <is>
          <t>Date '04.01.2022' normalised; Quantity missing</t>
        </is>
      </c>
    </row>
    <row r="47">
      <c r="A47" t="inlineStr">
        <is>
          <t>AST-008</t>
        </is>
      </c>
      <c r="B47" t="inlineStr">
        <is>
          <t>Office Printer — S/N 1008</t>
        </is>
      </c>
      <c r="C47" t="inlineStr">
        <is>
          <t>IT Equipment</t>
        </is>
      </c>
      <c r="D47" s="2" t="n">
        <v>44858</v>
      </c>
      <c r="E47" t="n">
        <v>1</v>
      </c>
      <c r="F47" s="3" t="n">
        <v>1896</v>
      </c>
      <c r="G47" s="3">
        <f>IF(OR(E47="",F47=""),"",E47*F47)</f>
        <v/>
      </c>
      <c r="H47" t="inlineStr">
        <is>
          <t>In Storage</t>
        </is>
      </c>
      <c r="I47" t="inlineStr">
        <is>
          <t>Patna</t>
        </is>
      </c>
      <c r="J47" t="inlineStr"/>
      <c r="K47" t="inlineStr">
        <is>
          <t>Date 'October 24, 2022' normalised; Price '₹1,896' converted to 1896</t>
        </is>
      </c>
    </row>
    <row r="48">
      <c r="A48" t="inlineStr">
        <is>
          <t>AST-018</t>
        </is>
      </c>
      <c r="B48" t="inlineStr">
        <is>
          <t>Delivery Van — S/N 1018</t>
        </is>
      </c>
      <c r="C48" t="inlineStr">
        <is>
          <t>Vehicle</t>
        </is>
      </c>
      <c r="D48" s="2" t="n">
        <v>45228</v>
      </c>
      <c r="E48" t="n">
        <v>7</v>
      </c>
      <c r="F48" s="3" t="n">
        <v>87466</v>
      </c>
      <c r="G48" s="3">
        <f>IF(OR(E48="",F48=""),"",E48*F48)</f>
        <v/>
      </c>
      <c r="H48" t="inlineStr">
        <is>
          <t>In Use</t>
        </is>
      </c>
      <c r="I48" t="inlineStr">
        <is>
          <t>Mumbai</t>
        </is>
      </c>
      <c r="J48" t="inlineStr"/>
      <c r="K48" t="inlineStr">
        <is>
          <t>Date 'October 29, 2023' normalised; Price 'INR 87,466' converted to 87466</t>
        </is>
      </c>
    </row>
    <row r="49">
      <c r="A49" t="inlineStr">
        <is>
          <t>AST-041</t>
        </is>
      </c>
      <c r="B49" t="inlineStr">
        <is>
          <t>Work Desk — S/N 1041</t>
        </is>
      </c>
      <c r="C49" t="inlineStr">
        <is>
          <t>Furniture</t>
        </is>
      </c>
      <c r="D49" s="2" t="n">
        <v>44679</v>
      </c>
      <c r="F49" s="3" t="n">
        <v>7117</v>
      </c>
      <c r="G49" s="3">
        <f>IF(OR(E49="",F49=""),"",E49*F49)</f>
        <v/>
      </c>
      <c r="H49" t="inlineStr">
        <is>
          <t>Disposed</t>
        </is>
      </c>
      <c r="I49" t="inlineStr">
        <is>
          <t>Delhi</t>
        </is>
      </c>
      <c r="J49" t="inlineStr">
        <is>
          <t>Quantity missing — line total not computed</t>
        </is>
      </c>
      <c r="K49" t="inlineStr">
        <is>
          <t>Date '2022-04-28' normalised; Quantity missing; Price 'Rs. 7117' converted to 7117</t>
        </is>
      </c>
    </row>
    <row r="50">
      <c r="A50" t="inlineStr">
        <is>
          <t>AST-017</t>
        </is>
      </c>
      <c r="B50" t="inlineStr">
        <is>
          <t>Filing Cabinet — S/N 1017</t>
        </is>
      </c>
      <c r="C50" t="inlineStr">
        <is>
          <t>Furniture</t>
        </is>
      </c>
      <c r="D50" s="2" t="n">
        <v>45191</v>
      </c>
      <c r="E50" t="n">
        <v>4</v>
      </c>
      <c r="F50" s="3" t="n">
        <v>3829</v>
      </c>
      <c r="G50" s="3">
        <f>IF(OR(E50="",F50=""),"",E50*F50)</f>
        <v/>
      </c>
      <c r="H50" t="inlineStr">
        <is>
          <t>In Usee</t>
        </is>
      </c>
      <c r="I50" t="inlineStr">
        <is>
          <t>Delhi</t>
        </is>
      </c>
      <c r="J50" t="inlineStr">
        <is>
          <t>Status 'In Usee' not recognised — kept as supplied</t>
        </is>
      </c>
      <c r="K50" t="inlineStr">
        <is>
          <t>Date '22 Sep 2023' normalised; Price 'Rs. 3829' converted to 3829</t>
        </is>
      </c>
    </row>
    <row r="51">
      <c r="A51" t="inlineStr">
        <is>
          <t>AST-038</t>
        </is>
      </c>
      <c r="B51" t="inlineStr">
        <is>
          <t>Pickup Truck — S/N 1038</t>
        </is>
      </c>
      <c r="C51" t="inlineStr">
        <is>
          <t>Vehicle</t>
        </is>
      </c>
      <c r="D51" s="2" t="n">
        <v>44568</v>
      </c>
      <c r="E51" t="n">
        <v>7</v>
      </c>
      <c r="F51" s="3" t="n">
        <v>90206</v>
      </c>
      <c r="G51" s="3">
        <f>IF(OR(E51="",F51=""),"",E51*F51)</f>
        <v/>
      </c>
      <c r="H51" t="inlineStr">
        <is>
          <t>In Storage</t>
        </is>
      </c>
      <c r="I51" t="inlineStr">
        <is>
          <t>Mumbai</t>
        </is>
      </c>
      <c r="J51" t="inlineStr"/>
      <c r="K51" t="inlineStr">
        <is>
          <t>Date 'January 07, 2022' normalised; Price 'INR 90,206' converted to 90206</t>
        </is>
      </c>
    </row>
    <row r="52">
      <c r="A52" t="inlineStr">
        <is>
          <t>AST-034</t>
        </is>
      </c>
      <c r="B52" t="inlineStr">
        <is>
          <t>Scooter — S/N 1034</t>
        </is>
      </c>
      <c r="C52" t="inlineStr">
        <is>
          <t>Vehicle</t>
        </is>
      </c>
      <c r="D52" s="2" t="n">
        <v>45120</v>
      </c>
      <c r="E52" t="n">
        <v>7</v>
      </c>
      <c r="F52" s="3" t="n">
        <v>89658</v>
      </c>
      <c r="G52" s="3">
        <f>IF(OR(E52="",F52=""),"",E52*F52)</f>
        <v/>
      </c>
      <c r="H52" t="inlineStr">
        <is>
          <t>Under Repair</t>
        </is>
      </c>
      <c r="I52" t="inlineStr">
        <is>
          <t>Mumbai</t>
        </is>
      </c>
      <c r="J52" t="inlineStr"/>
      <c r="K52" t="inlineStr">
        <is>
          <t>Date '13.07.2023' normalised; Price 'INR 89,658' converted to 89658</t>
        </is>
      </c>
    </row>
    <row r="53">
      <c r="A53" t="inlineStr">
        <is>
          <t>AST-051</t>
        </is>
      </c>
      <c r="B53" t="inlineStr">
        <is>
          <t>Welding Kit — S/N 1051</t>
        </is>
      </c>
      <c r="C53" t="inlineStr">
        <is>
          <t>Tools</t>
        </is>
      </c>
      <c r="D53" s="2" t="n">
        <v>45049</v>
      </c>
      <c r="E53" t="n">
        <v>10</v>
      </c>
      <c r="F53" s="3" t="n">
        <v>7887</v>
      </c>
      <c r="G53" s="3">
        <f>IF(OR(E53="",F53=""),"",E53*F53)</f>
        <v/>
      </c>
      <c r="H53" t="inlineStr">
        <is>
          <t>In Use</t>
        </is>
      </c>
      <c r="I53" t="inlineStr">
        <is>
          <t>Kolkata</t>
        </is>
      </c>
      <c r="J53" t="inlineStr"/>
      <c r="K53" t="inlineStr">
        <is>
          <t>Date '2023-05-03' normalised</t>
        </is>
      </c>
    </row>
    <row r="54">
      <c r="A54" t="inlineStr">
        <is>
          <t>AST-047</t>
        </is>
      </c>
      <c r="B54" t="inlineStr">
        <is>
          <t>Tool Chest — S/N 1047</t>
        </is>
      </c>
      <c r="C54" t="inlineStr">
        <is>
          <t>Tools</t>
        </is>
      </c>
      <c r="D54" s="2" t="n">
        <v>44901</v>
      </c>
      <c r="E54" t="n">
        <v>10</v>
      </c>
      <c r="F54" s="3" t="n">
        <v>7339</v>
      </c>
      <c r="G54" s="3">
        <f>IF(OR(E54="",F54=""),"",E54*F54)</f>
        <v/>
      </c>
      <c r="H54" t="inlineStr">
        <is>
          <t>Disposed</t>
        </is>
      </c>
      <c r="I54" t="inlineStr">
        <is>
          <t>Kolkata</t>
        </is>
      </c>
      <c r="J54" t="inlineStr"/>
      <c r="K54" t="inlineStr">
        <is>
          <t>Date '06 Dec 2022' normalised</t>
        </is>
      </c>
    </row>
    <row r="55">
      <c r="A55" t="inlineStr">
        <is>
          <t>AST-003</t>
        </is>
      </c>
      <c r="B55" t="inlineStr">
        <is>
          <t>Generator — S/N 1003</t>
        </is>
      </c>
      <c r="C55" t="inlineStr">
        <is>
          <t>Tools</t>
        </is>
      </c>
      <c r="D55" s="2" t="n">
        <v>44673</v>
      </c>
      <c r="E55" t="n">
        <v>10</v>
      </c>
      <c r="F55" s="3" t="n">
        <v>1311</v>
      </c>
      <c r="G55" s="3">
        <f>IF(OR(E55="",F55=""),"",E55*F55)</f>
        <v/>
      </c>
      <c r="H55" t="inlineStr">
        <is>
          <t>In Use</t>
        </is>
      </c>
      <c r="I55" t="inlineStr">
        <is>
          <t>Kolkata</t>
        </is>
      </c>
      <c r="J55" t="inlineStr"/>
      <c r="K55" t="inlineStr">
        <is>
          <t>Date 'April 22, 2022' normalised; Quantity text '10' converted to number</t>
        </is>
      </c>
    </row>
    <row r="56">
      <c r="A56" t="inlineStr">
        <is>
          <t>AST-027</t>
        </is>
      </c>
      <c r="B56" t="inlineStr">
        <is>
          <t>Tool Chest — S/N 1027</t>
        </is>
      </c>
      <c r="C56" t="inlineStr">
        <is>
          <t>Tools</t>
        </is>
      </c>
      <c r="D56" s="2" t="n">
        <v>44861</v>
      </c>
      <c r="E56" t="n">
        <v>10</v>
      </c>
      <c r="F56" s="3" t="n">
        <v>4599</v>
      </c>
      <c r="G56" s="3">
        <f>IF(OR(E56="",F56=""),"",E56*F56)</f>
        <v/>
      </c>
      <c r="H56" t="inlineStr">
        <is>
          <t>In Use</t>
        </is>
      </c>
      <c r="I56" t="inlineStr">
        <is>
          <t>Kolkata</t>
        </is>
      </c>
      <c r="J56" t="inlineStr"/>
      <c r="K56" t="inlineStr">
        <is>
          <t>Date '27 Oct 2022' normalised; Quantity text '10' converted to number</t>
        </is>
      </c>
    </row>
    <row r="57">
      <c r="A57" t="inlineStr">
        <is>
          <t>AST-036</t>
        </is>
      </c>
      <c r="B57" t="inlineStr">
        <is>
          <t>Laptop 14in — S/N 1036</t>
        </is>
      </c>
      <c r="C57" t="inlineStr">
        <is>
          <t>IT Equipment</t>
        </is>
      </c>
      <c r="D57" s="2" t="n">
        <v>45194</v>
      </c>
      <c r="E57" t="n">
        <v>1</v>
      </c>
      <c r="F57" s="3" t="n">
        <v>5732</v>
      </c>
      <c r="G57" s="3">
        <f>IF(OR(E57="",F57=""),"",E57*F57)</f>
        <v/>
      </c>
      <c r="H57" t="inlineStr">
        <is>
          <t>In Use</t>
        </is>
      </c>
      <c r="I57" t="inlineStr">
        <is>
          <t>Patna</t>
        </is>
      </c>
      <c r="J57" t="inlineStr"/>
      <c r="K57" t="inlineStr">
        <is>
          <t>Date '2023-09-25' normalised; Price '₹5,732' converted to 5732</t>
        </is>
      </c>
    </row>
    <row r="58">
      <c r="A58" t="inlineStr">
        <is>
          <t>AST-035</t>
        </is>
      </c>
      <c r="B58" t="inlineStr">
        <is>
          <t>Drill Machine — S/N 1035</t>
        </is>
      </c>
      <c r="C58" t="inlineStr">
        <is>
          <t>Tools</t>
        </is>
      </c>
      <c r="D58" s="2" t="n">
        <v>45157</v>
      </c>
      <c r="E58" t="n">
        <v>10</v>
      </c>
      <c r="F58" s="3" t="n">
        <v>5695</v>
      </c>
      <c r="G58" s="3">
        <f>IF(OR(E58="",F58=""),"",E58*F58)</f>
        <v/>
      </c>
      <c r="H58" t="inlineStr">
        <is>
          <t>Disposed</t>
        </is>
      </c>
      <c r="I58" t="inlineStr">
        <is>
          <t>Kolkata</t>
        </is>
      </c>
      <c r="J58" t="inlineStr"/>
      <c r="K58" t="inlineStr">
        <is>
          <t>Date '19/08/2023' normalised</t>
        </is>
      </c>
    </row>
  </sheetData>
  <autoFilter ref="A3:K58"/>
  <conditionalFormatting sqref="A4:K58">
    <cfRule type="expression" priority="1" dxfId="0">
      <formula>$J4&lt;&gt;""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</cols>
  <sheetData>
    <row r="1">
      <c r="A1" s="4" t="inlineStr">
        <is>
          <t>Asset Register — Summary</t>
        </is>
      </c>
    </row>
    <row r="2">
      <c r="A2" t="inlineStr">
        <is>
          <t>All values below are Excel formulas over the Register sheet. Synthetic demo data — fictional business 'Demo Traders'.</t>
        </is>
      </c>
    </row>
    <row r="4">
      <c r="A4" s="1" t="inlineStr">
        <is>
          <t>Category</t>
        </is>
      </c>
      <c r="B4" s="1" t="inlineStr">
        <is>
          <t>Asset Count</t>
        </is>
      </c>
      <c r="C4" s="1" t="inlineStr">
        <is>
          <t>Total Value</t>
        </is>
      </c>
    </row>
    <row r="5">
      <c r="A5" t="inlineStr">
        <is>
          <t>IT Equipment</t>
        </is>
      </c>
      <c r="B5">
        <f>COUNTIF(Register!$C$4:$C$58,A5)</f>
        <v/>
      </c>
      <c r="C5" s="3">
        <f>SUMIF(Register!$C$4:$C$58,A5,Register!$G$4:$G$58)</f>
        <v/>
      </c>
    </row>
    <row r="6">
      <c r="A6" t="inlineStr">
        <is>
          <t>Furniture</t>
        </is>
      </c>
      <c r="B6">
        <f>COUNTIF(Register!$C$4:$C$58,A6)</f>
        <v/>
      </c>
      <c r="C6" s="3">
        <f>SUMIF(Register!$C$4:$C$58,A6,Register!$G$4:$G$58)</f>
        <v/>
      </c>
    </row>
    <row r="7">
      <c r="A7" t="inlineStr">
        <is>
          <t>Vehicle</t>
        </is>
      </c>
      <c r="B7">
        <f>COUNTIF(Register!$C$4:$C$58,A7)</f>
        <v/>
      </c>
      <c r="C7" s="3">
        <f>SUMIF(Register!$C$4:$C$58,A7,Register!$G$4:$G$58)</f>
        <v/>
      </c>
    </row>
    <row r="8">
      <c r="A8" t="inlineStr">
        <is>
          <t>Tools</t>
        </is>
      </c>
      <c r="B8">
        <f>COUNTIF(Register!$C$4:$C$58,A8)</f>
        <v/>
      </c>
      <c r="C8" s="3">
        <f>SUMIF(Register!$C$4:$C$58,A8,Register!$G$4:$G$58)</f>
        <v/>
      </c>
    </row>
    <row r="9">
      <c r="A9" s="5" t="inlineStr">
        <is>
          <t>Grand Total</t>
        </is>
      </c>
      <c r="B9">
        <f>SUM(B5:B8)</f>
        <v/>
      </c>
      <c r="C9" s="3">
        <f>SUM(C5:C8)</f>
        <v/>
      </c>
    </row>
    <row r="11">
      <c r="A11" t="inlineStr">
        <is>
          <t>Total assets (rows)</t>
        </is>
      </c>
      <c r="B11">
        <f>COUNTA(Register!$A$4:$A$58)</f>
        <v/>
      </c>
    </row>
    <row r="12">
      <c r="A12" t="inlineStr">
        <is>
          <t>Flagged rows</t>
        </is>
      </c>
      <c r="B12">
        <f>COUNTIF(Register!$J$4:$J$58,"?*")</f>
        <v/>
      </c>
    </row>
    <row r="14">
      <c r="A14" s="5" t="inlineStr">
        <is>
          <t>Build notes (counts recorded at build time, not formulas)</t>
        </is>
      </c>
    </row>
    <row r="15">
      <c r="A15" t="inlineStr">
        <is>
          <t>Rows in before.xlsx</t>
        </is>
      </c>
      <c r="B15" t="n">
        <v>60</v>
      </c>
    </row>
    <row r="16">
      <c r="A16" t="inlineStr">
        <is>
          <t>Rows in after.xlsx</t>
        </is>
      </c>
      <c r="B16" t="n">
        <v>55</v>
      </c>
    </row>
    <row r="17">
      <c r="A17" t="inlineStr">
        <is>
          <t>Duplicate rows removed</t>
        </is>
      </c>
      <c r="B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2026-10-30T09:41:15+00:00Z</dcterms:created>
  <dcterms:modified xmlns:dcterms="http://purl.org/dc/terms/" xmlns:xsi="http://www.w3.org/2001/XMLSchema-instance" xsi:type="dcterms:W3CDTF">2026-10-30T09:41:15+00:00Z</dcterms:modified>
</cp:coreProperties>
</file>