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aw_QBO" sheetId="3" state="visible" r:id="rId3"/>
    <sheet xmlns:r="http://schemas.openxmlformats.org/officeDocument/2006/relationships" name="Monthly_PL" sheetId="4" state="visible" r:id="rId4"/>
    <sheet xmlns:r="http://schemas.openxmlformats.org/officeDocument/2006/relationships" name="AR_Aging" sheetId="5" state="visible" r:id="rId5"/>
    <sheet xmlns:r="http://schemas.openxmlformats.org/officeDocument/2006/relationships" name="AP_Aging" sheetId="6" state="visible" r:id="rId6"/>
    <sheet xmlns:r="http://schemas.openxmlformats.org/officeDocument/2006/relationships" name="Cash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numRef>
              <f>'Monthly_PL'!$B$2:$G$2</f>
            </numRef>
          </cat>
          <val>
            <numRef>
              <f>'Monthly_PL'!$B$11:$G$11</f>
            </numRef>
          </val>
        </ser>
        <ser>
          <idx val="1"/>
          <order val="1"/>
          <tx>
            <v>Costs</v>
          </tx>
          <spPr>
            <a:ln xmlns:a="http://schemas.openxmlformats.org/drawingml/2006/main">
              <a:prstDash val="solid"/>
            </a:ln>
          </spPr>
          <cat>
            <numRef>
              <f>'Monthly_PL'!$B$2:$G$2</f>
            </numRef>
          </cat>
          <val>
            <numRef>
              <f>'Monthly_PL'!$B$12:$G$12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margin % by month</a:t>
            </a:r>
          </a:p>
        </rich>
      </tx>
    </title>
    <plotArea>
      <lineChart>
        <grouping val="standard"/>
        <ser>
          <idx val="0"/>
          <order val="0"/>
          <tx>
            <v>Gross margin %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'Monthly_PL'!$B$2:$G$2</f>
            </numRef>
          </cat>
          <val>
            <numRef>
              <f>'Monthly_PL'!$B$14:$G$14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 aging mix (outstanding)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'AR_Aging'!$A$35:$A$38</f>
            </numRef>
          </cat>
          <val>
            <numRef>
              <f>'AR_Aging'!$B$35:$B$38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Owner Dashboard — Maple Ridge Builders Ltd. (CAD)</t>
        </is>
      </c>
      <c r="B1" s="2" t="n"/>
    </row>
    <row r="2">
      <c r="A2" t="inlineStr">
        <is>
          <t>WHAT THIS IS: the monthly owner dashboard a construction CFO would hand</t>
        </is>
      </c>
    </row>
    <row r="3">
      <c r="A3" t="inlineStr">
        <is>
          <t>an owner: P&amp;L, cash, receivables and payables in one workbook, built from</t>
        </is>
      </c>
    </row>
    <row r="4">
      <c r="A4" t="inlineStr">
        <is>
          <t>QuickBooks Online exports plus spreadsheet inputs. Built as a demo around</t>
        </is>
      </c>
    </row>
    <row r="5">
      <c r="A5" t="inlineStr">
        <is>
          <t>a live freelance brief (construction financial dashboard, QuickBooks +</t>
        </is>
      </c>
    </row>
    <row r="6">
      <c r="A6" t="inlineStr">
        <is>
          <t>spreadsheets, simple for owners).</t>
        </is>
      </c>
    </row>
    <row r="7">
      <c r="A7" t="inlineStr"/>
    </row>
    <row r="8">
      <c r="A8" t="inlineStr">
        <is>
          <t>DATA: all figures are SYNTHETIC demo data (seed 20261025), invented for</t>
        </is>
      </c>
    </row>
    <row r="9">
      <c r="A9" t="inlineStr">
        <is>
          <t>this demo — not a real client's books. Amounts in Canadian dollars.</t>
        </is>
      </c>
    </row>
    <row r="10">
      <c r="A10" t="inlineStr"/>
    </row>
    <row r="11">
      <c r="A11" t="inlineStr">
        <is>
          <t>HOW TO REFRESH: paste the new month's QBO P&amp;L export into Raw_QBO</t>
        </is>
      </c>
    </row>
    <row r="12">
      <c r="A12" t="inlineStr">
        <is>
          <t>(columns Month / Category / Amount), new invoices into AR_Aging and</t>
        </is>
      </c>
    </row>
    <row r="13">
      <c r="A13" t="inlineStr">
        <is>
          <t>new bills into AP_Aging, then update the As-of date cell (AR J2 / AP I2).</t>
        </is>
      </c>
    </row>
    <row r="14">
      <c r="A14" t="inlineStr">
        <is>
          <t>Monthly_PL, Dashboard, Cash and Checks all recalculate from formulas.</t>
        </is>
      </c>
    </row>
    <row r="15">
      <c r="A15" t="inlineStr"/>
    </row>
    <row r="16">
      <c r="A16" t="inlineStr">
        <is>
          <t>RULES THE WORKBOOK FOLLOWS: no hard-coded totals (every total is a</t>
        </is>
      </c>
    </row>
    <row r="17">
      <c r="A17" t="inlineStr">
        <is>
          <t>SUM/SUMIFS over raw rows); every dashboard KPI traces to a source cell;</t>
        </is>
      </c>
    </row>
    <row r="18">
      <c r="A18" t="inlineStr">
        <is>
          <t>AR/AP aging buckets are formulas off the As-of date; the Checks sheet</t>
        </is>
      </c>
    </row>
    <row r="19">
      <c r="A19" t="inlineStr">
        <is>
          <t>must read TRUE throughout after any refresh.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Owner Dashboard — Maple Ridge Builders Ltd. (CAD)</t>
        </is>
      </c>
      <c r="B1" s="2" t="n"/>
    </row>
    <row r="3">
      <c r="A3" s="3" t="inlineStr">
        <is>
          <t>YTD Revenue</t>
        </is>
      </c>
      <c r="B3" s="4">
        <f>Monthly_PL!H11</f>
        <v/>
      </c>
    </row>
    <row r="4">
      <c r="A4" s="3" t="inlineStr">
        <is>
          <t>Gross Margin %</t>
        </is>
      </c>
      <c r="B4" s="5">
        <f>Monthly_PL!H14</f>
        <v/>
      </c>
    </row>
    <row r="5">
      <c r="A5" s="3" t="inlineStr">
        <is>
          <t>Cash on Hand</t>
        </is>
      </c>
      <c r="B5" s="4">
        <f>Cash!B6</f>
        <v/>
      </c>
    </row>
    <row r="6">
      <c r="A6" s="3" t="inlineStr">
        <is>
          <t>AR Outstanding</t>
        </is>
      </c>
      <c r="B6" s="4">
        <f>SUM(AR_Aging!G3:G32)</f>
        <v/>
      </c>
    </row>
    <row r="7">
      <c r="A7" s="3" t="inlineStr">
        <is>
          <t>AP Outstanding</t>
        </is>
      </c>
      <c r="B7" s="4">
        <f>SUM(AP_Aging!F3:F26)</f>
        <v/>
      </c>
    </row>
    <row r="8">
      <c r="A8" s="3" t="inlineStr">
        <is>
          <t>AR Overdue 61+ days</t>
        </is>
      </c>
      <c r="B8" s="4">
        <f>AR_Aging!B38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</cols>
  <sheetData>
    <row r="1">
      <c r="A1" s="1" t="inlineStr">
        <is>
          <t>Raw QBO P&amp;L export (paste new exports below row 49)</t>
        </is>
      </c>
      <c r="B1" s="2" t="n"/>
      <c r="C1" s="2" t="n"/>
    </row>
    <row r="2">
      <c r="A2" s="3" t="inlineStr">
        <is>
          <t>Month</t>
        </is>
      </c>
      <c r="B2" s="3" t="inlineStr">
        <is>
          <t>Category</t>
        </is>
      </c>
      <c r="C2" s="3" t="inlineStr">
        <is>
          <t>Amount</t>
        </is>
      </c>
    </row>
    <row r="3">
      <c r="A3" t="inlineStr">
        <is>
          <t>2026-05</t>
        </is>
      </c>
      <c r="B3" t="inlineStr">
        <is>
          <t>Revenue - Residential</t>
        </is>
      </c>
      <c r="C3" s="4" t="n">
        <v>145594</v>
      </c>
    </row>
    <row r="4">
      <c r="A4" t="inlineStr">
        <is>
          <t>2026-05</t>
        </is>
      </c>
      <c r="B4" t="inlineStr">
        <is>
          <t>Revenue - Commercial</t>
        </is>
      </c>
      <c r="C4" s="4" t="n">
        <v>64846</v>
      </c>
    </row>
    <row r="5">
      <c r="A5" t="inlineStr">
        <is>
          <t>2026-05</t>
        </is>
      </c>
      <c r="B5" t="inlineStr">
        <is>
          <t>Cost - Labour</t>
        </is>
      </c>
      <c r="C5" s="4" t="n">
        <v>-49428</v>
      </c>
    </row>
    <row r="6">
      <c r="A6" t="inlineStr">
        <is>
          <t>2026-05</t>
        </is>
      </c>
      <c r="B6" t="inlineStr">
        <is>
          <t>Cost - Materials</t>
        </is>
      </c>
      <c r="C6" s="4" t="n">
        <v>-55264</v>
      </c>
    </row>
    <row r="7">
      <c r="A7" t="inlineStr">
        <is>
          <t>2026-05</t>
        </is>
      </c>
      <c r="B7" t="inlineStr">
        <is>
          <t>Cost - Subcontractors</t>
        </is>
      </c>
      <c r="C7" s="4" t="n">
        <v>-38583</v>
      </c>
    </row>
    <row r="8">
      <c r="A8" t="inlineStr">
        <is>
          <t>2026-05</t>
        </is>
      </c>
      <c r="B8" t="inlineStr">
        <is>
          <t>Overhead - Office</t>
        </is>
      </c>
      <c r="C8" s="4" t="n">
        <v>-7230</v>
      </c>
    </row>
    <row r="9">
      <c r="A9" t="inlineStr">
        <is>
          <t>2026-05</t>
        </is>
      </c>
      <c r="B9" t="inlineStr">
        <is>
          <t>Overhead - Insurance</t>
        </is>
      </c>
      <c r="C9" s="4" t="n">
        <v>-4527</v>
      </c>
    </row>
    <row r="10">
      <c r="A10" t="inlineStr">
        <is>
          <t>2026-05</t>
        </is>
      </c>
      <c r="B10" t="inlineStr">
        <is>
          <t>Overhead - Vehicle</t>
        </is>
      </c>
      <c r="C10" s="4" t="n">
        <v>-6660</v>
      </c>
    </row>
    <row r="11">
      <c r="A11" t="inlineStr">
        <is>
          <t>2026-06</t>
        </is>
      </c>
      <c r="B11" t="inlineStr">
        <is>
          <t>Revenue - Residential</t>
        </is>
      </c>
      <c r="C11" s="4" t="n">
        <v>148155</v>
      </c>
    </row>
    <row r="12">
      <c r="A12" t="inlineStr">
        <is>
          <t>2026-06</t>
        </is>
      </c>
      <c r="B12" t="inlineStr">
        <is>
          <t>Revenue - Commercial</t>
        </is>
      </c>
      <c r="C12" s="4" t="n">
        <v>44722</v>
      </c>
    </row>
    <row r="13">
      <c r="A13" t="inlineStr">
        <is>
          <t>2026-06</t>
        </is>
      </c>
      <c r="B13" t="inlineStr">
        <is>
          <t>Cost - Labour</t>
        </is>
      </c>
      <c r="C13" s="4" t="n">
        <v>-48245</v>
      </c>
    </row>
    <row r="14">
      <c r="A14" t="inlineStr">
        <is>
          <t>2026-06</t>
        </is>
      </c>
      <c r="B14" t="inlineStr">
        <is>
          <t>Cost - Materials</t>
        </is>
      </c>
      <c r="C14" s="4" t="n">
        <v>-43195</v>
      </c>
    </row>
    <row r="15">
      <c r="A15" t="inlineStr">
        <is>
          <t>2026-06</t>
        </is>
      </c>
      <c r="B15" t="inlineStr">
        <is>
          <t>Cost - Subcontractors</t>
        </is>
      </c>
      <c r="C15" s="4" t="n">
        <v>-33088</v>
      </c>
    </row>
    <row r="16">
      <c r="A16" t="inlineStr">
        <is>
          <t>2026-06</t>
        </is>
      </c>
      <c r="B16" t="inlineStr">
        <is>
          <t>Overhead - Office</t>
        </is>
      </c>
      <c r="C16" s="4" t="n">
        <v>-6144</v>
      </c>
    </row>
    <row r="17">
      <c r="A17" t="inlineStr">
        <is>
          <t>2026-06</t>
        </is>
      </c>
      <c r="B17" t="inlineStr">
        <is>
          <t>Overhead - Insurance</t>
        </is>
      </c>
      <c r="C17" s="4" t="n">
        <v>-5705</v>
      </c>
    </row>
    <row r="18">
      <c r="A18" t="inlineStr">
        <is>
          <t>2026-06</t>
        </is>
      </c>
      <c r="B18" t="inlineStr">
        <is>
          <t>Overhead - Vehicle</t>
        </is>
      </c>
      <c r="C18" s="4" t="n">
        <v>-5861</v>
      </c>
    </row>
    <row r="19">
      <c r="A19" t="inlineStr">
        <is>
          <t>2026-07</t>
        </is>
      </c>
      <c r="B19" t="inlineStr">
        <is>
          <t>Revenue - Residential</t>
        </is>
      </c>
      <c r="C19" s="4" t="n">
        <v>107704</v>
      </c>
    </row>
    <row r="20">
      <c r="A20" t="inlineStr">
        <is>
          <t>2026-07</t>
        </is>
      </c>
      <c r="B20" t="inlineStr">
        <is>
          <t>Revenue - Commercial</t>
        </is>
      </c>
      <c r="C20" s="4" t="n">
        <v>43366</v>
      </c>
    </row>
    <row r="21">
      <c r="A21" t="inlineStr">
        <is>
          <t>2026-07</t>
        </is>
      </c>
      <c r="B21" t="inlineStr">
        <is>
          <t>Cost - Labour</t>
        </is>
      </c>
      <c r="C21" s="4" t="n">
        <v>-63892</v>
      </c>
    </row>
    <row r="22">
      <c r="A22" t="inlineStr">
        <is>
          <t>2026-07</t>
        </is>
      </c>
      <c r="B22" t="inlineStr">
        <is>
          <t>Cost - Materials</t>
        </is>
      </c>
      <c r="C22" s="4" t="n">
        <v>-41081</v>
      </c>
    </row>
    <row r="23">
      <c r="A23" t="inlineStr">
        <is>
          <t>2026-07</t>
        </is>
      </c>
      <c r="B23" t="inlineStr">
        <is>
          <t>Cost - Subcontractors</t>
        </is>
      </c>
      <c r="C23" s="4" t="n">
        <v>-32244</v>
      </c>
    </row>
    <row r="24">
      <c r="A24" t="inlineStr">
        <is>
          <t>2026-07</t>
        </is>
      </c>
      <c r="B24" t="inlineStr">
        <is>
          <t>Overhead - Office</t>
        </is>
      </c>
      <c r="C24" s="4" t="n">
        <v>-7440</v>
      </c>
    </row>
    <row r="25">
      <c r="A25" t="inlineStr">
        <is>
          <t>2026-07</t>
        </is>
      </c>
      <c r="B25" t="inlineStr">
        <is>
          <t>Overhead - Insurance</t>
        </is>
      </c>
      <c r="C25" s="4" t="n">
        <v>-4449</v>
      </c>
    </row>
    <row r="26">
      <c r="A26" t="inlineStr">
        <is>
          <t>2026-07</t>
        </is>
      </c>
      <c r="B26" t="inlineStr">
        <is>
          <t>Overhead - Vehicle</t>
        </is>
      </c>
      <c r="C26" s="4" t="n">
        <v>-8689</v>
      </c>
    </row>
    <row r="27">
      <c r="A27" t="inlineStr">
        <is>
          <t>2026-08</t>
        </is>
      </c>
      <c r="B27" t="inlineStr">
        <is>
          <t>Revenue - Residential</t>
        </is>
      </c>
      <c r="C27" s="4" t="n">
        <v>136932</v>
      </c>
    </row>
    <row r="28">
      <c r="A28" t="inlineStr">
        <is>
          <t>2026-08</t>
        </is>
      </c>
      <c r="B28" t="inlineStr">
        <is>
          <t>Revenue - Commercial</t>
        </is>
      </c>
      <c r="C28" s="4" t="n">
        <v>78185</v>
      </c>
    </row>
    <row r="29">
      <c r="A29" t="inlineStr">
        <is>
          <t>2026-08</t>
        </is>
      </c>
      <c r="B29" t="inlineStr">
        <is>
          <t>Cost - Labour</t>
        </is>
      </c>
      <c r="C29" s="4" t="n">
        <v>-54597</v>
      </c>
    </row>
    <row r="30">
      <c r="A30" t="inlineStr">
        <is>
          <t>2026-08</t>
        </is>
      </c>
      <c r="B30" t="inlineStr">
        <is>
          <t>Cost - Materials</t>
        </is>
      </c>
      <c r="C30" s="4" t="n">
        <v>-64567</v>
      </c>
    </row>
    <row r="31">
      <c r="A31" t="inlineStr">
        <is>
          <t>2026-08</t>
        </is>
      </c>
      <c r="B31" t="inlineStr">
        <is>
          <t>Cost - Subcontractors</t>
        </is>
      </c>
      <c r="C31" s="4" t="n">
        <v>-22242</v>
      </c>
    </row>
    <row r="32">
      <c r="A32" t="inlineStr">
        <is>
          <t>2026-08</t>
        </is>
      </c>
      <c r="B32" t="inlineStr">
        <is>
          <t>Overhead - Office</t>
        </is>
      </c>
      <c r="C32" s="4" t="n">
        <v>-6090</v>
      </c>
    </row>
    <row r="33">
      <c r="A33" t="inlineStr">
        <is>
          <t>2026-08</t>
        </is>
      </c>
      <c r="B33" t="inlineStr">
        <is>
          <t>Overhead - Insurance</t>
        </is>
      </c>
      <c r="C33" s="4" t="n">
        <v>-5009</v>
      </c>
    </row>
    <row r="34">
      <c r="A34" t="inlineStr">
        <is>
          <t>2026-08</t>
        </is>
      </c>
      <c r="B34" t="inlineStr">
        <is>
          <t>Overhead - Vehicle</t>
        </is>
      </c>
      <c r="C34" s="4" t="n">
        <v>-6623</v>
      </c>
    </row>
    <row r="35">
      <c r="A35" t="inlineStr">
        <is>
          <t>2026-09</t>
        </is>
      </c>
      <c r="B35" t="inlineStr">
        <is>
          <t>Revenue - Residential</t>
        </is>
      </c>
      <c r="C35" s="4" t="n">
        <v>95753</v>
      </c>
    </row>
    <row r="36">
      <c r="A36" t="inlineStr">
        <is>
          <t>2026-09</t>
        </is>
      </c>
      <c r="B36" t="inlineStr">
        <is>
          <t>Revenue - Commercial</t>
        </is>
      </c>
      <c r="C36" s="4" t="n">
        <v>78981</v>
      </c>
    </row>
    <row r="37">
      <c r="A37" t="inlineStr">
        <is>
          <t>2026-09</t>
        </is>
      </c>
      <c r="B37" t="inlineStr">
        <is>
          <t>Cost - Labour</t>
        </is>
      </c>
      <c r="C37" s="4" t="n">
        <v>-54247</v>
      </c>
    </row>
    <row r="38">
      <c r="A38" t="inlineStr">
        <is>
          <t>2026-09</t>
        </is>
      </c>
      <c r="B38" t="inlineStr">
        <is>
          <t>Cost - Materials</t>
        </is>
      </c>
      <c r="C38" s="4" t="n">
        <v>-65974</v>
      </c>
    </row>
    <row r="39">
      <c r="A39" t="inlineStr">
        <is>
          <t>2026-09</t>
        </is>
      </c>
      <c r="B39" t="inlineStr">
        <is>
          <t>Cost - Subcontractors</t>
        </is>
      </c>
      <c r="C39" s="4" t="n">
        <v>-41711</v>
      </c>
    </row>
    <row r="40">
      <c r="A40" t="inlineStr">
        <is>
          <t>2026-09</t>
        </is>
      </c>
      <c r="B40" t="inlineStr">
        <is>
          <t>Overhead - Office</t>
        </is>
      </c>
      <c r="C40" s="4" t="n">
        <v>-9871</v>
      </c>
    </row>
    <row r="41">
      <c r="A41" t="inlineStr">
        <is>
          <t>2026-09</t>
        </is>
      </c>
      <c r="B41" t="inlineStr">
        <is>
          <t>Overhead - Insurance</t>
        </is>
      </c>
      <c r="C41" s="4" t="n">
        <v>-5473</v>
      </c>
    </row>
    <row r="42">
      <c r="A42" t="inlineStr">
        <is>
          <t>2026-09</t>
        </is>
      </c>
      <c r="B42" t="inlineStr">
        <is>
          <t>Overhead - Vehicle</t>
        </is>
      </c>
      <c r="C42" s="4" t="n">
        <v>-7288</v>
      </c>
    </row>
    <row r="43">
      <c r="A43" t="inlineStr">
        <is>
          <t>2026-10</t>
        </is>
      </c>
      <c r="B43" t="inlineStr">
        <is>
          <t>Revenue - Residential</t>
        </is>
      </c>
      <c r="C43" s="4" t="n">
        <v>151754</v>
      </c>
    </row>
    <row r="44">
      <c r="A44" t="inlineStr">
        <is>
          <t>2026-10</t>
        </is>
      </c>
      <c r="B44" t="inlineStr">
        <is>
          <t>Revenue - Commercial</t>
        </is>
      </c>
      <c r="C44" s="4" t="n">
        <v>54281</v>
      </c>
    </row>
    <row r="45">
      <c r="A45" t="inlineStr">
        <is>
          <t>2026-10</t>
        </is>
      </c>
      <c r="B45" t="inlineStr">
        <is>
          <t>Cost - Labour</t>
        </is>
      </c>
      <c r="C45" s="4" t="n">
        <v>-58850</v>
      </c>
    </row>
    <row r="46">
      <c r="A46" t="inlineStr">
        <is>
          <t>2026-10</t>
        </is>
      </c>
      <c r="B46" t="inlineStr">
        <is>
          <t>Cost - Materials</t>
        </is>
      </c>
      <c r="C46" s="4" t="n">
        <v>-67365</v>
      </c>
    </row>
    <row r="47">
      <c r="A47" t="inlineStr">
        <is>
          <t>2026-10</t>
        </is>
      </c>
      <c r="B47" t="inlineStr">
        <is>
          <t>Cost - Subcontractors</t>
        </is>
      </c>
      <c r="C47" s="4" t="n">
        <v>-44350</v>
      </c>
    </row>
    <row r="48">
      <c r="A48" t="inlineStr">
        <is>
          <t>2026-10</t>
        </is>
      </c>
      <c r="B48" t="inlineStr">
        <is>
          <t>Overhead - Office</t>
        </is>
      </c>
      <c r="C48" s="4" t="n">
        <v>-7195</v>
      </c>
    </row>
    <row r="49">
      <c r="A49" t="inlineStr">
        <is>
          <t>2026-10</t>
        </is>
      </c>
      <c r="B49" t="inlineStr">
        <is>
          <t>Overhead - Insurance</t>
        </is>
      </c>
      <c r="C49" s="4" t="n">
        <v>-5335</v>
      </c>
    </row>
    <row r="50">
      <c r="A50" t="inlineStr">
        <is>
          <t>2026-10</t>
        </is>
      </c>
      <c r="B50" t="inlineStr">
        <is>
          <t>Overhead - Vehicle</t>
        </is>
      </c>
      <c r="C50" s="4" t="n">
        <v>-8067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Monthly P&amp;L — every figure a SUMIFS over Raw_QBO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Category</t>
        </is>
      </c>
      <c r="B2" s="3" t="inlineStr">
        <is>
          <t>2026-05</t>
        </is>
      </c>
      <c r="C2" s="3" t="inlineStr">
        <is>
          <t>2026-06</t>
        </is>
      </c>
      <c r="D2" s="3" t="inlineStr">
        <is>
          <t>2026-07</t>
        </is>
      </c>
      <c r="E2" s="3" t="inlineStr">
        <is>
          <t>2026-08</t>
        </is>
      </c>
      <c r="F2" s="3" t="inlineStr">
        <is>
          <t>2026-09</t>
        </is>
      </c>
      <c r="G2" s="3" t="inlineStr">
        <is>
          <t>2026-10</t>
        </is>
      </c>
      <c r="H2" s="3" t="inlineStr">
        <is>
          <t>YTD</t>
        </is>
      </c>
    </row>
    <row r="3">
      <c r="A3" t="inlineStr">
        <is>
          <t>Revenue - Residential</t>
        </is>
      </c>
      <c r="B3" s="4">
        <f>SUMIFS(Raw_QBO!$C$2:$C$500,Raw_QBO!$A$2:$A$500,B$2,Raw_QBO!$B$2:$B$500,$A3)</f>
        <v/>
      </c>
      <c r="C3" s="4">
        <f>SUMIFS(Raw_QBO!$C$2:$C$500,Raw_QBO!$A$2:$A$500,C$2,Raw_QBO!$B$2:$B$500,$A3)</f>
        <v/>
      </c>
      <c r="D3" s="4">
        <f>SUMIFS(Raw_QBO!$C$2:$C$500,Raw_QBO!$A$2:$A$500,D$2,Raw_QBO!$B$2:$B$500,$A3)</f>
        <v/>
      </c>
      <c r="E3" s="4">
        <f>SUMIFS(Raw_QBO!$C$2:$C$500,Raw_QBO!$A$2:$A$500,E$2,Raw_QBO!$B$2:$B$500,$A3)</f>
        <v/>
      </c>
      <c r="F3" s="4">
        <f>SUMIFS(Raw_QBO!$C$2:$C$500,Raw_QBO!$A$2:$A$500,F$2,Raw_QBO!$B$2:$B$500,$A3)</f>
        <v/>
      </c>
      <c r="G3" s="4">
        <f>SUMIFS(Raw_QBO!$C$2:$C$500,Raw_QBO!$A$2:$A$500,G$2,Raw_QBO!$B$2:$B$500,$A3)</f>
        <v/>
      </c>
      <c r="H3" s="4">
        <f>SUM(B3:G3)</f>
        <v/>
      </c>
    </row>
    <row r="4">
      <c r="A4" t="inlineStr">
        <is>
          <t>Revenue - Commercial</t>
        </is>
      </c>
      <c r="B4" s="4">
        <f>SUMIFS(Raw_QBO!$C$2:$C$500,Raw_QBO!$A$2:$A$500,B$2,Raw_QBO!$B$2:$B$500,$A4)</f>
        <v/>
      </c>
      <c r="C4" s="4">
        <f>SUMIFS(Raw_QBO!$C$2:$C$500,Raw_QBO!$A$2:$A$500,C$2,Raw_QBO!$B$2:$B$500,$A4)</f>
        <v/>
      </c>
      <c r="D4" s="4">
        <f>SUMIFS(Raw_QBO!$C$2:$C$500,Raw_QBO!$A$2:$A$500,D$2,Raw_QBO!$B$2:$B$500,$A4)</f>
        <v/>
      </c>
      <c r="E4" s="4">
        <f>SUMIFS(Raw_QBO!$C$2:$C$500,Raw_QBO!$A$2:$A$500,E$2,Raw_QBO!$B$2:$B$500,$A4)</f>
        <v/>
      </c>
      <c r="F4" s="4">
        <f>SUMIFS(Raw_QBO!$C$2:$C$500,Raw_QBO!$A$2:$A$500,F$2,Raw_QBO!$B$2:$B$500,$A4)</f>
        <v/>
      </c>
      <c r="G4" s="4">
        <f>SUMIFS(Raw_QBO!$C$2:$C$500,Raw_QBO!$A$2:$A$500,G$2,Raw_QBO!$B$2:$B$500,$A4)</f>
        <v/>
      </c>
      <c r="H4" s="4">
        <f>SUM(B4:G4)</f>
        <v/>
      </c>
    </row>
    <row r="5">
      <c r="A5" t="inlineStr">
        <is>
          <t>Cost - Labour</t>
        </is>
      </c>
      <c r="B5" s="4">
        <f>SUMIFS(Raw_QBO!$C$2:$C$500,Raw_QBO!$A$2:$A$500,B$2,Raw_QBO!$B$2:$B$500,$A5)</f>
        <v/>
      </c>
      <c r="C5" s="4">
        <f>SUMIFS(Raw_QBO!$C$2:$C$500,Raw_QBO!$A$2:$A$500,C$2,Raw_QBO!$B$2:$B$500,$A5)</f>
        <v/>
      </c>
      <c r="D5" s="4">
        <f>SUMIFS(Raw_QBO!$C$2:$C$500,Raw_QBO!$A$2:$A$500,D$2,Raw_QBO!$B$2:$B$500,$A5)</f>
        <v/>
      </c>
      <c r="E5" s="4">
        <f>SUMIFS(Raw_QBO!$C$2:$C$500,Raw_QBO!$A$2:$A$500,E$2,Raw_QBO!$B$2:$B$500,$A5)</f>
        <v/>
      </c>
      <c r="F5" s="4">
        <f>SUMIFS(Raw_QBO!$C$2:$C$500,Raw_QBO!$A$2:$A$500,F$2,Raw_QBO!$B$2:$B$500,$A5)</f>
        <v/>
      </c>
      <c r="G5" s="4">
        <f>SUMIFS(Raw_QBO!$C$2:$C$500,Raw_QBO!$A$2:$A$500,G$2,Raw_QBO!$B$2:$B$500,$A5)</f>
        <v/>
      </c>
      <c r="H5" s="4">
        <f>SUM(B5:G5)</f>
        <v/>
      </c>
    </row>
    <row r="6">
      <c r="A6" t="inlineStr">
        <is>
          <t>Cost - Materials</t>
        </is>
      </c>
      <c r="B6" s="4">
        <f>SUMIFS(Raw_QBO!$C$2:$C$500,Raw_QBO!$A$2:$A$500,B$2,Raw_QBO!$B$2:$B$500,$A6)</f>
        <v/>
      </c>
      <c r="C6" s="4">
        <f>SUMIFS(Raw_QBO!$C$2:$C$500,Raw_QBO!$A$2:$A$500,C$2,Raw_QBO!$B$2:$B$500,$A6)</f>
        <v/>
      </c>
      <c r="D6" s="4">
        <f>SUMIFS(Raw_QBO!$C$2:$C$500,Raw_QBO!$A$2:$A$500,D$2,Raw_QBO!$B$2:$B$500,$A6)</f>
        <v/>
      </c>
      <c r="E6" s="4">
        <f>SUMIFS(Raw_QBO!$C$2:$C$500,Raw_QBO!$A$2:$A$500,E$2,Raw_QBO!$B$2:$B$500,$A6)</f>
        <v/>
      </c>
      <c r="F6" s="4">
        <f>SUMIFS(Raw_QBO!$C$2:$C$500,Raw_QBO!$A$2:$A$500,F$2,Raw_QBO!$B$2:$B$500,$A6)</f>
        <v/>
      </c>
      <c r="G6" s="4">
        <f>SUMIFS(Raw_QBO!$C$2:$C$500,Raw_QBO!$A$2:$A$500,G$2,Raw_QBO!$B$2:$B$500,$A6)</f>
        <v/>
      </c>
      <c r="H6" s="4">
        <f>SUM(B6:G6)</f>
        <v/>
      </c>
    </row>
    <row r="7">
      <c r="A7" t="inlineStr">
        <is>
          <t>Cost - Subcontractors</t>
        </is>
      </c>
      <c r="B7" s="4">
        <f>SUMIFS(Raw_QBO!$C$2:$C$500,Raw_QBO!$A$2:$A$500,B$2,Raw_QBO!$B$2:$B$500,$A7)</f>
        <v/>
      </c>
      <c r="C7" s="4">
        <f>SUMIFS(Raw_QBO!$C$2:$C$500,Raw_QBO!$A$2:$A$500,C$2,Raw_QBO!$B$2:$B$500,$A7)</f>
        <v/>
      </c>
      <c r="D7" s="4">
        <f>SUMIFS(Raw_QBO!$C$2:$C$500,Raw_QBO!$A$2:$A$500,D$2,Raw_QBO!$B$2:$B$500,$A7)</f>
        <v/>
      </c>
      <c r="E7" s="4">
        <f>SUMIFS(Raw_QBO!$C$2:$C$500,Raw_QBO!$A$2:$A$500,E$2,Raw_QBO!$B$2:$B$500,$A7)</f>
        <v/>
      </c>
      <c r="F7" s="4">
        <f>SUMIFS(Raw_QBO!$C$2:$C$500,Raw_QBO!$A$2:$A$500,F$2,Raw_QBO!$B$2:$B$500,$A7)</f>
        <v/>
      </c>
      <c r="G7" s="4">
        <f>SUMIFS(Raw_QBO!$C$2:$C$500,Raw_QBO!$A$2:$A$500,G$2,Raw_QBO!$B$2:$B$500,$A7)</f>
        <v/>
      </c>
      <c r="H7" s="4">
        <f>SUM(B7:G7)</f>
        <v/>
      </c>
    </row>
    <row r="8">
      <c r="A8" t="inlineStr">
        <is>
          <t>Overhead - Office</t>
        </is>
      </c>
      <c r="B8" s="4">
        <f>SUMIFS(Raw_QBO!$C$2:$C$500,Raw_QBO!$A$2:$A$500,B$2,Raw_QBO!$B$2:$B$500,$A8)</f>
        <v/>
      </c>
      <c r="C8" s="4">
        <f>SUMIFS(Raw_QBO!$C$2:$C$500,Raw_QBO!$A$2:$A$500,C$2,Raw_QBO!$B$2:$B$500,$A8)</f>
        <v/>
      </c>
      <c r="D8" s="4">
        <f>SUMIFS(Raw_QBO!$C$2:$C$500,Raw_QBO!$A$2:$A$500,D$2,Raw_QBO!$B$2:$B$500,$A8)</f>
        <v/>
      </c>
      <c r="E8" s="4">
        <f>SUMIFS(Raw_QBO!$C$2:$C$500,Raw_QBO!$A$2:$A$500,E$2,Raw_QBO!$B$2:$B$500,$A8)</f>
        <v/>
      </c>
      <c r="F8" s="4">
        <f>SUMIFS(Raw_QBO!$C$2:$C$500,Raw_QBO!$A$2:$A$500,F$2,Raw_QBO!$B$2:$B$500,$A8)</f>
        <v/>
      </c>
      <c r="G8" s="4">
        <f>SUMIFS(Raw_QBO!$C$2:$C$500,Raw_QBO!$A$2:$A$500,G$2,Raw_QBO!$B$2:$B$500,$A8)</f>
        <v/>
      </c>
      <c r="H8" s="4">
        <f>SUM(B8:G8)</f>
        <v/>
      </c>
    </row>
    <row r="9">
      <c r="A9" t="inlineStr">
        <is>
          <t>Overhead - Insurance</t>
        </is>
      </c>
      <c r="B9" s="4">
        <f>SUMIFS(Raw_QBO!$C$2:$C$500,Raw_QBO!$A$2:$A$500,B$2,Raw_QBO!$B$2:$B$500,$A9)</f>
        <v/>
      </c>
      <c r="C9" s="4">
        <f>SUMIFS(Raw_QBO!$C$2:$C$500,Raw_QBO!$A$2:$A$500,C$2,Raw_QBO!$B$2:$B$500,$A9)</f>
        <v/>
      </c>
      <c r="D9" s="4">
        <f>SUMIFS(Raw_QBO!$C$2:$C$500,Raw_QBO!$A$2:$A$500,D$2,Raw_QBO!$B$2:$B$500,$A9)</f>
        <v/>
      </c>
      <c r="E9" s="4">
        <f>SUMIFS(Raw_QBO!$C$2:$C$500,Raw_QBO!$A$2:$A$500,E$2,Raw_QBO!$B$2:$B$500,$A9)</f>
        <v/>
      </c>
      <c r="F9" s="4">
        <f>SUMIFS(Raw_QBO!$C$2:$C$500,Raw_QBO!$A$2:$A$500,F$2,Raw_QBO!$B$2:$B$500,$A9)</f>
        <v/>
      </c>
      <c r="G9" s="4">
        <f>SUMIFS(Raw_QBO!$C$2:$C$500,Raw_QBO!$A$2:$A$500,G$2,Raw_QBO!$B$2:$B$500,$A9)</f>
        <v/>
      </c>
      <c r="H9" s="4">
        <f>SUM(B9:G9)</f>
        <v/>
      </c>
    </row>
    <row r="10">
      <c r="A10" t="inlineStr">
        <is>
          <t>Overhead - Vehicle</t>
        </is>
      </c>
      <c r="B10" s="4">
        <f>SUMIFS(Raw_QBO!$C$2:$C$500,Raw_QBO!$A$2:$A$500,B$2,Raw_QBO!$B$2:$B$500,$A10)</f>
        <v/>
      </c>
      <c r="C10" s="4">
        <f>SUMIFS(Raw_QBO!$C$2:$C$500,Raw_QBO!$A$2:$A$500,C$2,Raw_QBO!$B$2:$B$500,$A10)</f>
        <v/>
      </c>
      <c r="D10" s="4">
        <f>SUMIFS(Raw_QBO!$C$2:$C$500,Raw_QBO!$A$2:$A$500,D$2,Raw_QBO!$B$2:$B$500,$A10)</f>
        <v/>
      </c>
      <c r="E10" s="4">
        <f>SUMIFS(Raw_QBO!$C$2:$C$500,Raw_QBO!$A$2:$A$500,E$2,Raw_QBO!$B$2:$B$500,$A10)</f>
        <v/>
      </c>
      <c r="F10" s="4">
        <f>SUMIFS(Raw_QBO!$C$2:$C$500,Raw_QBO!$A$2:$A$500,F$2,Raw_QBO!$B$2:$B$500,$A10)</f>
        <v/>
      </c>
      <c r="G10" s="4">
        <f>SUMIFS(Raw_QBO!$C$2:$C$500,Raw_QBO!$A$2:$A$500,G$2,Raw_QBO!$B$2:$B$500,$A10)</f>
        <v/>
      </c>
      <c r="H10" s="4">
        <f>SUM(B10:G10)</f>
        <v/>
      </c>
    </row>
    <row r="11">
      <c r="A11" s="3" t="inlineStr">
        <is>
          <t>Total Revenue</t>
        </is>
      </c>
      <c r="B11" s="4">
        <f>SUM(B3:B4)</f>
        <v/>
      </c>
      <c r="C11" s="4">
        <f>SUM(C3:C4)</f>
        <v/>
      </c>
      <c r="D11" s="4">
        <f>SUM(D3:D4)</f>
        <v/>
      </c>
      <c r="E11" s="4">
        <f>SUM(E3:E4)</f>
        <v/>
      </c>
      <c r="F11" s="4">
        <f>SUM(F3:F4)</f>
        <v/>
      </c>
      <c r="G11" s="4">
        <f>SUM(G3:G4)</f>
        <v/>
      </c>
      <c r="H11" s="4">
        <f>SUM(H3:H4)</f>
        <v/>
      </c>
    </row>
    <row r="12">
      <c r="A12" s="3" t="inlineStr">
        <is>
          <t>Total Costs</t>
        </is>
      </c>
      <c r="B12" s="4">
        <f>SUM(B5:B10)</f>
        <v/>
      </c>
      <c r="C12" s="4">
        <f>SUM(C5:C10)</f>
        <v/>
      </c>
      <c r="D12" s="4">
        <f>SUM(D5:D10)</f>
        <v/>
      </c>
      <c r="E12" s="4">
        <f>SUM(E5:E10)</f>
        <v/>
      </c>
      <c r="F12" s="4">
        <f>SUM(F5:F10)</f>
        <v/>
      </c>
      <c r="G12" s="4">
        <f>SUM(G5:G10)</f>
        <v/>
      </c>
      <c r="H12" s="4">
        <f>SUM(H5:H10)</f>
        <v/>
      </c>
    </row>
    <row r="13">
      <c r="A13" s="3" t="inlineStr">
        <is>
          <t>Gross Profit</t>
        </is>
      </c>
      <c r="B13" s="4">
        <f>B11+B12</f>
        <v/>
      </c>
      <c r="C13" s="4">
        <f>C11+C12</f>
        <v/>
      </c>
      <c r="D13" s="4">
        <f>D11+D12</f>
        <v/>
      </c>
      <c r="E13" s="4">
        <f>E11+E12</f>
        <v/>
      </c>
      <c r="F13" s="4">
        <f>F11+F12</f>
        <v/>
      </c>
      <c r="G13" s="4">
        <f>G11+G12</f>
        <v/>
      </c>
      <c r="H13" s="4">
        <f>H11+H12</f>
        <v/>
      </c>
    </row>
    <row r="14">
      <c r="A14" s="3" t="inlineStr">
        <is>
          <t>Gross Margin %</t>
        </is>
      </c>
      <c r="B14" s="5">
        <f>IF(B11=0,0,B13/B11)</f>
        <v/>
      </c>
      <c r="C14" s="5">
        <f>IF(C11=0,0,C13/C11)</f>
        <v/>
      </c>
      <c r="D14" s="5">
        <f>IF(D11=0,0,D13/D11)</f>
        <v/>
      </c>
      <c r="E14" s="5">
        <f>IF(E11=0,0,E13/E11)</f>
        <v/>
      </c>
      <c r="F14" s="5">
        <f>IF(F11=0,0,F13/F11)</f>
        <v/>
      </c>
      <c r="G14" s="5">
        <f>IF(G11=0,0,G13/G11)</f>
        <v/>
      </c>
      <c r="H14" s="5">
        <f>IF(H11=0,0,H13/H11)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Receivables — aging buckets are formulas off the As-of date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InvoiceID</t>
        </is>
      </c>
      <c r="B2" s="3" t="inlineStr">
        <is>
          <t>Customer</t>
        </is>
      </c>
      <c r="C2" s="3" t="inlineStr">
        <is>
          <t>IssueDate</t>
        </is>
      </c>
      <c r="D2" s="3" t="inlineStr">
        <is>
          <t>DueDate</t>
        </is>
      </c>
      <c r="E2" s="3" t="inlineStr">
        <is>
          <t>Amount</t>
        </is>
      </c>
      <c r="F2" s="3" t="inlineStr">
        <is>
          <t>PaidAmount</t>
        </is>
      </c>
      <c r="G2" s="3" t="inlineStr">
        <is>
          <t>Outstanding</t>
        </is>
      </c>
      <c r="H2" s="3" t="inlineStr">
        <is>
          <t>Bucket</t>
        </is>
      </c>
      <c r="J2" s="3" t="inlineStr">
        <is>
          <t>As-of date</t>
        </is>
      </c>
      <c r="K2" s="6" t="n">
        <v>46320</v>
      </c>
    </row>
    <row r="3">
      <c r="A3" t="inlineStr">
        <is>
          <t>INV-1001</t>
        </is>
      </c>
      <c r="B3" t="inlineStr">
        <is>
          <t>Sooke Bay Estates</t>
        </is>
      </c>
      <c r="C3" s="6" t="n">
        <v>46283</v>
      </c>
      <c r="D3" s="6" t="n">
        <v>46313</v>
      </c>
      <c r="E3" s="4" t="n">
        <v>10942</v>
      </c>
      <c r="F3" s="4" t="n">
        <v>4191</v>
      </c>
      <c r="G3" s="4">
        <f>E3-F3</f>
        <v/>
      </c>
      <c r="H3">
        <f>IF(G3=0,"Paid",IF(D3&gt;=$K$2,"Current",IF($K$2-D3&lt;=30,"1-30",IF($K$2-D3&lt;=60,"31-60","61+"))))</f>
        <v/>
      </c>
    </row>
    <row r="4">
      <c r="A4" t="inlineStr">
        <is>
          <t>INV-1002</t>
        </is>
      </c>
      <c r="B4" t="inlineStr">
        <is>
          <t>Westshore Properties</t>
        </is>
      </c>
      <c r="C4" s="6" t="n">
        <v>46280</v>
      </c>
      <c r="D4" s="6" t="n">
        <v>46310</v>
      </c>
      <c r="E4" s="4" t="n">
        <v>23450</v>
      </c>
      <c r="F4" s="4" t="n">
        <v>0</v>
      </c>
      <c r="G4" s="4">
        <f>E4-F4</f>
        <v/>
      </c>
      <c r="H4">
        <f>IF(G4=0,"Paid",IF(D4&gt;=$K$2,"Current",IF($K$2-D4&lt;=30,"1-30",IF($K$2-D4&lt;=60,"31-60","61+"))))</f>
        <v/>
      </c>
    </row>
    <row r="5">
      <c r="A5" t="inlineStr">
        <is>
          <t>INV-1003</t>
        </is>
      </c>
      <c r="B5" t="inlineStr">
        <is>
          <t>Gordon Head Builders</t>
        </is>
      </c>
      <c r="C5" s="6" t="n">
        <v>46244</v>
      </c>
      <c r="D5" s="6" t="n">
        <v>46275</v>
      </c>
      <c r="E5" s="4" t="n">
        <v>22386</v>
      </c>
      <c r="F5" s="4" t="n">
        <v>10873</v>
      </c>
      <c r="G5" s="4">
        <f>E5-F5</f>
        <v/>
      </c>
      <c r="H5">
        <f>IF(G5=0,"Paid",IF(D5&gt;=$K$2,"Current",IF($K$2-D5&lt;=30,"1-30",IF($K$2-D5&lt;=60,"31-60","61+"))))</f>
        <v/>
      </c>
    </row>
    <row r="6">
      <c r="A6" t="inlineStr">
        <is>
          <t>INV-1004</t>
        </is>
      </c>
      <c r="B6" t="inlineStr">
        <is>
          <t>Westshore Properties</t>
        </is>
      </c>
      <c r="C6" s="6" t="n">
        <v>46287</v>
      </c>
      <c r="D6" s="6" t="n">
        <v>46317</v>
      </c>
      <c r="E6" s="4" t="n">
        <v>18818</v>
      </c>
      <c r="F6" s="4" t="n">
        <v>18818</v>
      </c>
      <c r="G6" s="4">
        <f>E6-F6</f>
        <v/>
      </c>
      <c r="H6">
        <f>IF(G6=0,"Paid",IF(D6&gt;=$K$2,"Current",IF($K$2-D6&lt;=30,"1-30",IF($K$2-D6&lt;=60,"31-60","61+"))))</f>
        <v/>
      </c>
    </row>
    <row r="7">
      <c r="A7" t="inlineStr">
        <is>
          <t>INV-1005</t>
        </is>
      </c>
      <c r="B7" t="inlineStr">
        <is>
          <t>Gordon Head Builders</t>
        </is>
      </c>
      <c r="C7" s="6" t="n">
        <v>46283</v>
      </c>
      <c r="D7" s="6" t="n">
        <v>46313</v>
      </c>
      <c r="E7" s="4" t="n">
        <v>20156</v>
      </c>
      <c r="F7" s="4" t="n">
        <v>20156</v>
      </c>
      <c r="G7" s="4">
        <f>E7-F7</f>
        <v/>
      </c>
      <c r="H7">
        <f>IF(G7=0,"Paid",IF(D7&gt;=$K$2,"Current",IF($K$2-D7&lt;=30,"1-30",IF($K$2-D7&lt;=60,"31-60","61+"))))</f>
        <v/>
      </c>
    </row>
    <row r="8">
      <c r="A8" t="inlineStr">
        <is>
          <t>INV-1006</t>
        </is>
      </c>
      <c r="B8" t="inlineStr">
        <is>
          <t>Harbourview Developments</t>
        </is>
      </c>
      <c r="C8" s="6" t="n">
        <v>46257</v>
      </c>
      <c r="D8" s="6" t="n">
        <v>46288</v>
      </c>
      <c r="E8" s="4" t="n">
        <v>4616</v>
      </c>
      <c r="F8" s="4" t="n">
        <v>4616</v>
      </c>
      <c r="G8" s="4">
        <f>E8-F8</f>
        <v/>
      </c>
      <c r="H8">
        <f>IF(G8=0,"Paid",IF(D8&gt;=$K$2,"Current",IF($K$2-D8&lt;=30,"1-30",IF($K$2-D8&lt;=60,"31-60","61+"))))</f>
        <v/>
      </c>
    </row>
    <row r="9">
      <c r="A9" t="inlineStr">
        <is>
          <t>INV-1007</t>
        </is>
      </c>
      <c r="B9" t="inlineStr">
        <is>
          <t>Colwood Construction</t>
        </is>
      </c>
      <c r="C9" s="6" t="n">
        <v>46297</v>
      </c>
      <c r="D9" s="6" t="n">
        <v>46328</v>
      </c>
      <c r="E9" s="4" t="n">
        <v>11755</v>
      </c>
      <c r="F9" s="4" t="n">
        <v>6884</v>
      </c>
      <c r="G9" s="4">
        <f>E9-F9</f>
        <v/>
      </c>
      <c r="H9">
        <f>IF(G9=0,"Paid",IF(D9&gt;=$K$2,"Current",IF($K$2-D9&lt;=30,"1-30",IF($K$2-D9&lt;=60,"31-60","61+"))))</f>
        <v/>
      </c>
    </row>
    <row r="10">
      <c r="A10" t="inlineStr">
        <is>
          <t>INV-1008</t>
        </is>
      </c>
      <c r="B10" t="inlineStr">
        <is>
          <t>Peninsula Contracting</t>
        </is>
      </c>
      <c r="C10" s="6" t="n">
        <v>46301</v>
      </c>
      <c r="D10" s="6" t="n">
        <v>46332</v>
      </c>
      <c r="E10" s="4" t="n">
        <v>10922</v>
      </c>
      <c r="F10" s="4" t="n">
        <v>1806</v>
      </c>
      <c r="G10" s="4">
        <f>E10-F10</f>
        <v/>
      </c>
      <c r="H10">
        <f>IF(G10=0,"Paid",IF(D10&gt;=$K$2,"Current",IF($K$2-D10&lt;=30,"1-30",IF($K$2-D10&lt;=60,"31-60","61+"))))</f>
        <v/>
      </c>
    </row>
    <row r="11">
      <c r="A11" t="inlineStr">
        <is>
          <t>INV-1009</t>
        </is>
      </c>
      <c r="B11" t="inlineStr">
        <is>
          <t>Westshore Properties</t>
        </is>
      </c>
      <c r="C11" s="6" t="n">
        <v>46259</v>
      </c>
      <c r="D11" s="6" t="n">
        <v>46290</v>
      </c>
      <c r="E11" s="4" t="n">
        <v>26766</v>
      </c>
      <c r="F11" s="4" t="n">
        <v>24226</v>
      </c>
      <c r="G11" s="4">
        <f>E11-F11</f>
        <v/>
      </c>
      <c r="H11">
        <f>IF(G11=0,"Paid",IF(D11&gt;=$K$2,"Current",IF($K$2-D11&lt;=30,"1-30",IF($K$2-D11&lt;=60,"31-60","61+"))))</f>
        <v/>
      </c>
    </row>
    <row r="12">
      <c r="A12" t="inlineStr">
        <is>
          <t>INV-1010</t>
        </is>
      </c>
      <c r="B12" t="inlineStr">
        <is>
          <t>Sooke Bay Estates</t>
        </is>
      </c>
      <c r="C12" s="6" t="n">
        <v>46287</v>
      </c>
      <c r="D12" s="6" t="n">
        <v>46317</v>
      </c>
      <c r="E12" s="4" t="n">
        <v>25917</v>
      </c>
      <c r="F12" s="4" t="n">
        <v>25917</v>
      </c>
      <c r="G12" s="4">
        <f>E12-F12</f>
        <v/>
      </c>
      <c r="H12">
        <f>IF(G12=0,"Paid",IF(D12&gt;=$K$2,"Current",IF($K$2-D12&lt;=30,"1-30",IF($K$2-D12&lt;=60,"31-60","61+"))))</f>
        <v/>
      </c>
    </row>
    <row r="13">
      <c r="A13" t="inlineStr">
        <is>
          <t>INV-1011</t>
        </is>
      </c>
      <c r="B13" t="inlineStr">
        <is>
          <t>Fairfield Renovations</t>
        </is>
      </c>
      <c r="C13" s="6" t="n">
        <v>46286</v>
      </c>
      <c r="D13" s="6" t="n">
        <v>46316</v>
      </c>
      <c r="E13" s="4" t="n">
        <v>23503</v>
      </c>
      <c r="F13" s="4" t="n">
        <v>23503</v>
      </c>
      <c r="G13" s="4">
        <f>E13-F13</f>
        <v/>
      </c>
      <c r="H13">
        <f>IF(G13=0,"Paid",IF(D13&gt;=$K$2,"Current",IF($K$2-D13&lt;=30,"1-30",IF($K$2-D13&lt;=60,"31-60","61+"))))</f>
        <v/>
      </c>
    </row>
    <row r="14">
      <c r="A14" t="inlineStr">
        <is>
          <t>INV-1012</t>
        </is>
      </c>
      <c r="B14" t="inlineStr">
        <is>
          <t>Colwood Construction</t>
        </is>
      </c>
      <c r="C14" s="6" t="n">
        <v>46269</v>
      </c>
      <c r="D14" s="6" t="n">
        <v>46299</v>
      </c>
      <c r="E14" s="4" t="n">
        <v>13978</v>
      </c>
      <c r="F14" s="4" t="n">
        <v>13978</v>
      </c>
      <c r="G14" s="4">
        <f>E14-F14</f>
        <v/>
      </c>
      <c r="H14">
        <f>IF(G14=0,"Paid",IF(D14&gt;=$K$2,"Current",IF($K$2-D14&lt;=30,"1-30",IF($K$2-D14&lt;=60,"31-60","61+"))))</f>
        <v/>
      </c>
    </row>
    <row r="15">
      <c r="A15" t="inlineStr">
        <is>
          <t>INV-1013</t>
        </is>
      </c>
      <c r="B15" t="inlineStr">
        <is>
          <t>Oak Bay Holdings</t>
        </is>
      </c>
      <c r="C15" s="6" t="n">
        <v>46310</v>
      </c>
      <c r="D15" s="6" t="n">
        <v>46341</v>
      </c>
      <c r="E15" s="4" t="n">
        <v>23636</v>
      </c>
      <c r="F15" s="4" t="n">
        <v>23636</v>
      </c>
      <c r="G15" s="4">
        <f>E15-F15</f>
        <v/>
      </c>
      <c r="H15">
        <f>IF(G15=0,"Paid",IF(D15&gt;=$K$2,"Current",IF($K$2-D15&lt;=30,"1-30",IF($K$2-D15&lt;=60,"31-60","61+"))))</f>
        <v/>
      </c>
    </row>
    <row r="16">
      <c r="A16" t="inlineStr">
        <is>
          <t>INV-1014</t>
        </is>
      </c>
      <c r="B16" t="inlineStr">
        <is>
          <t>Colwood Construction</t>
        </is>
      </c>
      <c r="C16" s="6" t="n">
        <v>46272</v>
      </c>
      <c r="D16" s="6" t="n">
        <v>46302</v>
      </c>
      <c r="E16" s="4" t="n">
        <v>8505</v>
      </c>
      <c r="F16" s="4" t="n">
        <v>8505</v>
      </c>
      <c r="G16" s="4">
        <f>E16-F16</f>
        <v/>
      </c>
      <c r="H16">
        <f>IF(G16=0,"Paid",IF(D16&gt;=$K$2,"Current",IF($K$2-D16&lt;=30,"1-30",IF($K$2-D16&lt;=60,"31-60","61+"))))</f>
        <v/>
      </c>
    </row>
    <row r="17">
      <c r="A17" t="inlineStr">
        <is>
          <t>INV-1015</t>
        </is>
      </c>
      <c r="B17" t="inlineStr">
        <is>
          <t>Peninsula Contracting</t>
        </is>
      </c>
      <c r="C17" s="6" t="n">
        <v>46251</v>
      </c>
      <c r="D17" s="6" t="n">
        <v>46282</v>
      </c>
      <c r="E17" s="4" t="n">
        <v>23505</v>
      </c>
      <c r="F17" s="4" t="n">
        <v>23505</v>
      </c>
      <c r="G17" s="4">
        <f>E17-F17</f>
        <v/>
      </c>
      <c r="H17">
        <f>IF(G17=0,"Paid",IF(D17&gt;=$K$2,"Current",IF($K$2-D17&lt;=30,"1-30",IF($K$2-D17&lt;=60,"31-60","61+"))))</f>
        <v/>
      </c>
    </row>
    <row r="18">
      <c r="A18" t="inlineStr">
        <is>
          <t>INV-1016</t>
        </is>
      </c>
      <c r="B18" t="inlineStr">
        <is>
          <t>Westshore Properties</t>
        </is>
      </c>
      <c r="C18" s="6" t="n">
        <v>46311</v>
      </c>
      <c r="D18" s="6" t="n">
        <v>46342</v>
      </c>
      <c r="E18" s="4" t="n">
        <v>24442</v>
      </c>
      <c r="F18" s="4" t="n">
        <v>0</v>
      </c>
      <c r="G18" s="4">
        <f>E18-F18</f>
        <v/>
      </c>
      <c r="H18">
        <f>IF(G18=0,"Paid",IF(D18&gt;=$K$2,"Current",IF($K$2-D18&lt;=30,"1-30",IF($K$2-D18&lt;=60,"31-60","61+"))))</f>
        <v/>
      </c>
    </row>
    <row r="19">
      <c r="A19" t="inlineStr">
        <is>
          <t>INV-1017</t>
        </is>
      </c>
      <c r="B19" t="inlineStr">
        <is>
          <t>Gordon Head Builders</t>
        </is>
      </c>
      <c r="C19" s="6" t="n">
        <v>46258</v>
      </c>
      <c r="D19" s="6" t="n">
        <v>46289</v>
      </c>
      <c r="E19" s="4" t="n">
        <v>15923</v>
      </c>
      <c r="F19" s="4" t="n">
        <v>15923</v>
      </c>
      <c r="G19" s="4">
        <f>E19-F19</f>
        <v/>
      </c>
      <c r="H19">
        <f>IF(G19=0,"Paid",IF(D19&gt;=$K$2,"Current",IF($K$2-D19&lt;=30,"1-30",IF($K$2-D19&lt;=60,"31-60","61+"))))</f>
        <v/>
      </c>
    </row>
    <row r="20">
      <c r="A20" t="inlineStr">
        <is>
          <t>INV-1018</t>
        </is>
      </c>
      <c r="B20" t="inlineStr">
        <is>
          <t>Langford Living</t>
        </is>
      </c>
      <c r="C20" s="6" t="n">
        <v>46236</v>
      </c>
      <c r="D20" s="6" t="n">
        <v>46267</v>
      </c>
      <c r="E20" s="4" t="n">
        <v>16362</v>
      </c>
      <c r="F20" s="4" t="n">
        <v>0</v>
      </c>
      <c r="G20" s="4">
        <f>E20-F20</f>
        <v/>
      </c>
      <c r="H20">
        <f>IF(G20=0,"Paid",IF(D20&gt;=$K$2,"Current",IF($K$2-D20&lt;=30,"1-30",IF($K$2-D20&lt;=60,"31-60","61+"))))</f>
        <v/>
      </c>
    </row>
    <row r="21">
      <c r="A21" t="inlineStr">
        <is>
          <t>INV-1019</t>
        </is>
      </c>
      <c r="B21" t="inlineStr">
        <is>
          <t>Peninsula Contracting</t>
        </is>
      </c>
      <c r="C21" s="6" t="n">
        <v>46241</v>
      </c>
      <c r="D21" s="6" t="n">
        <v>46272</v>
      </c>
      <c r="E21" s="4" t="n">
        <v>18387</v>
      </c>
      <c r="F21" s="4" t="n">
        <v>8339</v>
      </c>
      <c r="G21" s="4">
        <f>E21-F21</f>
        <v/>
      </c>
      <c r="H21">
        <f>IF(G21=0,"Paid",IF(D21&gt;=$K$2,"Current",IF($K$2-D21&lt;=30,"1-30",IF($K$2-D21&lt;=60,"31-60","61+"))))</f>
        <v/>
      </c>
    </row>
    <row r="22">
      <c r="A22" t="inlineStr">
        <is>
          <t>INV-1020</t>
        </is>
      </c>
      <c r="B22" t="inlineStr">
        <is>
          <t>Oak Bay Holdings</t>
        </is>
      </c>
      <c r="C22" s="6" t="n">
        <v>46300</v>
      </c>
      <c r="D22" s="6" t="n">
        <v>46331</v>
      </c>
      <c r="E22" s="4" t="n">
        <v>25783</v>
      </c>
      <c r="F22" s="4" t="n">
        <v>11335</v>
      </c>
      <c r="G22" s="4">
        <f>E22-F22</f>
        <v/>
      </c>
      <c r="H22">
        <f>IF(G22=0,"Paid",IF(D22&gt;=$K$2,"Current",IF($K$2-D22&lt;=30,"1-30",IF($K$2-D22&lt;=60,"31-60","61+"))))</f>
        <v/>
      </c>
    </row>
    <row r="23">
      <c r="A23" t="inlineStr">
        <is>
          <t>INV-1021</t>
        </is>
      </c>
      <c r="B23" t="inlineStr">
        <is>
          <t>Fairfield Renovations</t>
        </is>
      </c>
      <c r="C23" s="6" t="n">
        <v>46271</v>
      </c>
      <c r="D23" s="6" t="n">
        <v>46301</v>
      </c>
      <c r="E23" s="4" t="n">
        <v>8285</v>
      </c>
      <c r="F23" s="4" t="n">
        <v>0</v>
      </c>
      <c r="G23" s="4">
        <f>E23-F23</f>
        <v/>
      </c>
      <c r="H23">
        <f>IF(G23=0,"Paid",IF(D23&gt;=$K$2,"Current",IF($K$2-D23&lt;=30,"1-30",IF($K$2-D23&lt;=60,"31-60","61+"))))</f>
        <v/>
      </c>
    </row>
    <row r="24">
      <c r="A24" t="inlineStr">
        <is>
          <t>INV-1022</t>
        </is>
      </c>
      <c r="B24" t="inlineStr">
        <is>
          <t>Peninsula Contracting</t>
        </is>
      </c>
      <c r="C24" s="6" t="n">
        <v>46314</v>
      </c>
      <c r="D24" s="6" t="n">
        <v>46345</v>
      </c>
      <c r="E24" s="4" t="n">
        <v>18432</v>
      </c>
      <c r="F24" s="4" t="n">
        <v>0</v>
      </c>
      <c r="G24" s="4">
        <f>E24-F24</f>
        <v/>
      </c>
      <c r="H24">
        <f>IF(G24=0,"Paid",IF(D24&gt;=$K$2,"Current",IF($K$2-D24&lt;=30,"1-30",IF($K$2-D24&lt;=60,"31-60","61+"))))</f>
        <v/>
      </c>
    </row>
    <row r="25">
      <c r="A25" t="inlineStr">
        <is>
          <t>INV-1023</t>
        </is>
      </c>
      <c r="B25" t="inlineStr">
        <is>
          <t>Fairfield Renovations</t>
        </is>
      </c>
      <c r="C25" s="6" t="n">
        <v>46321</v>
      </c>
      <c r="D25" s="6" t="n">
        <v>46352</v>
      </c>
      <c r="E25" s="4" t="n">
        <v>12400</v>
      </c>
      <c r="F25" s="4" t="n">
        <v>7417</v>
      </c>
      <c r="G25" s="4">
        <f>E25-F25</f>
        <v/>
      </c>
      <c r="H25">
        <f>IF(G25=0,"Paid",IF(D25&gt;=$K$2,"Current",IF($K$2-D25&lt;=30,"1-30",IF($K$2-D25&lt;=60,"31-60","61+"))))</f>
        <v/>
      </c>
    </row>
    <row r="26">
      <c r="A26" t="inlineStr">
        <is>
          <t>INV-1024</t>
        </is>
      </c>
      <c r="B26" t="inlineStr">
        <is>
          <t>Fairfield Renovations</t>
        </is>
      </c>
      <c r="C26" s="6" t="n">
        <v>46278</v>
      </c>
      <c r="D26" s="6" t="n">
        <v>46308</v>
      </c>
      <c r="E26" s="4" t="n">
        <v>8297</v>
      </c>
      <c r="F26" s="4" t="n">
        <v>8297</v>
      </c>
      <c r="G26" s="4">
        <f>E26-F26</f>
        <v/>
      </c>
      <c r="H26">
        <f>IF(G26=0,"Paid",IF(D26&gt;=$K$2,"Current",IF($K$2-D26&lt;=30,"1-30",IF($K$2-D26&lt;=60,"31-60","61+"))))</f>
        <v/>
      </c>
    </row>
    <row r="27">
      <c r="A27" t="inlineStr">
        <is>
          <t>INV-1025</t>
        </is>
      </c>
      <c r="B27" t="inlineStr">
        <is>
          <t>Langford Living</t>
        </is>
      </c>
      <c r="C27" s="6" t="n">
        <v>46309</v>
      </c>
      <c r="D27" s="6" t="n">
        <v>46340</v>
      </c>
      <c r="E27" s="4" t="n">
        <v>16114</v>
      </c>
      <c r="F27" s="4" t="n">
        <v>16114</v>
      </c>
      <c r="G27" s="4">
        <f>E27-F27</f>
        <v/>
      </c>
      <c r="H27">
        <f>IF(G27=0,"Paid",IF(D27&gt;=$K$2,"Current",IF($K$2-D27&lt;=30,"1-30",IF($K$2-D27&lt;=60,"31-60","61+"))))</f>
        <v/>
      </c>
    </row>
    <row r="28">
      <c r="A28" t="inlineStr">
        <is>
          <t>INV-1026</t>
        </is>
      </c>
      <c r="B28" t="inlineStr">
        <is>
          <t>Peninsula Contracting</t>
        </is>
      </c>
      <c r="C28" s="6" t="n">
        <v>46314</v>
      </c>
      <c r="D28" s="6" t="n">
        <v>46345</v>
      </c>
      <c r="E28" s="4" t="n">
        <v>8278</v>
      </c>
      <c r="F28" s="4" t="n">
        <v>0</v>
      </c>
      <c r="G28" s="4">
        <f>E28-F28</f>
        <v/>
      </c>
      <c r="H28">
        <f>IF(G28=0,"Paid",IF(D28&gt;=$K$2,"Current",IF($K$2-D28&lt;=30,"1-30",IF($K$2-D28&lt;=60,"31-60","61+"))))</f>
        <v/>
      </c>
    </row>
    <row r="29">
      <c r="A29" t="inlineStr">
        <is>
          <t>INV-1027</t>
        </is>
      </c>
      <c r="B29" t="inlineStr">
        <is>
          <t>Fairfield Renovations</t>
        </is>
      </c>
      <c r="C29" s="6" t="n">
        <v>46322</v>
      </c>
      <c r="D29" s="6" t="n">
        <v>46353</v>
      </c>
      <c r="E29" s="4" t="n">
        <v>25077</v>
      </c>
      <c r="F29" s="4" t="n">
        <v>25077</v>
      </c>
      <c r="G29" s="4">
        <f>E29-F29</f>
        <v/>
      </c>
      <c r="H29">
        <f>IF(G29=0,"Paid",IF(D29&gt;=$K$2,"Current",IF($K$2-D29&lt;=30,"1-30",IF($K$2-D29&lt;=60,"31-60","61+"))))</f>
        <v/>
      </c>
    </row>
    <row r="30">
      <c r="A30" t="inlineStr">
        <is>
          <t>INV-1028</t>
        </is>
      </c>
      <c r="B30" t="inlineStr">
        <is>
          <t>Cedar Ridge Homes</t>
        </is>
      </c>
      <c r="C30" s="6" t="n">
        <v>46258</v>
      </c>
      <c r="D30" s="6" t="n">
        <v>46289</v>
      </c>
      <c r="E30" s="4" t="n">
        <v>5670</v>
      </c>
      <c r="F30" s="4" t="n">
        <v>0</v>
      </c>
      <c r="G30" s="4">
        <f>E30-F30</f>
        <v/>
      </c>
      <c r="H30">
        <f>IF(G30=0,"Paid",IF(D30&gt;=$K$2,"Current",IF($K$2-D30&lt;=30,"1-30",IF($K$2-D30&lt;=60,"31-60","61+"))))</f>
        <v/>
      </c>
    </row>
    <row r="31">
      <c r="A31" t="inlineStr">
        <is>
          <t>INV-1029</t>
        </is>
      </c>
      <c r="B31" t="inlineStr">
        <is>
          <t>Harbourview Developments</t>
        </is>
      </c>
      <c r="C31" s="6" t="n">
        <v>46314</v>
      </c>
      <c r="D31" s="6" t="n">
        <v>46345</v>
      </c>
      <c r="E31" s="4" t="n">
        <v>17610</v>
      </c>
      <c r="F31" s="4" t="n">
        <v>17610</v>
      </c>
      <c r="G31" s="4">
        <f>E31-F31</f>
        <v/>
      </c>
      <c r="H31">
        <f>IF(G31=0,"Paid",IF(D31&gt;=$K$2,"Current",IF($K$2-D31&lt;=30,"1-30",IF($K$2-D31&lt;=60,"31-60","61+"))))</f>
        <v/>
      </c>
    </row>
    <row r="32">
      <c r="A32" t="inlineStr">
        <is>
          <t>INV-1030</t>
        </is>
      </c>
      <c r="B32" t="inlineStr">
        <is>
          <t>Sooke Bay Estates</t>
        </is>
      </c>
      <c r="C32" s="6" t="n">
        <v>46236</v>
      </c>
      <c r="D32" s="6" t="n">
        <v>46267</v>
      </c>
      <c r="E32" s="4" t="n">
        <v>5801</v>
      </c>
      <c r="F32" s="4" t="n">
        <v>1985</v>
      </c>
      <c r="G32" s="4">
        <f>E32-F32</f>
        <v/>
      </c>
      <c r="H32">
        <f>IF(G32=0,"Paid",IF(D32&gt;=$K$2,"Current",IF($K$2-D32&lt;=30,"1-30",IF($K$2-D32&lt;=60,"31-60","61+"))))</f>
        <v/>
      </c>
    </row>
    <row r="34">
      <c r="A34" s="3" t="inlineStr">
        <is>
          <t>Bucket</t>
        </is>
      </c>
      <c r="B34" s="3" t="inlineStr">
        <is>
          <t>Outstanding</t>
        </is>
      </c>
    </row>
    <row r="35">
      <c r="A35" t="inlineStr">
        <is>
          <t>Current</t>
        </is>
      </c>
      <c r="B35" s="4">
        <f>SUMIFS($G$3:$G$32,$H$3:$H$32,$A35)</f>
        <v/>
      </c>
    </row>
    <row r="36">
      <c r="A36" t="inlineStr">
        <is>
          <t>1-30</t>
        </is>
      </c>
      <c r="B36" s="4">
        <f>SUMIFS($G$3:$G$32,$H$3:$H$32,$A36)</f>
        <v/>
      </c>
    </row>
    <row r="37">
      <c r="A37" t="inlineStr">
        <is>
          <t>31-60</t>
        </is>
      </c>
      <c r="B37" s="4">
        <f>SUMIFS($G$3:$G$32,$H$3:$H$32,$A37)</f>
        <v/>
      </c>
    </row>
    <row r="38">
      <c r="A38" t="inlineStr">
        <is>
          <t>61+</t>
        </is>
      </c>
      <c r="B38" s="4">
        <f>SUMIFS($G$3:$G$32,$H$3:$H$32,$A38)</f>
        <v/>
      </c>
    </row>
    <row r="39">
      <c r="A39" s="3" t="inlineStr">
        <is>
          <t>Total</t>
        </is>
      </c>
      <c r="B39" s="4">
        <f>SUM(B35:B38)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Payables — aging buckets are formulas off the As-of date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BillID</t>
        </is>
      </c>
      <c r="B2" s="3" t="inlineStr">
        <is>
          <t>Vendor</t>
        </is>
      </c>
      <c r="C2" s="3" t="inlineStr">
        <is>
          <t>DueDate</t>
        </is>
      </c>
      <c r="D2" s="3" t="inlineStr">
        <is>
          <t>Amount</t>
        </is>
      </c>
      <c r="E2" s="3" t="inlineStr">
        <is>
          <t>PaidAmount</t>
        </is>
      </c>
      <c r="F2" s="3" t="inlineStr">
        <is>
          <t>Outstanding</t>
        </is>
      </c>
      <c r="G2" s="3" t="inlineStr">
        <is>
          <t>Bucket</t>
        </is>
      </c>
      <c r="I2" s="3" t="inlineStr">
        <is>
          <t>As-of date</t>
        </is>
      </c>
      <c r="J2" s="6" t="n">
        <v>46320</v>
      </c>
    </row>
    <row r="3">
      <c r="A3" t="inlineStr">
        <is>
          <t>BILL-2001</t>
        </is>
      </c>
      <c r="B3" t="inlineStr">
        <is>
          <t>Victoria Roofing Supply</t>
        </is>
      </c>
      <c r="C3" s="6" t="n">
        <v>46317</v>
      </c>
      <c r="D3" s="4" t="n">
        <v>8174</v>
      </c>
      <c r="E3" s="4" t="n">
        <v>3415</v>
      </c>
      <c r="F3" s="4">
        <f>D3-E3</f>
        <v/>
      </c>
      <c r="G3">
        <f>IF(F3=0,"Paid",IF(C3&gt;=$J$2,"Current",IF($J$2-C3&lt;=30,"1-30",IF($J$2-C3&lt;=60,"31-60","61+"))))</f>
        <v/>
      </c>
    </row>
    <row r="4">
      <c r="A4" t="inlineStr">
        <is>
          <t>BILL-2002</t>
        </is>
      </c>
      <c r="B4" t="inlineStr">
        <is>
          <t>Pacific Concrete Ltd.</t>
        </is>
      </c>
      <c r="C4" s="6" t="n">
        <v>46299</v>
      </c>
      <c r="D4" s="4" t="n">
        <v>18953</v>
      </c>
      <c r="E4" s="4" t="n">
        <v>18953</v>
      </c>
      <c r="F4" s="4">
        <f>D4-E4</f>
        <v/>
      </c>
      <c r="G4">
        <f>IF(F4=0,"Paid",IF(C4&gt;=$J$2,"Current",IF($J$2-C4&lt;=30,"1-30",IF($J$2-C4&lt;=60,"31-60","61+"))))</f>
        <v/>
      </c>
    </row>
    <row r="5">
      <c r="A5" t="inlineStr">
        <is>
          <t>BILL-2003</t>
        </is>
      </c>
      <c r="B5" t="inlineStr">
        <is>
          <t>West Coast Electrical</t>
        </is>
      </c>
      <c r="C5" s="6" t="n">
        <v>46268</v>
      </c>
      <c r="D5" s="4" t="n">
        <v>4374</v>
      </c>
      <c r="E5" s="4" t="n">
        <v>966</v>
      </c>
      <c r="F5" s="4">
        <f>D5-E5</f>
        <v/>
      </c>
      <c r="G5">
        <f>IF(F5=0,"Paid",IF(C5&gt;=$J$2,"Current",IF($J$2-C5&lt;=30,"1-30",IF($J$2-C5&lt;=60,"31-60","61+"))))</f>
        <v/>
      </c>
    </row>
    <row r="6">
      <c r="A6" t="inlineStr">
        <is>
          <t>BILL-2004</t>
        </is>
      </c>
      <c r="B6" t="inlineStr">
        <is>
          <t>Peninsula Scaffolding</t>
        </is>
      </c>
      <c r="C6" s="6" t="n">
        <v>46344</v>
      </c>
      <c r="D6" s="4" t="n">
        <v>17230</v>
      </c>
      <c r="E6" s="4" t="n">
        <v>17230</v>
      </c>
      <c r="F6" s="4">
        <f>D6-E6</f>
        <v/>
      </c>
      <c r="G6">
        <f>IF(F6=0,"Paid",IF(C6&gt;=$J$2,"Current",IF($J$2-C6&lt;=30,"1-30",IF($J$2-C6&lt;=60,"31-60","61+"))))</f>
        <v/>
      </c>
    </row>
    <row r="7">
      <c r="A7" t="inlineStr">
        <is>
          <t>BILL-2005</t>
        </is>
      </c>
      <c r="B7" t="inlineStr">
        <is>
          <t>West Coast Electrical</t>
        </is>
      </c>
      <c r="C7" s="6" t="n">
        <v>46308</v>
      </c>
      <c r="D7" s="4" t="n">
        <v>19290</v>
      </c>
      <c r="E7" s="4" t="n">
        <v>19290</v>
      </c>
      <c r="F7" s="4">
        <f>D7-E7</f>
        <v/>
      </c>
      <c r="G7">
        <f>IF(F7=0,"Paid",IF(C7&gt;=$J$2,"Current",IF($J$2-C7&lt;=30,"1-30",IF($J$2-C7&lt;=60,"31-60","61+"))))</f>
        <v/>
      </c>
    </row>
    <row r="8">
      <c r="A8" t="inlineStr">
        <is>
          <t>BILL-2006</t>
        </is>
      </c>
      <c r="B8" t="inlineStr">
        <is>
          <t>Island Lumber Supply</t>
        </is>
      </c>
      <c r="C8" s="6" t="n">
        <v>46289</v>
      </c>
      <c r="D8" s="4" t="n">
        <v>14431</v>
      </c>
      <c r="E8" s="4" t="n">
        <v>0</v>
      </c>
      <c r="F8" s="4">
        <f>D8-E8</f>
        <v/>
      </c>
      <c r="G8">
        <f>IF(F8=0,"Paid",IF(C8&gt;=$J$2,"Current",IF($J$2-C8&lt;=30,"1-30",IF($J$2-C8&lt;=60,"31-60","61+"))))</f>
        <v/>
      </c>
    </row>
    <row r="9">
      <c r="A9" t="inlineStr">
        <is>
          <t>BILL-2007</t>
        </is>
      </c>
      <c r="B9" t="inlineStr">
        <is>
          <t>West Coast Electrical</t>
        </is>
      </c>
      <c r="C9" s="6" t="n">
        <v>46283</v>
      </c>
      <c r="D9" s="4" t="n">
        <v>15455</v>
      </c>
      <c r="E9" s="4" t="n">
        <v>15455</v>
      </c>
      <c r="F9" s="4">
        <f>D9-E9</f>
        <v/>
      </c>
      <c r="G9">
        <f>IF(F9=0,"Paid",IF(C9&gt;=$J$2,"Current",IF($J$2-C9&lt;=30,"1-30",IF($J$2-C9&lt;=60,"31-60","61+"))))</f>
        <v/>
      </c>
    </row>
    <row r="10">
      <c r="A10" t="inlineStr">
        <is>
          <t>BILL-2008</t>
        </is>
      </c>
      <c r="B10" t="inlineStr">
        <is>
          <t>Capital Drywall</t>
        </is>
      </c>
      <c r="C10" s="6" t="n">
        <v>46319</v>
      </c>
      <c r="D10" s="4" t="n">
        <v>20121</v>
      </c>
      <c r="E10" s="4" t="n">
        <v>20121</v>
      </c>
      <c r="F10" s="4">
        <f>D10-E10</f>
        <v/>
      </c>
      <c r="G10">
        <f>IF(F10=0,"Paid",IF(C10&gt;=$J$2,"Current",IF($J$2-C10&lt;=30,"1-30",IF($J$2-C10&lt;=60,"31-60","61+"))))</f>
        <v/>
      </c>
    </row>
    <row r="11">
      <c r="A11" t="inlineStr">
        <is>
          <t>BILL-2009</t>
        </is>
      </c>
      <c r="B11" t="inlineStr">
        <is>
          <t>Harbour Paint &amp; Finishes</t>
        </is>
      </c>
      <c r="C11" s="6" t="n">
        <v>46340</v>
      </c>
      <c r="D11" s="4" t="n">
        <v>15386</v>
      </c>
      <c r="E11" s="4" t="n">
        <v>0</v>
      </c>
      <c r="F11" s="4">
        <f>D11-E11</f>
        <v/>
      </c>
      <c r="G11">
        <f>IF(F11=0,"Paid",IF(C11&gt;=$J$2,"Current",IF($J$2-C11&lt;=30,"1-30",IF($J$2-C11&lt;=60,"31-60","61+"))))</f>
        <v/>
      </c>
    </row>
    <row r="12">
      <c r="A12" t="inlineStr">
        <is>
          <t>BILL-2010</t>
        </is>
      </c>
      <c r="B12" t="inlineStr">
        <is>
          <t>Victoria Roofing Supply</t>
        </is>
      </c>
      <c r="C12" s="6" t="n">
        <v>46318</v>
      </c>
      <c r="D12" s="4" t="n">
        <v>9826</v>
      </c>
      <c r="E12" s="4" t="n">
        <v>9826</v>
      </c>
      <c r="F12" s="4">
        <f>D12-E12</f>
        <v/>
      </c>
      <c r="G12">
        <f>IF(F12=0,"Paid",IF(C12&gt;=$J$2,"Current",IF($J$2-C12&lt;=30,"1-30",IF($J$2-C12&lt;=60,"31-60","61+"))))</f>
        <v/>
      </c>
    </row>
    <row r="13">
      <c r="A13" t="inlineStr">
        <is>
          <t>BILL-2011</t>
        </is>
      </c>
      <c r="B13" t="inlineStr">
        <is>
          <t>Harbour Paint &amp; Finishes</t>
        </is>
      </c>
      <c r="C13" s="6" t="n">
        <v>46331</v>
      </c>
      <c r="D13" s="4" t="n">
        <v>7712</v>
      </c>
      <c r="E13" s="4" t="n">
        <v>7712</v>
      </c>
      <c r="F13" s="4">
        <f>D13-E13</f>
        <v/>
      </c>
      <c r="G13">
        <f>IF(F13=0,"Paid",IF(C13&gt;=$J$2,"Current",IF($J$2-C13&lt;=30,"1-30",IF($J$2-C13&lt;=60,"31-60","61+"))))</f>
        <v/>
      </c>
    </row>
    <row r="14">
      <c r="A14" t="inlineStr">
        <is>
          <t>BILL-2012</t>
        </is>
      </c>
      <c r="B14" t="inlineStr">
        <is>
          <t>Victoria Roofing Supply</t>
        </is>
      </c>
      <c r="C14" s="6" t="n">
        <v>46331</v>
      </c>
      <c r="D14" s="4" t="n">
        <v>3352</v>
      </c>
      <c r="E14" s="4" t="n">
        <v>3352</v>
      </c>
      <c r="F14" s="4">
        <f>D14-E14</f>
        <v/>
      </c>
      <c r="G14">
        <f>IF(F14=0,"Paid",IF(C14&gt;=$J$2,"Current",IF($J$2-C14&lt;=30,"1-30",IF($J$2-C14&lt;=60,"31-60","61+"))))</f>
        <v/>
      </c>
    </row>
    <row r="15">
      <c r="A15" t="inlineStr">
        <is>
          <t>BILL-2013</t>
        </is>
      </c>
      <c r="B15" t="inlineStr">
        <is>
          <t>Island Lumber Supply</t>
        </is>
      </c>
      <c r="C15" s="6" t="n">
        <v>46292</v>
      </c>
      <c r="D15" s="4" t="n">
        <v>21295</v>
      </c>
      <c r="E15" s="4" t="n">
        <v>21295</v>
      </c>
      <c r="F15" s="4">
        <f>D15-E15</f>
        <v/>
      </c>
      <c r="G15">
        <f>IF(F15=0,"Paid",IF(C15&gt;=$J$2,"Current",IF($J$2-C15&lt;=30,"1-30",IF($J$2-C15&lt;=60,"31-60","61+"))))</f>
        <v/>
      </c>
    </row>
    <row r="16">
      <c r="A16" t="inlineStr">
        <is>
          <t>BILL-2014</t>
        </is>
      </c>
      <c r="B16" t="inlineStr">
        <is>
          <t>Peninsula Scaffolding</t>
        </is>
      </c>
      <c r="C16" s="6" t="n">
        <v>46322</v>
      </c>
      <c r="D16" s="4" t="n">
        <v>20991</v>
      </c>
      <c r="E16" s="4" t="n">
        <v>20991</v>
      </c>
      <c r="F16" s="4">
        <f>D16-E16</f>
        <v/>
      </c>
      <c r="G16">
        <f>IF(F16=0,"Paid",IF(C16&gt;=$J$2,"Current",IF($J$2-C16&lt;=30,"1-30",IF($J$2-C16&lt;=60,"31-60","61+"))))</f>
        <v/>
      </c>
    </row>
    <row r="17">
      <c r="A17" t="inlineStr">
        <is>
          <t>BILL-2015</t>
        </is>
      </c>
      <c r="B17" t="inlineStr">
        <is>
          <t>West Coast Electrical</t>
        </is>
      </c>
      <c r="C17" s="6" t="n">
        <v>46351</v>
      </c>
      <c r="D17" s="4" t="n">
        <v>10320</v>
      </c>
      <c r="E17" s="4" t="n">
        <v>10320</v>
      </c>
      <c r="F17" s="4">
        <f>D17-E17</f>
        <v/>
      </c>
      <c r="G17">
        <f>IF(F17=0,"Paid",IF(C17&gt;=$J$2,"Current",IF($J$2-C17&lt;=30,"1-30",IF($J$2-C17&lt;=60,"31-60","61+"))))</f>
        <v/>
      </c>
    </row>
    <row r="18">
      <c r="A18" t="inlineStr">
        <is>
          <t>BILL-2016</t>
        </is>
      </c>
      <c r="B18" t="inlineStr">
        <is>
          <t>Harbour Paint &amp; Finishes</t>
        </is>
      </c>
      <c r="C18" s="6" t="n">
        <v>46331</v>
      </c>
      <c r="D18" s="4" t="n">
        <v>11398</v>
      </c>
      <c r="E18" s="4" t="n">
        <v>10477</v>
      </c>
      <c r="F18" s="4">
        <f>D18-E18</f>
        <v/>
      </c>
      <c r="G18">
        <f>IF(F18=0,"Paid",IF(C18&gt;=$J$2,"Current",IF($J$2-C18&lt;=30,"1-30",IF($J$2-C18&lt;=60,"31-60","61+"))))</f>
        <v/>
      </c>
    </row>
    <row r="19">
      <c r="A19" t="inlineStr">
        <is>
          <t>BILL-2017</t>
        </is>
      </c>
      <c r="B19" t="inlineStr">
        <is>
          <t>Capital Drywall</t>
        </is>
      </c>
      <c r="C19" s="6" t="n">
        <v>46336</v>
      </c>
      <c r="D19" s="4" t="n">
        <v>4984</v>
      </c>
      <c r="E19" s="4" t="n">
        <v>4984</v>
      </c>
      <c r="F19" s="4">
        <f>D19-E19</f>
        <v/>
      </c>
      <c r="G19">
        <f>IF(F19=0,"Paid",IF(C19&gt;=$J$2,"Current",IF($J$2-C19&lt;=30,"1-30",IF($J$2-C19&lt;=60,"31-60","61+"))))</f>
        <v/>
      </c>
    </row>
    <row r="20">
      <c r="A20" t="inlineStr">
        <is>
          <t>BILL-2018</t>
        </is>
      </c>
      <c r="B20" t="inlineStr">
        <is>
          <t>Pacific Concrete Ltd.</t>
        </is>
      </c>
      <c r="C20" s="6" t="n">
        <v>46282</v>
      </c>
      <c r="D20" s="4" t="n">
        <v>2770</v>
      </c>
      <c r="E20" s="4" t="n">
        <v>2770</v>
      </c>
      <c r="F20" s="4">
        <f>D20-E20</f>
        <v/>
      </c>
      <c r="G20">
        <f>IF(F20=0,"Paid",IF(C20&gt;=$J$2,"Current",IF($J$2-C20&lt;=30,"1-30",IF($J$2-C20&lt;=60,"31-60","61+"))))</f>
        <v/>
      </c>
    </row>
    <row r="21">
      <c r="A21" t="inlineStr">
        <is>
          <t>BILL-2019</t>
        </is>
      </c>
      <c r="B21" t="inlineStr">
        <is>
          <t>Peninsula Scaffolding</t>
        </is>
      </c>
      <c r="C21" s="6" t="n">
        <v>46337</v>
      </c>
      <c r="D21" s="4" t="n">
        <v>19707</v>
      </c>
      <c r="E21" s="4" t="n">
        <v>19707</v>
      </c>
      <c r="F21" s="4">
        <f>D21-E21</f>
        <v/>
      </c>
      <c r="G21">
        <f>IF(F21=0,"Paid",IF(C21&gt;=$J$2,"Current",IF($J$2-C21&lt;=30,"1-30",IF($J$2-C21&lt;=60,"31-60","61+"))))</f>
        <v/>
      </c>
    </row>
    <row r="22">
      <c r="A22" t="inlineStr">
        <is>
          <t>BILL-2020</t>
        </is>
      </c>
      <c r="B22" t="inlineStr">
        <is>
          <t>Peninsula Scaffolding</t>
        </is>
      </c>
      <c r="C22" s="6" t="n">
        <v>46270</v>
      </c>
      <c r="D22" s="4" t="n">
        <v>14322</v>
      </c>
      <c r="E22" s="4" t="n">
        <v>14322</v>
      </c>
      <c r="F22" s="4">
        <f>D22-E22</f>
        <v/>
      </c>
      <c r="G22">
        <f>IF(F22=0,"Paid",IF(C22&gt;=$J$2,"Current",IF($J$2-C22&lt;=30,"1-30",IF($J$2-C22&lt;=60,"31-60","61+"))))</f>
        <v/>
      </c>
    </row>
    <row r="23">
      <c r="A23" t="inlineStr">
        <is>
          <t>BILL-2021</t>
        </is>
      </c>
      <c r="B23" t="inlineStr">
        <is>
          <t>Pacific Concrete Ltd.</t>
        </is>
      </c>
      <c r="C23" s="6" t="n">
        <v>46292</v>
      </c>
      <c r="D23" s="4" t="n">
        <v>16111</v>
      </c>
      <c r="E23" s="4" t="n">
        <v>0</v>
      </c>
      <c r="F23" s="4">
        <f>D23-E23</f>
        <v/>
      </c>
      <c r="G23">
        <f>IF(F23=0,"Paid",IF(C23&gt;=$J$2,"Current",IF($J$2-C23&lt;=30,"1-30",IF($J$2-C23&lt;=60,"31-60","61+"))))</f>
        <v/>
      </c>
    </row>
    <row r="24">
      <c r="A24" t="inlineStr">
        <is>
          <t>BILL-2022</t>
        </is>
      </c>
      <c r="B24" t="inlineStr">
        <is>
          <t>West Coast Electrical</t>
        </is>
      </c>
      <c r="C24" s="6" t="n">
        <v>46311</v>
      </c>
      <c r="D24" s="4" t="n">
        <v>7542</v>
      </c>
      <c r="E24" s="4" t="n">
        <v>7542</v>
      </c>
      <c r="F24" s="4">
        <f>D24-E24</f>
        <v/>
      </c>
      <c r="G24">
        <f>IF(F24=0,"Paid",IF(C24&gt;=$J$2,"Current",IF($J$2-C24&lt;=30,"1-30",IF($J$2-C24&lt;=60,"31-60","61+"))))</f>
        <v/>
      </c>
    </row>
    <row r="25">
      <c r="A25" t="inlineStr">
        <is>
          <t>BILL-2023</t>
        </is>
      </c>
      <c r="B25" t="inlineStr">
        <is>
          <t>Island Lumber Supply</t>
        </is>
      </c>
      <c r="C25" s="6" t="n">
        <v>46313</v>
      </c>
      <c r="D25" s="4" t="n">
        <v>3287</v>
      </c>
      <c r="E25" s="4" t="n">
        <v>3287</v>
      </c>
      <c r="F25" s="4">
        <f>D25-E25</f>
        <v/>
      </c>
      <c r="G25">
        <f>IF(F25=0,"Paid",IF(C25&gt;=$J$2,"Current",IF($J$2-C25&lt;=30,"1-30",IF($J$2-C25&lt;=60,"31-60","61+"))))</f>
        <v/>
      </c>
    </row>
    <row r="26">
      <c r="A26" t="inlineStr">
        <is>
          <t>BILL-2024</t>
        </is>
      </c>
      <c r="B26" t="inlineStr">
        <is>
          <t>Capital Drywall</t>
        </is>
      </c>
      <c r="C26" s="6" t="n">
        <v>46303</v>
      </c>
      <c r="D26" s="4" t="n">
        <v>20786</v>
      </c>
      <c r="E26" s="4" t="n">
        <v>10338</v>
      </c>
      <c r="F26" s="4">
        <f>D26-E26</f>
        <v/>
      </c>
      <c r="G26">
        <f>IF(F26=0,"Paid",IF(C26&gt;=$J$2,"Current",IF($J$2-C26&lt;=30,"1-30",IF($J$2-C26&lt;=60,"31-60","61+"))))</f>
        <v/>
      </c>
    </row>
    <row r="28">
      <c r="A28" s="3" t="inlineStr">
        <is>
          <t>Bucket</t>
        </is>
      </c>
      <c r="B28" s="3" t="inlineStr">
        <is>
          <t>Outstanding</t>
        </is>
      </c>
    </row>
    <row r="29">
      <c r="A29" t="inlineStr">
        <is>
          <t>Current</t>
        </is>
      </c>
      <c r="B29" s="4">
        <f>SUMIFS($F$3:$F$26,$G$3:$G$26,$A29)</f>
        <v/>
      </c>
    </row>
    <row r="30">
      <c r="A30" t="inlineStr">
        <is>
          <t>1-30</t>
        </is>
      </c>
      <c r="B30" s="4">
        <f>SUMIFS($F$3:$F$26,$G$3:$G$26,$A30)</f>
        <v/>
      </c>
    </row>
    <row r="31">
      <c r="A31" t="inlineStr">
        <is>
          <t>31-60</t>
        </is>
      </c>
      <c r="B31" s="4">
        <f>SUMIFS($F$3:$F$26,$G$3:$G$26,$A31)</f>
        <v/>
      </c>
    </row>
    <row r="32">
      <c r="A32" t="inlineStr">
        <is>
          <t>61+</t>
        </is>
      </c>
      <c r="B32" s="4">
        <f>SUMIFS($F$3:$F$26,$G$3:$G$26,$A32)</f>
        <v/>
      </c>
    </row>
    <row r="33">
      <c r="A33" s="3" t="inlineStr">
        <is>
          <t>Total</t>
        </is>
      </c>
      <c r="B33" s="4">
        <f>SUM(B29:B32)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Cash position — opening + collected - paid</t>
        </is>
      </c>
      <c r="B1" s="2" t="n"/>
    </row>
    <row r="3">
      <c r="A3" t="inlineStr">
        <is>
          <t>Opening bank balance (2026-05-01)</t>
        </is>
      </c>
      <c r="B3" s="4" t="n">
        <v>84500</v>
      </c>
    </row>
    <row r="4">
      <c r="A4" t="inlineStr">
        <is>
          <t>AR collected (paid amounts)</t>
        </is>
      </c>
      <c r="B4" s="4">
        <f>SUM(AR_Aging!$F$3:$F$32)</f>
        <v/>
      </c>
    </row>
    <row r="5">
      <c r="A5" t="inlineStr">
        <is>
          <t>AP paid</t>
        </is>
      </c>
      <c r="B5" s="4">
        <f>SUM(AP_Aging!$E$3:$E$26)</f>
        <v/>
      </c>
    </row>
    <row r="6">
      <c r="A6" s="3" t="inlineStr">
        <is>
          <t>Cash on hand</t>
        </is>
      </c>
      <c r="B6" s="7">
        <f>B3+B4-B5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1" t="inlineStr">
        <is>
          <t>Tie-out checks — every row must read TRUE</t>
        </is>
      </c>
      <c r="B1" s="2" t="n"/>
    </row>
    <row r="2">
      <c r="A2" s="3" t="inlineStr">
        <is>
          <t>Check</t>
        </is>
      </c>
      <c r="B2" s="3" t="inlineStr">
        <is>
          <t>Result</t>
        </is>
      </c>
    </row>
    <row r="3">
      <c r="A3" t="inlineStr">
        <is>
          <t>PL YTD revenue = raw revenue rows</t>
        </is>
      </c>
      <c r="B3">
        <f>ROUND(Monthly_PL!H11-(SUMIFS(Raw_QBO!$C$2:$C$500,Raw_QBO!$B$2:$B$500,"Revenue - Residential")+SUMIFS(Raw_QBO!$C$2:$C$500,Raw_QBO!$B$2:$B$500,"Revenue - Commercial")),2)=0</f>
        <v/>
      </c>
    </row>
    <row r="4">
      <c r="A4" t="inlineStr">
        <is>
          <t>PL YTD costs = raw total - raw revenue</t>
        </is>
      </c>
      <c r="B4">
        <f>ROUND(Monthly_PL!H12-(SUM(Raw_QBO!$C$2:$C$500)-(SUMIFS(Raw_QBO!$C$2:$C$500,Raw_QBO!$B$2:$B$500,"Revenue - Residential")+SUMIFS(Raw_QBO!$C$2:$C$500,Raw_QBO!$B$2:$B$500,"Revenue - Commercial"))),2)=0</f>
        <v/>
      </c>
    </row>
    <row r="5">
      <c r="A5" t="inlineStr">
        <is>
          <t>AR bucket total = AR outstanding</t>
        </is>
      </c>
      <c r="B5">
        <f>ROUND(AR_Aging!B39-SUM(AR_Aging!G3:G32),2)=0</f>
        <v/>
      </c>
    </row>
    <row r="6">
      <c r="A6" t="inlineStr">
        <is>
          <t>AP bucket total = AP outstanding</t>
        </is>
      </c>
      <c r="B6">
        <f>ROUND(AP_Aging!B33-SUM(AP_Aging!F3:F26),2)=0</f>
        <v/>
      </c>
    </row>
    <row r="7">
      <c r="A7" t="inlineStr">
        <is>
          <t>Dashboard revenue = PL YTD revenue</t>
        </is>
      </c>
      <c r="B7">
        <f>Dashboard!B3=Monthly_PL!H11</f>
        <v/>
      </c>
    </row>
    <row r="8">
      <c r="A8" t="inlineStr">
        <is>
          <t>Dashboard cash = Cash sheet</t>
        </is>
      </c>
      <c r="B8">
        <f>Dashboard!B5=Cash!B6</f>
        <v/>
      </c>
    </row>
    <row r="9">
      <c r="A9" t="inlineStr">
        <is>
          <t>Gross margin within 0-100%</t>
        </is>
      </c>
      <c r="B9">
        <f>AND(Monthly_PL!H14&gt;=0,Monthly_PL!H14&lt;=1)</f>
        <v/>
      </c>
    </row>
    <row r="10">
      <c r="A10" t="inlineStr">
        <is>
          <t>No negative revenue month</t>
        </is>
      </c>
      <c r="B10">
        <f>MIN(Monthly_PL!B11:G11)&gt;=0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2026-10-25T02:41:11+00:00Z</dcterms:created>
  <dcterms:modified xmlns:dcterms="http://purl.org/dc/terms/" xmlns:xsi="http://www.w3.org/2001/XMLSchema-instance" xsi:type="dcterms:W3CDTF">2026-10-25T02:41:11+00:00Z</dcterms:modified>
</cp:coreProperties>
</file>