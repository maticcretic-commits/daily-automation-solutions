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Movements" sheetId="4" state="visible" r:id="rId4"/>
    <sheet xmlns:r="http://schemas.openxmlformats.org/officeDocument/2006/relationships" name="Raw_Shifts" sheetId="5" state="visible" r:id="rId5"/>
    <sheet xmlns:r="http://schemas.openxmlformats.org/officeDocument/2006/relationships" name="Staff" sheetId="6" state="visible" r:id="rId6"/>
    <sheet xmlns:r="http://schemas.openxmlformats.org/officeDocument/2006/relationships" name="Orders" sheetId="7" state="visible" r:id="rId7"/>
    <sheet xmlns:r="http://schemas.openxmlformats.org/officeDocument/2006/relationships" name="Weekly" sheetId="8" state="visible" r:id="rId8"/>
    <sheet xmlns:r="http://schemas.openxmlformats.org/officeDocument/2006/relationships" name="Assumptions" sheetId="9" state="visible" r:id="rId9"/>
    <sheet xmlns:r="http://schemas.openxmlformats.org/officeDocument/2006/relationships" name="Checks" sheetId="10" state="visible" r:id="rId10"/>
  </sheets>
  <definedNames>
    <definedName name="_xlnm._FilterDatabase" localSheetId="2" hidden="1">'Inventory'!$A$1:$M$25</definedName>
    <definedName name="_xlnm._FilterDatabase" localSheetId="3" hidden="1">'Movements'!$A$1:$F$169</definedName>
    <definedName name="_xlnm._FilterDatabase" localSheetId="4" hidden="1">'Raw_Shifts'!$A$1:$G$121</definedName>
    <definedName name="_xlnm._FilterDatabase" localSheetId="5" hidden="1">'Staff'!$A$1:$H$11</definedName>
    <definedName name="_xlnm._FilterDatabase" localSheetId="6" hidden="1">'Orders'!$A$1:$J$97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color rgb="00000000"/>
      <sz val="11"/>
    </font>
    <font>
      <b val="1"/>
      <color rgb="001F3864"/>
      <sz val="14"/>
    </font>
    <font>
      <i val="1"/>
      <color rgb="00595959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2" fontId="6" fillId="0" borderId="0" pivotButton="0" quotePrefix="0" xfId="0"/>
    <xf numFmtId="165" fontId="6" fillId="0" borderId="0" pivotButton="0" quotePrefix="0" xfId="0"/>
    <xf numFmtId="1" fontId="6" fillId="0" borderId="0" pivotButton="0" quotePrefix="0" xfId="0"/>
    <xf numFmtId="0" fontId="7" fillId="2" borderId="0" pivotButton="0" quotePrefix="0" xfId="0"/>
    <xf numFmtId="3" fontId="0" fillId="0" borderId="0" pivotButton="0" quotePrefix="0" xfId="0"/>
    <xf numFmtId="3" fontId="5" fillId="3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5" fillId="3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Value by Product (Rs)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'Inventory'!$A$2:$A$25</f>
            </numRef>
          </cat>
          <val>
            <numRef>
              <f>'Inventory'!$K$2:$K$25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Overtime Hours by Employee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'Staff'!F1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'Staff'!$A$2:$A$11</f>
            </numRef>
          </cat>
          <val>
            <numRef>
              <f>'Staff'!$F$2:$F$11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Value by Week (Rs)</a:t>
            </a:r>
          </a:p>
        </rich>
      </tx>
    </title>
    <plotArea>
      <lineChart>
        <grouping val="standard"/>
        <ser>
          <idx val="0"/>
          <order val="0"/>
          <tx>
            <strRef>
              <f>'Weekly'!C1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'Weekly'!$A$2:$A$9</f>
            </numRef>
          </cat>
          <val>
            <numRef>
              <f>'Weekly'!$C$2:$C$9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OpsPulse — Weekly Operations Dashboard (Mehta Trading Co., Mumbai)</t>
        </is>
      </c>
    </row>
    <row r="2">
      <c r="A2" s="2" t="inlineStr">
        <is>
          <t>Demo workbook built around an operations-dashboard brief: weekly CSV</t>
        </is>
      </c>
    </row>
    <row r="3">
      <c r="A3" s="2" t="inlineStr">
        <is>
          <t>exports for product movements, shift schedules and order fulfilment,</t>
        </is>
      </c>
    </row>
    <row r="4">
      <c r="A4" s="2" t="inlineStr">
        <is>
          <t>turned into one refreshable dashboard for inventory, staff and orders.</t>
        </is>
      </c>
    </row>
    <row r="5">
      <c r="A5" s="2" t="inlineStr"/>
    </row>
    <row r="6">
      <c r="A6" s="2" t="inlineStr">
        <is>
          <t>How to use: drop each week's new CSV rows into Movements / Raw_Shifts</t>
        </is>
      </c>
    </row>
    <row r="7">
      <c r="A7" s="2" t="inlineStr">
        <is>
          <t>(extend the formula ranges) / Orders, keeping the same columns. Every</t>
        </is>
      </c>
    </row>
    <row r="8">
      <c r="A8" s="2" t="inlineStr">
        <is>
          <t>derived figure — stock on hand, reorder flags, overtime, fulfilment</t>
        </is>
      </c>
    </row>
    <row r="9">
      <c r="A9" s="2" t="inlineStr">
        <is>
          <t>days, weekly summaries, dashboard KPIs and Checks — is a live formula.</t>
        </is>
      </c>
    </row>
    <row r="10">
      <c r="A10" s="2" t="inlineStr">
        <is>
          <t>Change the standards on the Assumptions sheet and the whole workbook</t>
        </is>
      </c>
    </row>
    <row r="11">
      <c r="A11" s="2" t="inlineStr">
        <is>
          <t>recomputes. No hard-coded totals anywhere.</t>
        </is>
      </c>
    </row>
    <row r="12">
      <c r="A12" s="2" t="inlineStr"/>
    </row>
    <row r="13">
      <c r="A13" s="2" t="inlineStr">
        <is>
          <t>Standards: standard shift 8 hours; overtime = worked hours above 8;</t>
        </is>
      </c>
    </row>
    <row r="14">
      <c r="A14" s="2" t="inlineStr">
        <is>
          <t>on-time = shipped within 3 days of ordering; REORDER when stock on</t>
        </is>
      </c>
    </row>
    <row r="15">
      <c r="A15" s="2" t="inlineStr">
        <is>
          <t>hand is at or below the product's reorder level.</t>
        </is>
      </c>
    </row>
    <row r="16">
      <c r="A16" s="2" t="inlineStr"/>
    </row>
    <row r="17">
      <c r="A17" s="2" t="inlineStr">
        <is>
          <t>All data are fictional and invented for this demo. No real client</t>
        </is>
      </c>
    </row>
    <row r="18">
      <c r="A18" s="2" t="inlineStr">
        <is>
          <t>data. Money is INR (Rs); period 7 Sep – 31 Oct 2026 (8 weeks).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OpsPulse — Operations Dashboard (as of 2026-10-31)</t>
        </is>
      </c>
    </row>
    <row r="2">
      <c r="A2" s="4" t="inlineStr">
        <is>
          <t>All values are live formulas over Inventory / Movements / Raw_Shifts / Staff / Orders / Weekly / Assumptions.</t>
        </is>
      </c>
    </row>
    <row r="3">
      <c r="A3" s="5" t="inlineStr">
        <is>
          <t>SKUs in range</t>
        </is>
      </c>
      <c r="B3" s="6">
        <f>COUNTA(Inventory!$A$2:$A$25)</f>
        <v/>
      </c>
    </row>
    <row r="4">
      <c r="A4" s="5" t="inlineStr">
        <is>
          <t>SKUs needing reorder</t>
        </is>
      </c>
      <c r="B4" s="6">
        <f>COUNTIF(Inventory!$M$2:$M$25,"REORDER")</f>
        <v/>
      </c>
    </row>
    <row r="5">
      <c r="A5" s="5" t="inlineStr">
        <is>
          <t>Total stock value (Rs)</t>
        </is>
      </c>
      <c r="B5" s="6">
        <f>SUM(Inventory!$K$2:$K$25)</f>
        <v/>
      </c>
    </row>
    <row r="6">
      <c r="A6" s="5" t="inlineStr">
        <is>
          <t>Total stock on hand (units)</t>
        </is>
      </c>
      <c r="B6" s="6">
        <f>SUM(Inventory!$I$2:$I$25)</f>
        <v/>
      </c>
    </row>
    <row r="7">
      <c r="A7" s="5" t="inlineStr">
        <is>
          <t>Orders (8 weeks)</t>
        </is>
      </c>
      <c r="B7" s="6">
        <f>SUM(Weekly!$B$2:$B$9)</f>
        <v/>
      </c>
    </row>
    <row r="8">
      <c r="A8" s="5" t="inlineStr">
        <is>
          <t>Order value (Rs)</t>
        </is>
      </c>
      <c r="B8" s="6">
        <f>SUM(Weekly!$C$2:$C$9)</f>
        <v/>
      </c>
    </row>
    <row r="9">
      <c r="A9" s="5" t="inlineStr">
        <is>
          <t>On-time fulfilment</t>
        </is>
      </c>
      <c r="B9" s="7">
        <f>IF($B$7=0,0,SUM(Weekly!$D$2:$D$9)/$B$7)</f>
        <v/>
      </c>
    </row>
    <row r="10">
      <c r="A10" s="5" t="inlineStr">
        <is>
          <t>Average fulfilment (days)</t>
        </is>
      </c>
      <c r="B10" s="8">
        <f>AVERAGE(Orders!$H$2:$H$97)</f>
        <v/>
      </c>
    </row>
    <row r="11">
      <c r="A11" s="5" t="inlineStr">
        <is>
          <t>Overtime hours</t>
        </is>
      </c>
      <c r="B11" s="9">
        <f>SUM(Weekly!$I$2:$I$9)</f>
        <v/>
      </c>
    </row>
    <row r="12">
      <c r="A12" s="5" t="inlineStr">
        <is>
          <t>Staff utilisation</t>
        </is>
      </c>
      <c r="B12" s="7">
        <f>SUM(Staff!$E$2:$E$11)/SUM(Staff!$D$2:$D$11)</f>
        <v/>
      </c>
    </row>
    <row r="13">
      <c r="A13" s="5" t="inlineStr">
        <is>
          <t>Share of SKUs needing reorder</t>
        </is>
      </c>
      <c r="B13" s="7">
        <f>IF($B$3=0,0,$B$4/$B$3)</f>
        <v/>
      </c>
    </row>
    <row r="14">
      <c r="A14" s="5" t="inlineStr">
        <is>
          <t>Standard shift (hours)</t>
        </is>
      </c>
      <c r="B14" s="9">
        <f>Assumptions!$B$2</f>
        <v/>
      </c>
    </row>
    <row r="15">
      <c r="A15" s="5" t="inlineStr">
        <is>
          <t>On-time target (days)</t>
        </is>
      </c>
      <c r="B15" s="10">
        <f>Assumptions!$B$3</f>
        <v/>
      </c>
    </row>
    <row r="16">
      <c r="A16" s="4" t="inlineStr">
        <is>
          <t>Charts below are wired to Inventory / Staff / Weekly — they move with the data.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8" customWidth="1" min="4" max="4"/>
    <col width="13" customWidth="1" min="5" max="5"/>
    <col width="10" customWidth="1" min="6" max="6"/>
    <col width="9" customWidth="1" min="7" max="7"/>
    <col width="12" customWidth="1" min="8" max="8"/>
    <col width="13" customWidth="1" min="9" max="9"/>
    <col width="13" customWidth="1" min="10" max="10"/>
    <col width="15" customWidth="1" min="11" max="11"/>
    <col width="13" customWidth="1" min="12" max="12"/>
    <col width="10" customWidth="1" min="13" max="13"/>
  </cols>
  <sheetData>
    <row r="1">
      <c r="A1" s="11" t="inlineStr">
        <is>
          <t>ProductID</t>
        </is>
      </c>
      <c r="B1" s="11" t="inlineStr">
        <is>
          <t>Product</t>
        </is>
      </c>
      <c r="C1" s="11" t="inlineStr">
        <is>
          <t>Category</t>
        </is>
      </c>
      <c r="D1" s="11" t="inlineStr">
        <is>
          <t>Unit</t>
        </is>
      </c>
      <c r="E1" s="11" t="inlineStr">
        <is>
          <t>OpeningStock</t>
        </is>
      </c>
      <c r="F1" s="11" t="inlineStr">
        <is>
          <t>Receipts</t>
        </is>
      </c>
      <c r="G1" s="11" t="inlineStr">
        <is>
          <t>Sales</t>
        </is>
      </c>
      <c r="H1" s="11" t="inlineStr">
        <is>
          <t>Adjustments</t>
        </is>
      </c>
      <c r="I1" s="11" t="inlineStr">
        <is>
          <t>StockOnHand</t>
        </is>
      </c>
      <c r="J1" s="11" t="inlineStr">
        <is>
          <t>UnitCost (Rs)</t>
        </is>
      </c>
      <c r="K1" s="11" t="inlineStr">
        <is>
          <t>StockValue (Rs)</t>
        </is>
      </c>
      <c r="L1" s="11" t="inlineStr">
        <is>
          <t>ReorderLevel</t>
        </is>
      </c>
      <c r="M1" s="11" t="inlineStr">
        <is>
          <t>Status</t>
        </is>
      </c>
    </row>
    <row r="2">
      <c r="A2" t="inlineStr">
        <is>
          <t>P01</t>
        </is>
      </c>
      <c r="B2" t="inlineStr">
        <is>
          <t>Basmati Rice 5kg</t>
        </is>
      </c>
      <c r="C2" t="inlineStr">
        <is>
          <t>FMCG</t>
        </is>
      </c>
      <c r="D2" t="inlineStr">
        <is>
          <t>bag</t>
        </is>
      </c>
      <c r="E2" s="12" t="n">
        <v>180</v>
      </c>
      <c r="F2" s="12">
        <f>SUMIFS(Movements!$E$2:$E$169,Movements!$B$2:$B$169,$A2,Movements!$C$2:$C$169,"Receipt")</f>
        <v/>
      </c>
      <c r="G2" s="12">
        <f>SUMIFS(Movements!$E$2:$E$169,Movements!$B$2:$B$169,$A2,Movements!$C$2:$C$169,"Sale")</f>
        <v/>
      </c>
      <c r="H2" s="12">
        <f>SUMIFS(Movements!$E$2:$E$169,Movements!$B$2:$B$169,$A2,Movements!$C$2:$C$169,"Adjustment")</f>
        <v/>
      </c>
      <c r="I2" s="12">
        <f>$E2+$F2-$G2+$H2</f>
        <v/>
      </c>
      <c r="J2" s="12" t="n">
        <v>420</v>
      </c>
      <c r="K2" s="12">
        <f>$I2*$J2</f>
        <v/>
      </c>
      <c r="L2" s="12" t="n">
        <v>50</v>
      </c>
      <c r="M2">
        <f>IF($I2&lt;=$L2,"REORDER","OK")</f>
        <v/>
      </c>
    </row>
    <row r="3">
      <c r="A3" t="inlineStr">
        <is>
          <t>P02</t>
        </is>
      </c>
      <c r="B3" t="inlineStr">
        <is>
          <t>Mustard Oil 1L</t>
        </is>
      </c>
      <c r="C3" t="inlineStr">
        <is>
          <t>FMCG</t>
        </is>
      </c>
      <c r="D3" t="inlineStr">
        <is>
          <t>bottle</t>
        </is>
      </c>
      <c r="E3" s="12" t="n">
        <v>150</v>
      </c>
      <c r="F3" s="12">
        <f>SUMIFS(Movements!$E$2:$E$169,Movements!$B$2:$B$169,$A3,Movements!$C$2:$C$169,"Receipt")</f>
        <v/>
      </c>
      <c r="G3" s="12">
        <f>SUMIFS(Movements!$E$2:$E$169,Movements!$B$2:$B$169,$A3,Movements!$C$2:$C$169,"Sale")</f>
        <v/>
      </c>
      <c r="H3" s="12">
        <f>SUMIFS(Movements!$E$2:$E$169,Movements!$B$2:$B$169,$A3,Movements!$C$2:$C$169,"Adjustment")</f>
        <v/>
      </c>
      <c r="I3" s="12">
        <f>$E3+$F3-$G3+$H3</f>
        <v/>
      </c>
      <c r="J3" s="12" t="n">
        <v>165</v>
      </c>
      <c r="K3" s="12">
        <f>$I3*$J3</f>
        <v/>
      </c>
      <c r="L3" s="12" t="n">
        <v>45</v>
      </c>
      <c r="M3">
        <f>IF($I3&lt;=$L3,"REORDER","OK")</f>
        <v/>
      </c>
    </row>
    <row r="4">
      <c r="A4" t="inlineStr">
        <is>
          <t>P03</t>
        </is>
      </c>
      <c r="B4" t="inlineStr">
        <is>
          <t>Wheat Flour 10kg</t>
        </is>
      </c>
      <c r="C4" t="inlineStr">
        <is>
          <t>FMCG</t>
        </is>
      </c>
      <c r="D4" t="inlineStr">
        <is>
          <t>bag</t>
        </is>
      </c>
      <c r="E4" s="12" t="n">
        <v>200</v>
      </c>
      <c r="F4" s="12">
        <f>SUMIFS(Movements!$E$2:$E$169,Movements!$B$2:$B$169,$A4,Movements!$C$2:$C$169,"Receipt")</f>
        <v/>
      </c>
      <c r="G4" s="12">
        <f>SUMIFS(Movements!$E$2:$E$169,Movements!$B$2:$B$169,$A4,Movements!$C$2:$C$169,"Sale")</f>
        <v/>
      </c>
      <c r="H4" s="12">
        <f>SUMIFS(Movements!$E$2:$E$169,Movements!$B$2:$B$169,$A4,Movements!$C$2:$C$169,"Adjustment")</f>
        <v/>
      </c>
      <c r="I4" s="12">
        <f>$E4+$F4-$G4+$H4</f>
        <v/>
      </c>
      <c r="J4" s="12" t="n">
        <v>380</v>
      </c>
      <c r="K4" s="12">
        <f>$I4*$J4</f>
        <v/>
      </c>
      <c r="L4" s="12" t="n">
        <v>55</v>
      </c>
      <c r="M4">
        <f>IF($I4&lt;=$L4,"REORDER","OK")</f>
        <v/>
      </c>
    </row>
    <row r="5">
      <c r="A5" t="inlineStr">
        <is>
          <t>P04</t>
        </is>
      </c>
      <c r="B5" t="inlineStr">
        <is>
          <t>Sugar 5kg</t>
        </is>
      </c>
      <c r="C5" t="inlineStr">
        <is>
          <t>FMCG</t>
        </is>
      </c>
      <c r="D5" t="inlineStr">
        <is>
          <t>bag</t>
        </is>
      </c>
      <c r="E5" s="12" t="n">
        <v>160</v>
      </c>
      <c r="F5" s="12">
        <f>SUMIFS(Movements!$E$2:$E$169,Movements!$B$2:$B$169,$A5,Movements!$C$2:$C$169,"Receipt")</f>
        <v/>
      </c>
      <c r="G5" s="12">
        <f>SUMIFS(Movements!$E$2:$E$169,Movements!$B$2:$B$169,$A5,Movements!$C$2:$C$169,"Sale")</f>
        <v/>
      </c>
      <c r="H5" s="12">
        <f>SUMIFS(Movements!$E$2:$E$169,Movements!$B$2:$B$169,$A5,Movements!$C$2:$C$169,"Adjustment")</f>
        <v/>
      </c>
      <c r="I5" s="12">
        <f>$E5+$F5-$G5+$H5</f>
        <v/>
      </c>
      <c r="J5" s="12" t="n">
        <v>230</v>
      </c>
      <c r="K5" s="12">
        <f>$I5*$J5</f>
        <v/>
      </c>
      <c r="L5" s="12" t="n">
        <v>40</v>
      </c>
      <c r="M5">
        <f>IF($I5&lt;=$L5,"REORDER","OK")</f>
        <v/>
      </c>
    </row>
    <row r="6">
      <c r="A6" t="inlineStr">
        <is>
          <t>P05</t>
        </is>
      </c>
      <c r="B6" t="inlineStr">
        <is>
          <t>Tea Powder 500g</t>
        </is>
      </c>
      <c r="C6" t="inlineStr">
        <is>
          <t>FMCG</t>
        </is>
      </c>
      <c r="D6" t="inlineStr">
        <is>
          <t>pack</t>
        </is>
      </c>
      <c r="E6" s="12" t="n">
        <v>120</v>
      </c>
      <c r="F6" s="12">
        <f>SUMIFS(Movements!$E$2:$E$169,Movements!$B$2:$B$169,$A6,Movements!$C$2:$C$169,"Receipt")</f>
        <v/>
      </c>
      <c r="G6" s="12">
        <f>SUMIFS(Movements!$E$2:$E$169,Movements!$B$2:$B$169,$A6,Movements!$C$2:$C$169,"Sale")</f>
        <v/>
      </c>
      <c r="H6" s="12">
        <f>SUMIFS(Movements!$E$2:$E$169,Movements!$B$2:$B$169,$A6,Movements!$C$2:$C$169,"Adjustment")</f>
        <v/>
      </c>
      <c r="I6" s="12">
        <f>$E6+$F6-$G6+$H6</f>
        <v/>
      </c>
      <c r="J6" s="12" t="n">
        <v>310</v>
      </c>
      <c r="K6" s="12">
        <f>$I6*$J6</f>
        <v/>
      </c>
      <c r="L6" s="12" t="n">
        <v>35</v>
      </c>
      <c r="M6">
        <f>IF($I6&lt;=$L6,"REORDER","OK")</f>
        <v/>
      </c>
    </row>
    <row r="7">
      <c r="A7" t="inlineStr">
        <is>
          <t>P06</t>
        </is>
      </c>
      <c r="B7" t="inlineStr">
        <is>
          <t>Toor Dal 2kg</t>
        </is>
      </c>
      <c r="C7" t="inlineStr">
        <is>
          <t>FMCG</t>
        </is>
      </c>
      <c r="D7" t="inlineStr">
        <is>
          <t>pack</t>
        </is>
      </c>
      <c r="E7" s="12" t="n">
        <v>140</v>
      </c>
      <c r="F7" s="12">
        <f>SUMIFS(Movements!$E$2:$E$169,Movements!$B$2:$B$169,$A7,Movements!$C$2:$C$169,"Receipt")</f>
        <v/>
      </c>
      <c r="G7" s="12">
        <f>SUMIFS(Movements!$E$2:$E$169,Movements!$B$2:$B$169,$A7,Movements!$C$2:$C$169,"Sale")</f>
        <v/>
      </c>
      <c r="H7" s="12">
        <f>SUMIFS(Movements!$E$2:$E$169,Movements!$B$2:$B$169,$A7,Movements!$C$2:$C$169,"Adjustment")</f>
        <v/>
      </c>
      <c r="I7" s="12">
        <f>$E7+$F7-$G7+$H7</f>
        <v/>
      </c>
      <c r="J7" s="12" t="n">
        <v>285</v>
      </c>
      <c r="K7" s="12">
        <f>$I7*$J7</f>
        <v/>
      </c>
      <c r="L7" s="12" t="n">
        <v>40</v>
      </c>
      <c r="M7">
        <f>IF($I7&lt;=$L7,"REORDER","OK")</f>
        <v/>
      </c>
    </row>
    <row r="8">
      <c r="A8" t="inlineStr">
        <is>
          <t>P07</t>
        </is>
      </c>
      <c r="B8" t="inlineStr">
        <is>
          <t>LED Bulb 9W</t>
        </is>
      </c>
      <c r="C8" t="inlineStr">
        <is>
          <t>Electronics</t>
        </is>
      </c>
      <c r="D8" t="inlineStr">
        <is>
          <t>unit</t>
        </is>
      </c>
      <c r="E8" s="12" t="n">
        <v>220</v>
      </c>
      <c r="F8" s="12">
        <f>SUMIFS(Movements!$E$2:$E$169,Movements!$B$2:$B$169,$A8,Movements!$C$2:$C$169,"Receipt")</f>
        <v/>
      </c>
      <c r="G8" s="12">
        <f>SUMIFS(Movements!$E$2:$E$169,Movements!$B$2:$B$169,$A8,Movements!$C$2:$C$169,"Sale")</f>
        <v/>
      </c>
      <c r="H8" s="12">
        <f>SUMIFS(Movements!$E$2:$E$169,Movements!$B$2:$B$169,$A8,Movements!$C$2:$C$169,"Adjustment")</f>
        <v/>
      </c>
      <c r="I8" s="12">
        <f>$E8+$F8-$G8+$H8</f>
        <v/>
      </c>
      <c r="J8" s="12" t="n">
        <v>95</v>
      </c>
      <c r="K8" s="12">
        <f>$I8*$J8</f>
        <v/>
      </c>
      <c r="L8" s="12" t="n">
        <v>60</v>
      </c>
      <c r="M8">
        <f>IF($I8&lt;=$L8,"REORDER","OK")</f>
        <v/>
      </c>
    </row>
    <row r="9">
      <c r="A9" t="inlineStr">
        <is>
          <t>P08</t>
        </is>
      </c>
      <c r="B9" t="inlineStr">
        <is>
          <t>Extension Board 5m</t>
        </is>
      </c>
      <c r="C9" t="inlineStr">
        <is>
          <t>Electronics</t>
        </is>
      </c>
      <c r="D9" t="inlineStr">
        <is>
          <t>unit</t>
        </is>
      </c>
      <c r="E9" s="12" t="n">
        <v>90</v>
      </c>
      <c r="F9" s="12">
        <f>SUMIFS(Movements!$E$2:$E$169,Movements!$B$2:$B$169,$A9,Movements!$C$2:$C$169,"Receipt")</f>
        <v/>
      </c>
      <c r="G9" s="12">
        <f>SUMIFS(Movements!$E$2:$E$169,Movements!$B$2:$B$169,$A9,Movements!$C$2:$C$169,"Sale")</f>
        <v/>
      </c>
      <c r="H9" s="12">
        <f>SUMIFS(Movements!$E$2:$E$169,Movements!$B$2:$B$169,$A9,Movements!$C$2:$C$169,"Adjustment")</f>
        <v/>
      </c>
      <c r="I9" s="12">
        <f>$E9+$F9-$G9+$H9</f>
        <v/>
      </c>
      <c r="J9" s="12" t="n">
        <v>340</v>
      </c>
      <c r="K9" s="12">
        <f>$I9*$J9</f>
        <v/>
      </c>
      <c r="L9" s="12" t="n">
        <v>30</v>
      </c>
      <c r="M9">
        <f>IF($I9&lt;=$L9,"REORDER","OK")</f>
        <v/>
      </c>
    </row>
    <row r="10">
      <c r="A10" t="inlineStr">
        <is>
          <t>P09</t>
        </is>
      </c>
      <c r="B10" t="inlineStr">
        <is>
          <t>USB Cable 1m</t>
        </is>
      </c>
      <c r="C10" t="inlineStr">
        <is>
          <t>Electronics</t>
        </is>
      </c>
      <c r="D10" t="inlineStr">
        <is>
          <t>unit</t>
        </is>
      </c>
      <c r="E10" s="12" t="n">
        <v>260</v>
      </c>
      <c r="F10" s="12">
        <f>SUMIFS(Movements!$E$2:$E$169,Movements!$B$2:$B$169,$A10,Movements!$C$2:$C$169,"Receipt")</f>
        <v/>
      </c>
      <c r="G10" s="12">
        <f>SUMIFS(Movements!$E$2:$E$169,Movements!$B$2:$B$169,$A10,Movements!$C$2:$C$169,"Sale")</f>
        <v/>
      </c>
      <c r="H10" s="12">
        <f>SUMIFS(Movements!$E$2:$E$169,Movements!$B$2:$B$169,$A10,Movements!$C$2:$C$169,"Adjustment")</f>
        <v/>
      </c>
      <c r="I10" s="12">
        <f>$E10+$F10-$G10+$H10</f>
        <v/>
      </c>
      <c r="J10" s="12" t="n">
        <v>85</v>
      </c>
      <c r="K10" s="12">
        <f>$I10*$J10</f>
        <v/>
      </c>
      <c r="L10" s="12" t="n">
        <v>70</v>
      </c>
      <c r="M10">
        <f>IF($I10&lt;=$L10,"REORDER","OK")</f>
        <v/>
      </c>
    </row>
    <row r="11">
      <c r="A11" t="inlineStr">
        <is>
          <t>P10</t>
        </is>
      </c>
      <c r="B11" t="inlineStr">
        <is>
          <t>Table Fan 400mm</t>
        </is>
      </c>
      <c r="C11" t="inlineStr">
        <is>
          <t>Electronics</t>
        </is>
      </c>
      <c r="D11" t="inlineStr">
        <is>
          <t>unit</t>
        </is>
      </c>
      <c r="E11" s="12" t="n">
        <v>70</v>
      </c>
      <c r="F11" s="12">
        <f>SUMIFS(Movements!$E$2:$E$169,Movements!$B$2:$B$169,$A11,Movements!$C$2:$C$169,"Receipt")</f>
        <v/>
      </c>
      <c r="G11" s="12">
        <f>SUMIFS(Movements!$E$2:$E$169,Movements!$B$2:$B$169,$A11,Movements!$C$2:$C$169,"Sale")</f>
        <v/>
      </c>
      <c r="H11" s="12">
        <f>SUMIFS(Movements!$E$2:$E$169,Movements!$B$2:$B$169,$A11,Movements!$C$2:$C$169,"Adjustment")</f>
        <v/>
      </c>
      <c r="I11" s="12">
        <f>$E11+$F11-$G11+$H11</f>
        <v/>
      </c>
      <c r="J11" s="12" t="n">
        <v>1450</v>
      </c>
      <c r="K11" s="12">
        <f>$I11*$J11</f>
        <v/>
      </c>
      <c r="L11" s="12" t="n">
        <v>25</v>
      </c>
      <c r="M11">
        <f>IF($I11&lt;=$L11,"REORDER","OK")</f>
        <v/>
      </c>
    </row>
    <row r="12">
      <c r="A12" t="inlineStr">
        <is>
          <t>P11</t>
        </is>
      </c>
      <c r="B12" t="inlineStr">
        <is>
          <t>Mixer Grinder 750W</t>
        </is>
      </c>
      <c r="C12" t="inlineStr">
        <is>
          <t>Electronics</t>
        </is>
      </c>
      <c r="D12" t="inlineStr">
        <is>
          <t>unit</t>
        </is>
      </c>
      <c r="E12" s="12" t="n">
        <v>55</v>
      </c>
      <c r="F12" s="12">
        <f>SUMIFS(Movements!$E$2:$E$169,Movements!$B$2:$B$169,$A12,Movements!$C$2:$C$169,"Receipt")</f>
        <v/>
      </c>
      <c r="G12" s="12">
        <f>SUMIFS(Movements!$E$2:$E$169,Movements!$B$2:$B$169,$A12,Movements!$C$2:$C$169,"Sale")</f>
        <v/>
      </c>
      <c r="H12" s="12">
        <f>SUMIFS(Movements!$E$2:$E$169,Movements!$B$2:$B$169,$A12,Movements!$C$2:$C$169,"Adjustment")</f>
        <v/>
      </c>
      <c r="I12" s="12">
        <f>$E12+$F12-$G12+$H12</f>
        <v/>
      </c>
      <c r="J12" s="12" t="n">
        <v>2850</v>
      </c>
      <c r="K12" s="12">
        <f>$I12*$J12</f>
        <v/>
      </c>
      <c r="L12" s="12" t="n">
        <v>20</v>
      </c>
      <c r="M12">
        <f>IF($I12&lt;=$L12,"REORDER","OK")</f>
        <v/>
      </c>
    </row>
    <row r="13">
      <c r="A13" t="inlineStr">
        <is>
          <t>P12</t>
        </is>
      </c>
      <c r="B13" t="inlineStr">
        <is>
          <t>Iron Box Steam</t>
        </is>
      </c>
      <c r="C13" t="inlineStr">
        <is>
          <t>Electronics</t>
        </is>
      </c>
      <c r="D13" t="inlineStr">
        <is>
          <t>unit</t>
        </is>
      </c>
      <c r="E13" s="12" t="n">
        <v>65</v>
      </c>
      <c r="F13" s="12">
        <f>SUMIFS(Movements!$E$2:$E$169,Movements!$B$2:$B$169,$A13,Movements!$C$2:$C$169,"Receipt")</f>
        <v/>
      </c>
      <c r="G13" s="12">
        <f>SUMIFS(Movements!$E$2:$E$169,Movements!$B$2:$B$169,$A13,Movements!$C$2:$C$169,"Sale")</f>
        <v/>
      </c>
      <c r="H13" s="12">
        <f>SUMIFS(Movements!$E$2:$E$169,Movements!$B$2:$B$169,$A13,Movements!$C$2:$C$169,"Adjustment")</f>
        <v/>
      </c>
      <c r="I13" s="12">
        <f>$E13+$F13-$G13+$H13</f>
        <v/>
      </c>
      <c r="J13" s="12" t="n">
        <v>1180</v>
      </c>
      <c r="K13" s="12">
        <f>$I13*$J13</f>
        <v/>
      </c>
      <c r="L13" s="12" t="n">
        <v>25</v>
      </c>
      <c r="M13">
        <f>IF($I13&lt;=$L13,"REORDER","OK")</f>
        <v/>
      </c>
    </row>
    <row r="14">
      <c r="A14" t="inlineStr">
        <is>
          <t>P13</t>
        </is>
      </c>
      <c r="B14" t="inlineStr">
        <is>
          <t>Cotton Shirt M</t>
        </is>
      </c>
      <c r="C14" t="inlineStr">
        <is>
          <t>Apparel</t>
        </is>
      </c>
      <c r="D14" t="inlineStr">
        <is>
          <t>piece</t>
        </is>
      </c>
      <c r="E14" s="12" t="n">
        <v>110</v>
      </c>
      <c r="F14" s="12">
        <f>SUMIFS(Movements!$E$2:$E$169,Movements!$B$2:$B$169,$A14,Movements!$C$2:$C$169,"Receipt")</f>
        <v/>
      </c>
      <c r="G14" s="12">
        <f>SUMIFS(Movements!$E$2:$E$169,Movements!$B$2:$B$169,$A14,Movements!$C$2:$C$169,"Sale")</f>
        <v/>
      </c>
      <c r="H14" s="12">
        <f>SUMIFS(Movements!$E$2:$E$169,Movements!$B$2:$B$169,$A14,Movements!$C$2:$C$169,"Adjustment")</f>
        <v/>
      </c>
      <c r="I14" s="12">
        <f>$E14+$F14-$G14+$H14</f>
        <v/>
      </c>
      <c r="J14" s="12" t="n">
        <v>520</v>
      </c>
      <c r="K14" s="12">
        <f>$I14*$J14</f>
        <v/>
      </c>
      <c r="L14" s="12" t="n">
        <v>35</v>
      </c>
      <c r="M14">
        <f>IF($I14&lt;=$L14,"REORDER","OK")</f>
        <v/>
      </c>
    </row>
    <row r="15">
      <c r="A15" t="inlineStr">
        <is>
          <t>P14</t>
        </is>
      </c>
      <c r="B15" t="inlineStr">
        <is>
          <t>Denim Jeans 32</t>
        </is>
      </c>
      <c r="C15" t="inlineStr">
        <is>
          <t>Apparel</t>
        </is>
      </c>
      <c r="D15" t="inlineStr">
        <is>
          <t>piece</t>
        </is>
      </c>
      <c r="E15" s="12" t="n">
        <v>95</v>
      </c>
      <c r="F15" s="12">
        <f>SUMIFS(Movements!$E$2:$E$169,Movements!$B$2:$B$169,$A15,Movements!$C$2:$C$169,"Receipt")</f>
        <v/>
      </c>
      <c r="G15" s="12">
        <f>SUMIFS(Movements!$E$2:$E$169,Movements!$B$2:$B$169,$A15,Movements!$C$2:$C$169,"Sale")</f>
        <v/>
      </c>
      <c r="H15" s="12">
        <f>SUMIFS(Movements!$E$2:$E$169,Movements!$B$2:$B$169,$A15,Movements!$C$2:$C$169,"Adjustment")</f>
        <v/>
      </c>
      <c r="I15" s="12">
        <f>$E15+$F15-$G15+$H15</f>
        <v/>
      </c>
      <c r="J15" s="12" t="n">
        <v>890</v>
      </c>
      <c r="K15" s="12">
        <f>$I15*$J15</f>
        <v/>
      </c>
      <c r="L15" s="12" t="n">
        <v>30</v>
      </c>
      <c r="M15">
        <f>IF($I15&lt;=$L15,"REORDER","OK")</f>
        <v/>
      </c>
    </row>
    <row r="16">
      <c r="A16" t="inlineStr">
        <is>
          <t>P15</t>
        </is>
      </c>
      <c r="B16" t="inlineStr">
        <is>
          <t>Kids T-Shirt Set</t>
        </is>
      </c>
      <c r="C16" t="inlineStr">
        <is>
          <t>Apparel</t>
        </is>
      </c>
      <c r="D16" t="inlineStr">
        <is>
          <t>set</t>
        </is>
      </c>
      <c r="E16" s="12" t="n">
        <v>130</v>
      </c>
      <c r="F16" s="12">
        <f>SUMIFS(Movements!$E$2:$E$169,Movements!$B$2:$B$169,$A16,Movements!$C$2:$C$169,"Receipt")</f>
        <v/>
      </c>
      <c r="G16" s="12">
        <f>SUMIFS(Movements!$E$2:$E$169,Movements!$B$2:$B$169,$A16,Movements!$C$2:$C$169,"Sale")</f>
        <v/>
      </c>
      <c r="H16" s="12">
        <f>SUMIFS(Movements!$E$2:$E$169,Movements!$B$2:$B$169,$A16,Movements!$C$2:$C$169,"Adjustment")</f>
        <v/>
      </c>
      <c r="I16" s="12">
        <f>$E16+$F16-$G16+$H16</f>
        <v/>
      </c>
      <c r="J16" s="12" t="n">
        <v>460</v>
      </c>
      <c r="K16" s="12">
        <f>$I16*$J16</f>
        <v/>
      </c>
      <c r="L16" s="12" t="n">
        <v>40</v>
      </c>
      <c r="M16">
        <f>IF($I16&lt;=$L16,"REORDER","OK")</f>
        <v/>
      </c>
    </row>
    <row r="17">
      <c r="A17" t="inlineStr">
        <is>
          <t>P16</t>
        </is>
      </c>
      <c r="B17" t="inlineStr">
        <is>
          <t>Saree Cotton Print</t>
        </is>
      </c>
      <c r="C17" t="inlineStr">
        <is>
          <t>Apparel</t>
        </is>
      </c>
      <c r="D17" t="inlineStr">
        <is>
          <t>piece</t>
        </is>
      </c>
      <c r="E17" s="12" t="n">
        <v>75</v>
      </c>
      <c r="F17" s="12">
        <f>SUMIFS(Movements!$E$2:$E$169,Movements!$B$2:$B$169,$A17,Movements!$C$2:$C$169,"Receipt")</f>
        <v/>
      </c>
      <c r="G17" s="12">
        <f>SUMIFS(Movements!$E$2:$E$169,Movements!$B$2:$B$169,$A17,Movements!$C$2:$C$169,"Sale")</f>
        <v/>
      </c>
      <c r="H17" s="12">
        <f>SUMIFS(Movements!$E$2:$E$169,Movements!$B$2:$B$169,$A17,Movements!$C$2:$C$169,"Adjustment")</f>
        <v/>
      </c>
      <c r="I17" s="12">
        <f>$E17+$F17-$G17+$H17</f>
        <v/>
      </c>
      <c r="J17" s="12" t="n">
        <v>740</v>
      </c>
      <c r="K17" s="12">
        <f>$I17*$J17</f>
        <v/>
      </c>
      <c r="L17" s="12" t="n">
        <v>25</v>
      </c>
      <c r="M17">
        <f>IF($I17&lt;=$L17,"REORDER","OK")</f>
        <v/>
      </c>
    </row>
    <row r="18">
      <c r="A18" t="inlineStr">
        <is>
          <t>P17</t>
        </is>
      </c>
      <c r="B18" t="inlineStr">
        <is>
          <t>Bedsheet King</t>
        </is>
      </c>
      <c r="C18" t="inlineStr">
        <is>
          <t>Apparel</t>
        </is>
      </c>
      <c r="D18" t="inlineStr">
        <is>
          <t>piece</t>
        </is>
      </c>
      <c r="E18" s="12" t="n">
        <v>85</v>
      </c>
      <c r="F18" s="12">
        <f>SUMIFS(Movements!$E$2:$E$169,Movements!$B$2:$B$169,$A18,Movements!$C$2:$C$169,"Receipt")</f>
        <v/>
      </c>
      <c r="G18" s="12">
        <f>SUMIFS(Movements!$E$2:$E$169,Movements!$B$2:$B$169,$A18,Movements!$C$2:$C$169,"Sale")</f>
        <v/>
      </c>
      <c r="H18" s="12">
        <f>SUMIFS(Movements!$E$2:$E$169,Movements!$B$2:$B$169,$A18,Movements!$C$2:$C$169,"Adjustment")</f>
        <v/>
      </c>
      <c r="I18" s="12">
        <f>$E18+$F18-$G18+$H18</f>
        <v/>
      </c>
      <c r="J18" s="12" t="n">
        <v>980</v>
      </c>
      <c r="K18" s="12">
        <f>$I18*$J18</f>
        <v/>
      </c>
      <c r="L18" s="12" t="n">
        <v>30</v>
      </c>
      <c r="M18">
        <f>IF($I18&lt;=$L18,"REORDER","OK")</f>
        <v/>
      </c>
    </row>
    <row r="19">
      <c r="A19" t="inlineStr">
        <is>
          <t>P18</t>
        </is>
      </c>
      <c r="B19" t="inlineStr">
        <is>
          <t>Towel Set x3</t>
        </is>
      </c>
      <c r="C19" t="inlineStr">
        <is>
          <t>Apparel</t>
        </is>
      </c>
      <c r="D19" t="inlineStr">
        <is>
          <t>set</t>
        </is>
      </c>
      <c r="E19" s="12" t="n">
        <v>105</v>
      </c>
      <c r="F19" s="12">
        <f>SUMIFS(Movements!$E$2:$E$169,Movements!$B$2:$B$169,$A19,Movements!$C$2:$C$169,"Receipt")</f>
        <v/>
      </c>
      <c r="G19" s="12">
        <f>SUMIFS(Movements!$E$2:$E$169,Movements!$B$2:$B$169,$A19,Movements!$C$2:$C$169,"Sale")</f>
        <v/>
      </c>
      <c r="H19" s="12">
        <f>SUMIFS(Movements!$E$2:$E$169,Movements!$B$2:$B$169,$A19,Movements!$C$2:$C$169,"Adjustment")</f>
        <v/>
      </c>
      <c r="I19" s="12">
        <f>$E19+$F19-$G19+$H19</f>
        <v/>
      </c>
      <c r="J19" s="12" t="n">
        <v>390</v>
      </c>
      <c r="K19" s="12">
        <f>$I19*$J19</f>
        <v/>
      </c>
      <c r="L19" s="12" t="n">
        <v>35</v>
      </c>
      <c r="M19">
        <f>IF($I19&lt;=$L19,"REORDER","OK")</f>
        <v/>
      </c>
    </row>
    <row r="20">
      <c r="A20" t="inlineStr">
        <is>
          <t>P19</t>
        </is>
      </c>
      <c r="B20" t="inlineStr">
        <is>
          <t>Steel Dinner Set</t>
        </is>
      </c>
      <c r="C20" t="inlineStr">
        <is>
          <t>Home</t>
        </is>
      </c>
      <c r="D20" t="inlineStr">
        <is>
          <t>set</t>
        </is>
      </c>
      <c r="E20" s="12" t="n">
        <v>60</v>
      </c>
      <c r="F20" s="12">
        <f>SUMIFS(Movements!$E$2:$E$169,Movements!$B$2:$B$169,$A20,Movements!$C$2:$C$169,"Receipt")</f>
        <v/>
      </c>
      <c r="G20" s="12">
        <f>SUMIFS(Movements!$E$2:$E$169,Movements!$B$2:$B$169,$A20,Movements!$C$2:$C$169,"Sale")</f>
        <v/>
      </c>
      <c r="H20" s="12">
        <f>SUMIFS(Movements!$E$2:$E$169,Movements!$B$2:$B$169,$A20,Movements!$C$2:$C$169,"Adjustment")</f>
        <v/>
      </c>
      <c r="I20" s="12">
        <f>$E20+$F20-$G20+$H20</f>
        <v/>
      </c>
      <c r="J20" s="12" t="n">
        <v>1650</v>
      </c>
      <c r="K20" s="12">
        <f>$I20*$J20</f>
        <v/>
      </c>
      <c r="L20" s="12" t="n">
        <v>20</v>
      </c>
      <c r="M20">
        <f>IF($I20&lt;=$L20,"REORDER","OK")</f>
        <v/>
      </c>
    </row>
    <row r="21">
      <c r="A21" t="inlineStr">
        <is>
          <t>P20</t>
        </is>
      </c>
      <c r="B21" t="inlineStr">
        <is>
          <t>Pressure Cooker 5L</t>
        </is>
      </c>
      <c r="C21" t="inlineStr">
        <is>
          <t>Home</t>
        </is>
      </c>
      <c r="D21" t="inlineStr">
        <is>
          <t>unit</t>
        </is>
      </c>
      <c r="E21" s="12" t="n">
        <v>80</v>
      </c>
      <c r="F21" s="12">
        <f>SUMIFS(Movements!$E$2:$E$169,Movements!$B$2:$B$169,$A21,Movements!$C$2:$C$169,"Receipt")</f>
        <v/>
      </c>
      <c r="G21" s="12">
        <f>SUMIFS(Movements!$E$2:$E$169,Movements!$B$2:$B$169,$A21,Movements!$C$2:$C$169,"Sale")</f>
        <v/>
      </c>
      <c r="H21" s="12">
        <f>SUMIFS(Movements!$E$2:$E$169,Movements!$B$2:$B$169,$A21,Movements!$C$2:$C$169,"Adjustment")</f>
        <v/>
      </c>
      <c r="I21" s="12">
        <f>$E21+$F21-$G21+$H21</f>
        <v/>
      </c>
      <c r="J21" s="12" t="n">
        <v>1120</v>
      </c>
      <c r="K21" s="12">
        <f>$I21*$J21</f>
        <v/>
      </c>
      <c r="L21" s="12" t="n">
        <v>25</v>
      </c>
      <c r="M21">
        <f>IF($I21&lt;=$L21,"REORDER","OK")</f>
        <v/>
      </c>
    </row>
    <row r="22">
      <c r="A22" t="inlineStr">
        <is>
          <t>P21</t>
        </is>
      </c>
      <c r="B22" t="inlineStr">
        <is>
          <t>Storage Box 40L</t>
        </is>
      </c>
      <c r="C22" t="inlineStr">
        <is>
          <t>Home</t>
        </is>
      </c>
      <c r="D22" t="inlineStr">
        <is>
          <t>unit</t>
        </is>
      </c>
      <c r="E22" s="12" t="n">
        <v>150</v>
      </c>
      <c r="F22" s="12">
        <f>SUMIFS(Movements!$E$2:$E$169,Movements!$B$2:$B$169,$A22,Movements!$C$2:$C$169,"Receipt")</f>
        <v/>
      </c>
      <c r="G22" s="12">
        <f>SUMIFS(Movements!$E$2:$E$169,Movements!$B$2:$B$169,$A22,Movements!$C$2:$C$169,"Sale")</f>
        <v/>
      </c>
      <c r="H22" s="12">
        <f>SUMIFS(Movements!$E$2:$E$169,Movements!$B$2:$B$169,$A22,Movements!$C$2:$C$169,"Adjustment")</f>
        <v/>
      </c>
      <c r="I22" s="12">
        <f>$E22+$F22-$G22+$H22</f>
        <v/>
      </c>
      <c r="J22" s="12" t="n">
        <v>320</v>
      </c>
      <c r="K22" s="12">
        <f>$I22*$J22</f>
        <v/>
      </c>
      <c r="L22" s="12" t="n">
        <v>45</v>
      </c>
      <c r="M22">
        <f>IF($I22&lt;=$L22,"REORDER","OK")</f>
        <v/>
      </c>
    </row>
    <row r="23">
      <c r="A23" t="inlineStr">
        <is>
          <t>P22</t>
        </is>
      </c>
      <c r="B23" t="inlineStr">
        <is>
          <t>Floor Cleaner 1L</t>
        </is>
      </c>
      <c r="C23" t="inlineStr">
        <is>
          <t>Home</t>
        </is>
      </c>
      <c r="D23" t="inlineStr">
        <is>
          <t>bottle</t>
        </is>
      </c>
      <c r="E23" s="12" t="n">
        <v>190</v>
      </c>
      <c r="F23" s="12">
        <f>SUMIFS(Movements!$E$2:$E$169,Movements!$B$2:$B$169,$A23,Movements!$C$2:$C$169,"Receipt")</f>
        <v/>
      </c>
      <c r="G23" s="12">
        <f>SUMIFS(Movements!$E$2:$E$169,Movements!$B$2:$B$169,$A23,Movements!$C$2:$C$169,"Sale")</f>
        <v/>
      </c>
      <c r="H23" s="12">
        <f>SUMIFS(Movements!$E$2:$E$169,Movements!$B$2:$B$169,$A23,Movements!$C$2:$C$169,"Adjustment")</f>
        <v/>
      </c>
      <c r="I23" s="12">
        <f>$E23+$F23-$G23+$H23</f>
        <v/>
      </c>
      <c r="J23" s="12" t="n">
        <v>145</v>
      </c>
      <c r="K23" s="12">
        <f>$I23*$J23</f>
        <v/>
      </c>
      <c r="L23" s="12" t="n">
        <v>50</v>
      </c>
      <c r="M23">
        <f>IF($I23&lt;=$L23,"REORDER","OK")</f>
        <v/>
      </c>
    </row>
    <row r="24">
      <c r="A24" t="inlineStr">
        <is>
          <t>P23</t>
        </is>
      </c>
      <c r="B24" t="inlineStr">
        <is>
          <t>Dish Wash Gel 500ml</t>
        </is>
      </c>
      <c r="C24" t="inlineStr">
        <is>
          <t>Home</t>
        </is>
      </c>
      <c r="D24" t="inlineStr">
        <is>
          <t>bottle</t>
        </is>
      </c>
      <c r="E24" s="12" t="n">
        <v>170</v>
      </c>
      <c r="F24" s="12">
        <f>SUMIFS(Movements!$E$2:$E$169,Movements!$B$2:$B$169,$A24,Movements!$C$2:$C$169,"Receipt")</f>
        <v/>
      </c>
      <c r="G24" s="12">
        <f>SUMIFS(Movements!$E$2:$E$169,Movements!$B$2:$B$169,$A24,Movements!$C$2:$C$169,"Sale")</f>
        <v/>
      </c>
      <c r="H24" s="12">
        <f>SUMIFS(Movements!$E$2:$E$169,Movements!$B$2:$B$169,$A24,Movements!$C$2:$C$169,"Adjustment")</f>
        <v/>
      </c>
      <c r="I24" s="12">
        <f>$E24+$F24-$G24+$H24</f>
        <v/>
      </c>
      <c r="J24" s="12" t="n">
        <v>120</v>
      </c>
      <c r="K24" s="12">
        <f>$I24*$J24</f>
        <v/>
      </c>
      <c r="L24" s="12" t="n">
        <v>50</v>
      </c>
      <c r="M24">
        <f>IF($I24&lt;=$L24,"REORDER","OK")</f>
        <v/>
      </c>
    </row>
    <row r="25">
      <c r="A25" t="inlineStr">
        <is>
          <t>P24</t>
        </is>
      </c>
      <c r="B25" t="inlineStr">
        <is>
          <t>Broom + Dustpan Set</t>
        </is>
      </c>
      <c r="C25" t="inlineStr">
        <is>
          <t>Home</t>
        </is>
      </c>
      <c r="D25" t="inlineStr">
        <is>
          <t>set</t>
        </is>
      </c>
      <c r="E25" s="12" t="n">
        <v>115</v>
      </c>
      <c r="F25" s="12">
        <f>SUMIFS(Movements!$E$2:$E$169,Movements!$B$2:$B$169,$A25,Movements!$C$2:$C$169,"Receipt")</f>
        <v/>
      </c>
      <c r="G25" s="12">
        <f>SUMIFS(Movements!$E$2:$E$169,Movements!$B$2:$B$169,$A25,Movements!$C$2:$C$169,"Sale")</f>
        <v/>
      </c>
      <c r="H25" s="12">
        <f>SUMIFS(Movements!$E$2:$E$169,Movements!$B$2:$B$169,$A25,Movements!$C$2:$C$169,"Adjustment")</f>
        <v/>
      </c>
      <c r="I25" s="12">
        <f>$E25+$F25-$G25+$H25</f>
        <v/>
      </c>
      <c r="J25" s="12" t="n">
        <v>210</v>
      </c>
      <c r="K25" s="12">
        <f>$I25*$J25</f>
        <v/>
      </c>
      <c r="L25" s="12" t="n">
        <v>35</v>
      </c>
      <c r="M25">
        <f>IF($I25&lt;=$L25,"REORDER","OK")</f>
        <v/>
      </c>
    </row>
    <row r="26">
      <c r="A26" s="5" t="inlineStr">
        <is>
          <t>TOTAL</t>
        </is>
      </c>
      <c r="E26" s="13">
        <f>SUM($E$2:$E$25)</f>
        <v/>
      </c>
      <c r="F26" s="13">
        <f>SUM($F$2:$F$25)</f>
        <v/>
      </c>
      <c r="G26" s="13">
        <f>SUM($G$2:$G$25)</f>
        <v/>
      </c>
      <c r="H26" s="13">
        <f>SUM($H$2:$H$25)</f>
        <v/>
      </c>
      <c r="I26" s="13">
        <f>SUM($I$2:$I$25)</f>
        <v/>
      </c>
      <c r="K26" s="13">
        <f>SUM($K$2:$K$25)</f>
        <v/>
      </c>
    </row>
  </sheetData>
  <autoFilter ref="A1:M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2" customWidth="1" min="4" max="4"/>
    <col width="10" customWidth="1" min="5" max="5"/>
    <col width="12" customWidth="1" min="6" max="6"/>
  </cols>
  <sheetData>
    <row r="1">
      <c r="A1" s="11" t="inlineStr">
        <is>
          <t>MovementDate</t>
        </is>
      </c>
      <c r="B1" s="11" t="inlineStr">
        <is>
          <t>ProductID</t>
        </is>
      </c>
      <c r="C1" s="11" t="inlineStr">
        <is>
          <t>MovementType</t>
        </is>
      </c>
      <c r="D1" s="11" t="inlineStr">
        <is>
          <t>WeekStart</t>
        </is>
      </c>
      <c r="E1" s="11" t="inlineStr">
        <is>
          <t>Quantity</t>
        </is>
      </c>
      <c r="F1" s="11" t="inlineStr">
        <is>
          <t>NetQuantity</t>
        </is>
      </c>
    </row>
    <row r="2">
      <c r="A2" s="14" t="n">
        <v>46272</v>
      </c>
      <c r="B2" t="inlineStr">
        <is>
          <t>P15</t>
        </is>
      </c>
      <c r="C2" t="inlineStr">
        <is>
          <t>Receipt</t>
        </is>
      </c>
      <c r="D2" s="14" t="n">
        <v>46272</v>
      </c>
      <c r="E2" s="12" t="n">
        <v>64</v>
      </c>
      <c r="F2" s="12">
        <f>IF($C2="Sale",-$E2,$E2)</f>
        <v/>
      </c>
    </row>
    <row r="3">
      <c r="A3" s="14" t="n">
        <v>46272</v>
      </c>
      <c r="B3" t="inlineStr">
        <is>
          <t>P19</t>
        </is>
      </c>
      <c r="C3" t="inlineStr">
        <is>
          <t>Receipt</t>
        </is>
      </c>
      <c r="D3" s="14" t="n">
        <v>46272</v>
      </c>
      <c r="E3" s="12" t="n">
        <v>38</v>
      </c>
      <c r="F3" s="12">
        <f>IF($C3="Sale",-$E3,$E3)</f>
        <v/>
      </c>
    </row>
    <row r="4">
      <c r="A4" s="14" t="n">
        <v>46273</v>
      </c>
      <c r="B4" t="inlineStr">
        <is>
          <t>P24</t>
        </is>
      </c>
      <c r="C4" t="inlineStr">
        <is>
          <t>Receipt</t>
        </is>
      </c>
      <c r="D4" s="14" t="n">
        <v>46272</v>
      </c>
      <c r="E4" s="12" t="n">
        <v>56</v>
      </c>
      <c r="F4" s="12">
        <f>IF($C4="Sale",-$E4,$E4)</f>
        <v/>
      </c>
    </row>
    <row r="5">
      <c r="A5" s="14" t="n">
        <v>46274</v>
      </c>
      <c r="B5" t="inlineStr">
        <is>
          <t>P06</t>
        </is>
      </c>
      <c r="C5" t="inlineStr">
        <is>
          <t>Receipt</t>
        </is>
      </c>
      <c r="D5" s="14" t="n">
        <v>46272</v>
      </c>
      <c r="E5" s="12" t="n">
        <v>65</v>
      </c>
      <c r="F5" s="12">
        <f>IF($C5="Sale",-$E5,$E5)</f>
        <v/>
      </c>
    </row>
    <row r="6">
      <c r="A6" s="14" t="n">
        <v>46275</v>
      </c>
      <c r="B6" t="inlineStr">
        <is>
          <t>P06</t>
        </is>
      </c>
      <c r="C6" t="inlineStr">
        <is>
          <t>Sale</t>
        </is>
      </c>
      <c r="D6" s="14" t="n">
        <v>46272</v>
      </c>
      <c r="E6" s="12" t="n">
        <v>54</v>
      </c>
      <c r="F6" s="12">
        <f>IF($C6="Sale",-$E6,$E6)</f>
        <v/>
      </c>
    </row>
    <row r="7">
      <c r="A7" s="14" t="n">
        <v>46275</v>
      </c>
      <c r="B7" t="inlineStr">
        <is>
          <t>P08</t>
        </is>
      </c>
      <c r="C7" t="inlineStr">
        <is>
          <t>Receipt</t>
        </is>
      </c>
      <c r="D7" s="14" t="n">
        <v>46272</v>
      </c>
      <c r="E7" s="12" t="n">
        <v>20</v>
      </c>
      <c r="F7" s="12">
        <f>IF($C7="Sale",-$E7,$E7)</f>
        <v/>
      </c>
    </row>
    <row r="8">
      <c r="A8" s="14" t="n">
        <v>46275</v>
      </c>
      <c r="B8" t="inlineStr">
        <is>
          <t>P11</t>
        </is>
      </c>
      <c r="C8" t="inlineStr">
        <is>
          <t>Receipt</t>
        </is>
      </c>
      <c r="D8" s="14" t="n">
        <v>46272</v>
      </c>
      <c r="E8" s="12" t="n">
        <v>34</v>
      </c>
      <c r="F8" s="12">
        <f>IF($C8="Sale",-$E8,$E8)</f>
        <v/>
      </c>
    </row>
    <row r="9">
      <c r="A9" s="14" t="n">
        <v>46275</v>
      </c>
      <c r="B9" t="inlineStr">
        <is>
          <t>P18</t>
        </is>
      </c>
      <c r="C9" t="inlineStr">
        <is>
          <t>Sale</t>
        </is>
      </c>
      <c r="D9" s="14" t="n">
        <v>46272</v>
      </c>
      <c r="E9" s="12" t="n">
        <v>44</v>
      </c>
      <c r="F9" s="12">
        <f>IF($C9="Sale",-$E9,$E9)</f>
        <v/>
      </c>
    </row>
    <row r="10">
      <c r="A10" s="14" t="n">
        <v>46275</v>
      </c>
      <c r="B10" t="inlineStr">
        <is>
          <t>P19</t>
        </is>
      </c>
      <c r="C10" t="inlineStr">
        <is>
          <t>Sale</t>
        </is>
      </c>
      <c r="D10" s="14" t="n">
        <v>46272</v>
      </c>
      <c r="E10" s="12" t="n">
        <v>31</v>
      </c>
      <c r="F10" s="12">
        <f>IF($C10="Sale",-$E10,$E10)</f>
        <v/>
      </c>
    </row>
    <row r="11">
      <c r="A11" s="14" t="n">
        <v>46276</v>
      </c>
      <c r="B11" t="inlineStr">
        <is>
          <t>P10</t>
        </is>
      </c>
      <c r="C11" t="inlineStr">
        <is>
          <t>Adjustment</t>
        </is>
      </c>
      <c r="D11" s="14" t="n">
        <v>46272</v>
      </c>
      <c r="E11" s="12" t="n">
        <v>4</v>
      </c>
      <c r="F11" s="12">
        <f>IF($C11="Sale",-$E11,$E11)</f>
        <v/>
      </c>
    </row>
    <row r="12">
      <c r="A12" s="14" t="n">
        <v>46277</v>
      </c>
      <c r="B12" t="inlineStr">
        <is>
          <t>P04</t>
        </is>
      </c>
      <c r="C12" t="inlineStr">
        <is>
          <t>Adjustment</t>
        </is>
      </c>
      <c r="D12" s="14" t="n">
        <v>46272</v>
      </c>
      <c r="E12" s="12" t="n">
        <v>-5</v>
      </c>
      <c r="F12" s="12">
        <f>IF($C12="Sale",-$E12,$E12)</f>
        <v/>
      </c>
    </row>
    <row r="13">
      <c r="A13" s="14" t="n">
        <v>46277</v>
      </c>
      <c r="B13" t="inlineStr">
        <is>
          <t>P10</t>
        </is>
      </c>
      <c r="C13" t="inlineStr">
        <is>
          <t>Sale</t>
        </is>
      </c>
      <c r="D13" s="14" t="n">
        <v>46272</v>
      </c>
      <c r="E13" s="12" t="n">
        <v>54</v>
      </c>
      <c r="F13" s="12">
        <f>IF($C13="Sale",-$E13,$E13)</f>
        <v/>
      </c>
    </row>
    <row r="14">
      <c r="A14" s="14" t="n">
        <v>46278</v>
      </c>
      <c r="B14" t="inlineStr">
        <is>
          <t>P02</t>
        </is>
      </c>
      <c r="C14" t="inlineStr">
        <is>
          <t>Receipt</t>
        </is>
      </c>
      <c r="D14" s="14" t="n">
        <v>46272</v>
      </c>
      <c r="E14" s="12" t="n">
        <v>47</v>
      </c>
      <c r="F14" s="12">
        <f>IF($C14="Sale",-$E14,$E14)</f>
        <v/>
      </c>
    </row>
    <row r="15">
      <c r="A15" s="14" t="n">
        <v>46278</v>
      </c>
      <c r="B15" t="inlineStr">
        <is>
          <t>P17</t>
        </is>
      </c>
      <c r="C15" t="inlineStr">
        <is>
          <t>Sale</t>
        </is>
      </c>
      <c r="D15" s="14" t="n">
        <v>46272</v>
      </c>
      <c r="E15" s="12" t="n">
        <v>20</v>
      </c>
      <c r="F15" s="12">
        <f>IF($C15="Sale",-$E15,$E15)</f>
        <v/>
      </c>
    </row>
    <row r="16">
      <c r="A16" s="14" t="n">
        <v>46279</v>
      </c>
      <c r="B16" t="inlineStr">
        <is>
          <t>P03</t>
        </is>
      </c>
      <c r="C16" t="inlineStr">
        <is>
          <t>Sale</t>
        </is>
      </c>
      <c r="D16" s="14" t="n">
        <v>46279</v>
      </c>
      <c r="E16" s="12" t="n">
        <v>51</v>
      </c>
      <c r="F16" s="12">
        <f>IF($C16="Sale",-$E16,$E16)</f>
        <v/>
      </c>
    </row>
    <row r="17">
      <c r="A17" s="14" t="n">
        <v>46279</v>
      </c>
      <c r="B17" t="inlineStr">
        <is>
          <t>P15</t>
        </is>
      </c>
      <c r="C17" t="inlineStr">
        <is>
          <t>Sale</t>
        </is>
      </c>
      <c r="D17" s="14" t="n">
        <v>46279</v>
      </c>
      <c r="E17" s="12" t="n">
        <v>47</v>
      </c>
      <c r="F17" s="12">
        <f>IF($C17="Sale",-$E17,$E17)</f>
        <v/>
      </c>
    </row>
    <row r="18">
      <c r="A18" s="14" t="n">
        <v>46279</v>
      </c>
      <c r="B18" t="inlineStr">
        <is>
          <t>P20</t>
        </is>
      </c>
      <c r="C18" t="inlineStr">
        <is>
          <t>Adjustment</t>
        </is>
      </c>
      <c r="D18" s="14" t="n">
        <v>46279</v>
      </c>
      <c r="E18" s="12" t="n">
        <v>4</v>
      </c>
      <c r="F18" s="12">
        <f>IF($C18="Sale",-$E18,$E18)</f>
        <v/>
      </c>
    </row>
    <row r="19">
      <c r="A19" s="14" t="n">
        <v>46280</v>
      </c>
      <c r="B19" t="inlineStr">
        <is>
          <t>P04</t>
        </is>
      </c>
      <c r="C19" t="inlineStr">
        <is>
          <t>Receipt</t>
        </is>
      </c>
      <c r="D19" s="14" t="n">
        <v>46279</v>
      </c>
      <c r="E19" s="12" t="n">
        <v>55</v>
      </c>
      <c r="F19" s="12">
        <f>IF($C19="Sale",-$E19,$E19)</f>
        <v/>
      </c>
    </row>
    <row r="20">
      <c r="A20" s="14" t="n">
        <v>46280</v>
      </c>
      <c r="B20" t="inlineStr">
        <is>
          <t>P14</t>
        </is>
      </c>
      <c r="C20" t="inlineStr">
        <is>
          <t>Sale</t>
        </is>
      </c>
      <c r="D20" s="14" t="n">
        <v>46279</v>
      </c>
      <c r="E20" s="12" t="n">
        <v>5</v>
      </c>
      <c r="F20" s="12">
        <f>IF($C20="Sale",-$E20,$E20)</f>
        <v/>
      </c>
    </row>
    <row r="21">
      <c r="A21" s="14" t="n">
        <v>46281</v>
      </c>
      <c r="B21" t="inlineStr">
        <is>
          <t>P06</t>
        </is>
      </c>
      <c r="C21" t="inlineStr">
        <is>
          <t>Receipt</t>
        </is>
      </c>
      <c r="D21" s="14" t="n">
        <v>46279</v>
      </c>
      <c r="E21" s="12" t="n">
        <v>36</v>
      </c>
      <c r="F21" s="12">
        <f>IF($C21="Sale",-$E21,$E21)</f>
        <v/>
      </c>
    </row>
    <row r="22">
      <c r="A22" s="14" t="n">
        <v>46281</v>
      </c>
      <c r="B22" t="inlineStr">
        <is>
          <t>P12</t>
        </is>
      </c>
      <c r="C22" t="inlineStr">
        <is>
          <t>Receipt</t>
        </is>
      </c>
      <c r="D22" s="14" t="n">
        <v>46279</v>
      </c>
      <c r="E22" s="12" t="n">
        <v>22</v>
      </c>
      <c r="F22" s="12">
        <f>IF($C22="Sale",-$E22,$E22)</f>
        <v/>
      </c>
    </row>
    <row r="23">
      <c r="A23" s="14" t="n">
        <v>46281</v>
      </c>
      <c r="B23" t="inlineStr">
        <is>
          <t>P16</t>
        </is>
      </c>
      <c r="C23" t="inlineStr">
        <is>
          <t>Sale</t>
        </is>
      </c>
      <c r="D23" s="14" t="n">
        <v>46279</v>
      </c>
      <c r="E23" s="12" t="n">
        <v>35</v>
      </c>
      <c r="F23" s="12">
        <f>IF($C23="Sale",-$E23,$E23)</f>
        <v/>
      </c>
    </row>
    <row r="24">
      <c r="A24" s="14" t="n">
        <v>46282</v>
      </c>
      <c r="B24" t="inlineStr">
        <is>
          <t>P02</t>
        </is>
      </c>
      <c r="C24" t="inlineStr">
        <is>
          <t>Adjustment</t>
        </is>
      </c>
      <c r="D24" s="14" t="n">
        <v>46279</v>
      </c>
      <c r="E24" s="12" t="n">
        <v>1</v>
      </c>
      <c r="F24" s="12">
        <f>IF($C24="Sale",-$E24,$E24)</f>
        <v/>
      </c>
    </row>
    <row r="25">
      <c r="A25" s="14" t="n">
        <v>46282</v>
      </c>
      <c r="B25" t="inlineStr">
        <is>
          <t>P22</t>
        </is>
      </c>
      <c r="C25" t="inlineStr">
        <is>
          <t>Receipt</t>
        </is>
      </c>
      <c r="D25" s="14" t="n">
        <v>46279</v>
      </c>
      <c r="E25" s="12" t="n">
        <v>78</v>
      </c>
      <c r="F25" s="12">
        <f>IF($C25="Sale",-$E25,$E25)</f>
        <v/>
      </c>
    </row>
    <row r="26">
      <c r="A26" s="14" t="n">
        <v>46282</v>
      </c>
      <c r="B26" t="inlineStr">
        <is>
          <t>P23</t>
        </is>
      </c>
      <c r="C26" t="inlineStr">
        <is>
          <t>Receipt</t>
        </is>
      </c>
      <c r="D26" s="14" t="n">
        <v>46279</v>
      </c>
      <c r="E26" s="12" t="n">
        <v>47</v>
      </c>
      <c r="F26" s="12">
        <f>IF($C26="Sale",-$E26,$E26)</f>
        <v/>
      </c>
    </row>
    <row r="27">
      <c r="A27" s="14" t="n">
        <v>46283</v>
      </c>
      <c r="B27" t="inlineStr">
        <is>
          <t>P02</t>
        </is>
      </c>
      <c r="C27" t="inlineStr">
        <is>
          <t>Sale</t>
        </is>
      </c>
      <c r="D27" s="14" t="n">
        <v>46279</v>
      </c>
      <c r="E27" s="12" t="n">
        <v>52</v>
      </c>
      <c r="F27" s="12">
        <f>IF($C27="Sale",-$E27,$E27)</f>
        <v/>
      </c>
    </row>
    <row r="28">
      <c r="A28" s="14" t="n">
        <v>46284</v>
      </c>
      <c r="B28" t="inlineStr">
        <is>
          <t>P04</t>
        </is>
      </c>
      <c r="C28" t="inlineStr">
        <is>
          <t>Receipt</t>
        </is>
      </c>
      <c r="D28" s="14" t="n">
        <v>46279</v>
      </c>
      <c r="E28" s="12" t="n">
        <v>30</v>
      </c>
      <c r="F28" s="12">
        <f>IF($C28="Sale",-$E28,$E28)</f>
        <v/>
      </c>
    </row>
    <row r="29">
      <c r="A29" s="14" t="n">
        <v>46284</v>
      </c>
      <c r="B29" t="inlineStr">
        <is>
          <t>P07</t>
        </is>
      </c>
      <c r="C29" t="inlineStr">
        <is>
          <t>Sale</t>
        </is>
      </c>
      <c r="D29" s="14" t="n">
        <v>46279</v>
      </c>
      <c r="E29" s="12" t="n">
        <v>24</v>
      </c>
      <c r="F29" s="12">
        <f>IF($C29="Sale",-$E29,$E29)</f>
        <v/>
      </c>
    </row>
    <row r="30">
      <c r="A30" s="14" t="n">
        <v>46284</v>
      </c>
      <c r="B30" t="inlineStr">
        <is>
          <t>P15</t>
        </is>
      </c>
      <c r="C30" t="inlineStr">
        <is>
          <t>Receipt</t>
        </is>
      </c>
      <c r="D30" s="14" t="n">
        <v>46279</v>
      </c>
      <c r="E30" s="12" t="n">
        <v>41</v>
      </c>
      <c r="F30" s="12">
        <f>IF($C30="Sale",-$E30,$E30)</f>
        <v/>
      </c>
    </row>
    <row r="31">
      <c r="A31" s="14" t="n">
        <v>46285</v>
      </c>
      <c r="B31" t="inlineStr">
        <is>
          <t>P05</t>
        </is>
      </c>
      <c r="C31" t="inlineStr">
        <is>
          <t>Sale</t>
        </is>
      </c>
      <c r="D31" s="14" t="n">
        <v>46279</v>
      </c>
      <c r="E31" s="12" t="n">
        <v>38</v>
      </c>
      <c r="F31" s="12">
        <f>IF($C31="Sale",-$E31,$E31)</f>
        <v/>
      </c>
    </row>
    <row r="32">
      <c r="A32" s="14" t="n">
        <v>46285</v>
      </c>
      <c r="B32" t="inlineStr">
        <is>
          <t>P09</t>
        </is>
      </c>
      <c r="C32" t="inlineStr">
        <is>
          <t>Receipt</t>
        </is>
      </c>
      <c r="D32" s="14" t="n">
        <v>46279</v>
      </c>
      <c r="E32" s="12" t="n">
        <v>74</v>
      </c>
      <c r="F32" s="12">
        <f>IF($C32="Sale",-$E32,$E32)</f>
        <v/>
      </c>
    </row>
    <row r="33">
      <c r="A33" s="14" t="n">
        <v>46286</v>
      </c>
      <c r="B33" t="inlineStr">
        <is>
          <t>P02</t>
        </is>
      </c>
      <c r="C33" t="inlineStr">
        <is>
          <t>Sale</t>
        </is>
      </c>
      <c r="D33" s="14" t="n">
        <v>46286</v>
      </c>
      <c r="E33" s="12" t="n">
        <v>40</v>
      </c>
      <c r="F33" s="12">
        <f>IF($C33="Sale",-$E33,$E33)</f>
        <v/>
      </c>
    </row>
    <row r="34">
      <c r="A34" s="14" t="n">
        <v>46286</v>
      </c>
      <c r="B34" t="inlineStr">
        <is>
          <t>P05</t>
        </is>
      </c>
      <c r="C34" t="inlineStr">
        <is>
          <t>Receipt</t>
        </is>
      </c>
      <c r="D34" s="14" t="n">
        <v>46286</v>
      </c>
      <c r="E34" s="12" t="n">
        <v>41</v>
      </c>
      <c r="F34" s="12">
        <f>IF($C34="Sale",-$E34,$E34)</f>
        <v/>
      </c>
    </row>
    <row r="35">
      <c r="A35" s="14" t="n">
        <v>46286</v>
      </c>
      <c r="B35" t="inlineStr">
        <is>
          <t>P14</t>
        </is>
      </c>
      <c r="C35" t="inlineStr">
        <is>
          <t>Sale</t>
        </is>
      </c>
      <c r="D35" s="14" t="n">
        <v>46286</v>
      </c>
      <c r="E35" s="12" t="n">
        <v>5</v>
      </c>
      <c r="F35" s="12">
        <f>IF($C35="Sale",-$E35,$E35)</f>
        <v/>
      </c>
    </row>
    <row r="36">
      <c r="A36" s="14" t="n">
        <v>46286</v>
      </c>
      <c r="B36" t="inlineStr">
        <is>
          <t>P16</t>
        </is>
      </c>
      <c r="C36" t="inlineStr">
        <is>
          <t>Sale</t>
        </is>
      </c>
      <c r="D36" s="14" t="n">
        <v>46286</v>
      </c>
      <c r="E36" s="12" t="n">
        <v>12</v>
      </c>
      <c r="F36" s="12">
        <f>IF($C36="Sale",-$E36,$E36)</f>
        <v/>
      </c>
    </row>
    <row r="37">
      <c r="A37" s="14" t="n">
        <v>46286</v>
      </c>
      <c r="B37" t="inlineStr">
        <is>
          <t>P21</t>
        </is>
      </c>
      <c r="C37" t="inlineStr">
        <is>
          <t>Sale</t>
        </is>
      </c>
      <c r="D37" s="14" t="n">
        <v>46286</v>
      </c>
      <c r="E37" s="12" t="n">
        <v>53</v>
      </c>
      <c r="F37" s="12">
        <f>IF($C37="Sale",-$E37,$E37)</f>
        <v/>
      </c>
    </row>
    <row r="38">
      <c r="A38" s="14" t="n">
        <v>46286</v>
      </c>
      <c r="B38" t="inlineStr">
        <is>
          <t>P21</t>
        </is>
      </c>
      <c r="C38" t="inlineStr">
        <is>
          <t>Sale</t>
        </is>
      </c>
      <c r="D38" s="14" t="n">
        <v>46286</v>
      </c>
      <c r="E38" s="12" t="n">
        <v>53</v>
      </c>
      <c r="F38" s="12">
        <f>IF($C38="Sale",-$E38,$E38)</f>
        <v/>
      </c>
    </row>
    <row r="39">
      <c r="A39" s="14" t="n">
        <v>46287</v>
      </c>
      <c r="B39" t="inlineStr">
        <is>
          <t>P01</t>
        </is>
      </c>
      <c r="C39" t="inlineStr">
        <is>
          <t>Sale</t>
        </is>
      </c>
      <c r="D39" s="14" t="n">
        <v>46286</v>
      </c>
      <c r="E39" s="12" t="n">
        <v>24</v>
      </c>
      <c r="F39" s="12">
        <f>IF($C39="Sale",-$E39,$E39)</f>
        <v/>
      </c>
    </row>
    <row r="40">
      <c r="A40" s="14" t="n">
        <v>46287</v>
      </c>
      <c r="B40" t="inlineStr">
        <is>
          <t>P04</t>
        </is>
      </c>
      <c r="C40" t="inlineStr">
        <is>
          <t>Adjustment</t>
        </is>
      </c>
      <c r="D40" s="14" t="n">
        <v>46286</v>
      </c>
      <c r="E40" s="12" t="n">
        <v>-2</v>
      </c>
      <c r="F40" s="12">
        <f>IF($C40="Sale",-$E40,$E40)</f>
        <v/>
      </c>
    </row>
    <row r="41">
      <c r="A41" s="14" t="n">
        <v>46287</v>
      </c>
      <c r="B41" t="inlineStr">
        <is>
          <t>P07</t>
        </is>
      </c>
      <c r="C41" t="inlineStr">
        <is>
          <t>Adjustment</t>
        </is>
      </c>
      <c r="D41" s="14" t="n">
        <v>46286</v>
      </c>
      <c r="E41" s="12" t="n">
        <v>3</v>
      </c>
      <c r="F41" s="12">
        <f>IF($C41="Sale",-$E41,$E41)</f>
        <v/>
      </c>
    </row>
    <row r="42">
      <c r="A42" s="14" t="n">
        <v>46287</v>
      </c>
      <c r="B42" t="inlineStr">
        <is>
          <t>P11</t>
        </is>
      </c>
      <c r="C42" t="inlineStr">
        <is>
          <t>Receipt</t>
        </is>
      </c>
      <c r="D42" s="14" t="n">
        <v>46286</v>
      </c>
      <c r="E42" s="12" t="n">
        <v>36</v>
      </c>
      <c r="F42" s="12">
        <f>IF($C42="Sale",-$E42,$E42)</f>
        <v/>
      </c>
    </row>
    <row r="43">
      <c r="A43" s="14" t="n">
        <v>46287</v>
      </c>
      <c r="B43" t="inlineStr">
        <is>
          <t>P12</t>
        </is>
      </c>
      <c r="C43" t="inlineStr">
        <is>
          <t>Sale</t>
        </is>
      </c>
      <c r="D43" s="14" t="n">
        <v>46286</v>
      </c>
      <c r="E43" s="12" t="n">
        <v>15</v>
      </c>
      <c r="F43" s="12">
        <f>IF($C43="Sale",-$E43,$E43)</f>
        <v/>
      </c>
    </row>
    <row r="44">
      <c r="A44" s="14" t="n">
        <v>46287</v>
      </c>
      <c r="B44" t="inlineStr">
        <is>
          <t>P18</t>
        </is>
      </c>
      <c r="C44" t="inlineStr">
        <is>
          <t>Receipt</t>
        </is>
      </c>
      <c r="D44" s="14" t="n">
        <v>46286</v>
      </c>
      <c r="E44" s="12" t="n">
        <v>63</v>
      </c>
      <c r="F44" s="12">
        <f>IF($C44="Sale",-$E44,$E44)</f>
        <v/>
      </c>
    </row>
    <row r="45">
      <c r="A45" s="14" t="n">
        <v>46288</v>
      </c>
      <c r="B45" t="inlineStr">
        <is>
          <t>P03</t>
        </is>
      </c>
      <c r="C45" t="inlineStr">
        <is>
          <t>Receipt</t>
        </is>
      </c>
      <c r="D45" s="14" t="n">
        <v>46286</v>
      </c>
      <c r="E45" s="12" t="n">
        <v>22</v>
      </c>
      <c r="F45" s="12">
        <f>IF($C45="Sale",-$E45,$E45)</f>
        <v/>
      </c>
    </row>
    <row r="46">
      <c r="A46" s="14" t="n">
        <v>46288</v>
      </c>
      <c r="B46" t="inlineStr">
        <is>
          <t>P18</t>
        </is>
      </c>
      <c r="C46" t="inlineStr">
        <is>
          <t>Sale</t>
        </is>
      </c>
      <c r="D46" s="14" t="n">
        <v>46286</v>
      </c>
      <c r="E46" s="12" t="n">
        <v>23</v>
      </c>
      <c r="F46" s="12">
        <f>IF($C46="Sale",-$E46,$E46)</f>
        <v/>
      </c>
    </row>
    <row r="47">
      <c r="A47" s="14" t="n">
        <v>46288</v>
      </c>
      <c r="B47" t="inlineStr">
        <is>
          <t>P20</t>
        </is>
      </c>
      <c r="C47" t="inlineStr">
        <is>
          <t>Sale</t>
        </is>
      </c>
      <c r="D47" s="14" t="n">
        <v>46286</v>
      </c>
      <c r="E47" s="12" t="n">
        <v>47</v>
      </c>
      <c r="F47" s="12">
        <f>IF($C47="Sale",-$E47,$E47)</f>
        <v/>
      </c>
    </row>
    <row r="48">
      <c r="A48" s="14" t="n">
        <v>46289</v>
      </c>
      <c r="B48" t="inlineStr">
        <is>
          <t>P02</t>
        </is>
      </c>
      <c r="C48" t="inlineStr">
        <is>
          <t>Receipt</t>
        </is>
      </c>
      <c r="D48" s="14" t="n">
        <v>46286</v>
      </c>
      <c r="E48" s="12" t="n">
        <v>25</v>
      </c>
      <c r="F48" s="12">
        <f>IF($C48="Sale",-$E48,$E48)</f>
        <v/>
      </c>
    </row>
    <row r="49">
      <c r="A49" s="14" t="n">
        <v>46289</v>
      </c>
      <c r="B49" t="inlineStr">
        <is>
          <t>P08</t>
        </is>
      </c>
      <c r="C49" t="inlineStr">
        <is>
          <t>Receipt</t>
        </is>
      </c>
      <c r="D49" s="14" t="n">
        <v>46286</v>
      </c>
      <c r="E49" s="12" t="n">
        <v>29</v>
      </c>
      <c r="F49" s="12">
        <f>IF($C49="Sale",-$E49,$E49)</f>
        <v/>
      </c>
    </row>
    <row r="50">
      <c r="A50" s="14" t="n">
        <v>46289</v>
      </c>
      <c r="B50" t="inlineStr">
        <is>
          <t>P14</t>
        </is>
      </c>
      <c r="C50" t="inlineStr">
        <is>
          <t>Sale</t>
        </is>
      </c>
      <c r="D50" s="14" t="n">
        <v>46286</v>
      </c>
      <c r="E50" s="12" t="n">
        <v>25</v>
      </c>
      <c r="F50" s="12">
        <f>IF($C50="Sale",-$E50,$E50)</f>
        <v/>
      </c>
    </row>
    <row r="51">
      <c r="A51" s="14" t="n">
        <v>46290</v>
      </c>
      <c r="B51" t="inlineStr">
        <is>
          <t>P08</t>
        </is>
      </c>
      <c r="C51" t="inlineStr">
        <is>
          <t>Sale</t>
        </is>
      </c>
      <c r="D51" s="14" t="n">
        <v>46286</v>
      </c>
      <c r="E51" s="12" t="n">
        <v>41</v>
      </c>
      <c r="F51" s="12">
        <f>IF($C51="Sale",-$E51,$E51)</f>
        <v/>
      </c>
    </row>
    <row r="52">
      <c r="A52" s="14" t="n">
        <v>46290</v>
      </c>
      <c r="B52" t="inlineStr">
        <is>
          <t>P13</t>
        </is>
      </c>
      <c r="C52" t="inlineStr">
        <is>
          <t>Adjustment</t>
        </is>
      </c>
      <c r="D52" s="14" t="n">
        <v>46286</v>
      </c>
      <c r="E52" s="12" t="n">
        <v>-2</v>
      </c>
      <c r="F52" s="12">
        <f>IF($C52="Sale",-$E52,$E52)</f>
        <v/>
      </c>
    </row>
    <row r="53">
      <c r="A53" s="14" t="n">
        <v>46290</v>
      </c>
      <c r="B53" t="inlineStr">
        <is>
          <t>P15</t>
        </is>
      </c>
      <c r="C53" t="inlineStr">
        <is>
          <t>Receipt</t>
        </is>
      </c>
      <c r="D53" s="14" t="n">
        <v>46286</v>
      </c>
      <c r="E53" s="12" t="n">
        <v>47</v>
      </c>
      <c r="F53" s="12">
        <f>IF($C53="Sale",-$E53,$E53)</f>
        <v/>
      </c>
    </row>
    <row r="54">
      <c r="A54" s="14" t="n">
        <v>46291</v>
      </c>
      <c r="B54" t="inlineStr">
        <is>
          <t>P01</t>
        </is>
      </c>
      <c r="C54" t="inlineStr">
        <is>
          <t>Receipt</t>
        </is>
      </c>
      <c r="D54" s="14" t="n">
        <v>46286</v>
      </c>
      <c r="E54" s="12" t="n">
        <v>68</v>
      </c>
      <c r="F54" s="12">
        <f>IF($C54="Sale",-$E54,$E54)</f>
        <v/>
      </c>
    </row>
    <row r="55">
      <c r="A55" s="14" t="n">
        <v>46291</v>
      </c>
      <c r="B55" t="inlineStr">
        <is>
          <t>P20</t>
        </is>
      </c>
      <c r="C55" t="inlineStr">
        <is>
          <t>Receipt</t>
        </is>
      </c>
      <c r="D55" s="14" t="n">
        <v>46286</v>
      </c>
      <c r="E55" s="12" t="n">
        <v>56</v>
      </c>
      <c r="F55" s="12">
        <f>IF($C55="Sale",-$E55,$E55)</f>
        <v/>
      </c>
    </row>
    <row r="56">
      <c r="A56" s="14" t="n">
        <v>46292</v>
      </c>
      <c r="B56" t="inlineStr">
        <is>
          <t>P16</t>
        </is>
      </c>
      <c r="C56" t="inlineStr">
        <is>
          <t>Sale</t>
        </is>
      </c>
      <c r="D56" s="14" t="n">
        <v>46286</v>
      </c>
      <c r="E56" s="12" t="n">
        <v>12</v>
      </c>
      <c r="F56" s="12">
        <f>IF($C56="Sale",-$E56,$E56)</f>
        <v/>
      </c>
    </row>
    <row r="57">
      <c r="A57" s="14" t="n">
        <v>46292</v>
      </c>
      <c r="B57" t="inlineStr">
        <is>
          <t>P19</t>
        </is>
      </c>
      <c r="C57" t="inlineStr">
        <is>
          <t>Adjustment</t>
        </is>
      </c>
      <c r="D57" s="14" t="n">
        <v>46286</v>
      </c>
      <c r="E57" s="12" t="n">
        <v>3</v>
      </c>
      <c r="F57" s="12">
        <f>IF($C57="Sale",-$E57,$E57)</f>
        <v/>
      </c>
    </row>
    <row r="58">
      <c r="A58" s="14" t="n">
        <v>46293</v>
      </c>
      <c r="B58" t="inlineStr">
        <is>
          <t>P23</t>
        </is>
      </c>
      <c r="C58" t="inlineStr">
        <is>
          <t>Adjustment</t>
        </is>
      </c>
      <c r="D58" s="14" t="n">
        <v>46293</v>
      </c>
      <c r="E58" s="12" t="n">
        <v>4</v>
      </c>
      <c r="F58" s="12">
        <f>IF($C58="Sale",-$E58,$E58)</f>
        <v/>
      </c>
    </row>
    <row r="59">
      <c r="A59" s="14" t="n">
        <v>46294</v>
      </c>
      <c r="B59" t="inlineStr">
        <is>
          <t>P07</t>
        </is>
      </c>
      <c r="C59" t="inlineStr">
        <is>
          <t>Adjustment</t>
        </is>
      </c>
      <c r="D59" s="14" t="n">
        <v>46293</v>
      </c>
      <c r="E59" s="12" t="n">
        <v>-1</v>
      </c>
      <c r="F59" s="12">
        <f>IF($C59="Sale",-$E59,$E59)</f>
        <v/>
      </c>
    </row>
    <row r="60">
      <c r="A60" s="14" t="n">
        <v>46294</v>
      </c>
      <c r="B60" t="inlineStr">
        <is>
          <t>P11</t>
        </is>
      </c>
      <c r="C60" t="inlineStr">
        <is>
          <t>Adjustment</t>
        </is>
      </c>
      <c r="D60" s="14" t="n">
        <v>46293</v>
      </c>
      <c r="E60" s="12" t="n">
        <v>1</v>
      </c>
      <c r="F60" s="12">
        <f>IF($C60="Sale",-$E60,$E60)</f>
        <v/>
      </c>
    </row>
    <row r="61">
      <c r="A61" s="14" t="n">
        <v>46295</v>
      </c>
      <c r="B61" t="inlineStr">
        <is>
          <t>P02</t>
        </is>
      </c>
      <c r="C61" t="inlineStr">
        <is>
          <t>Sale</t>
        </is>
      </c>
      <c r="D61" s="14" t="n">
        <v>46293</v>
      </c>
      <c r="E61" s="12" t="n">
        <v>25</v>
      </c>
      <c r="F61" s="12">
        <f>IF($C61="Sale",-$E61,$E61)</f>
        <v/>
      </c>
    </row>
    <row r="62">
      <c r="A62" s="14" t="n">
        <v>46295</v>
      </c>
      <c r="B62" t="inlineStr">
        <is>
          <t>P03</t>
        </is>
      </c>
      <c r="C62" t="inlineStr">
        <is>
          <t>Sale</t>
        </is>
      </c>
      <c r="D62" s="14" t="n">
        <v>46293</v>
      </c>
      <c r="E62" s="12" t="n">
        <v>33</v>
      </c>
      <c r="F62" s="12">
        <f>IF($C62="Sale",-$E62,$E62)</f>
        <v/>
      </c>
    </row>
    <row r="63">
      <c r="A63" s="14" t="n">
        <v>46295</v>
      </c>
      <c r="B63" t="inlineStr">
        <is>
          <t>P24</t>
        </is>
      </c>
      <c r="C63" t="inlineStr">
        <is>
          <t>Adjustment</t>
        </is>
      </c>
      <c r="D63" s="14" t="n">
        <v>46293</v>
      </c>
      <c r="E63" s="12" t="n">
        <v>5</v>
      </c>
      <c r="F63" s="12">
        <f>IF($C63="Sale",-$E63,$E63)</f>
        <v/>
      </c>
    </row>
    <row r="64">
      <c r="A64" s="14" t="n">
        <v>46296</v>
      </c>
      <c r="B64" t="inlineStr">
        <is>
          <t>P23</t>
        </is>
      </c>
      <c r="C64" t="inlineStr">
        <is>
          <t>Receipt</t>
        </is>
      </c>
      <c r="D64" s="14" t="n">
        <v>46293</v>
      </c>
      <c r="E64" s="12" t="n">
        <v>21</v>
      </c>
      <c r="F64" s="12">
        <f>IF($C64="Sale",-$E64,$E64)</f>
        <v/>
      </c>
    </row>
    <row r="65">
      <c r="A65" s="14" t="n">
        <v>46297</v>
      </c>
      <c r="B65" t="inlineStr">
        <is>
          <t>P05</t>
        </is>
      </c>
      <c r="C65" t="inlineStr">
        <is>
          <t>Sale</t>
        </is>
      </c>
      <c r="D65" s="14" t="n">
        <v>46293</v>
      </c>
      <c r="E65" s="12" t="n">
        <v>45</v>
      </c>
      <c r="F65" s="12">
        <f>IF($C65="Sale",-$E65,$E65)</f>
        <v/>
      </c>
    </row>
    <row r="66">
      <c r="A66" s="14" t="n">
        <v>46297</v>
      </c>
      <c r="B66" t="inlineStr">
        <is>
          <t>P23</t>
        </is>
      </c>
      <c r="C66" t="inlineStr">
        <is>
          <t>Sale</t>
        </is>
      </c>
      <c r="D66" s="14" t="n">
        <v>46293</v>
      </c>
      <c r="E66" s="12" t="n">
        <v>26</v>
      </c>
      <c r="F66" s="12">
        <f>IF($C66="Sale",-$E66,$E66)</f>
        <v/>
      </c>
    </row>
    <row r="67">
      <c r="A67" s="14" t="n">
        <v>46298</v>
      </c>
      <c r="B67" t="inlineStr">
        <is>
          <t>P09</t>
        </is>
      </c>
      <c r="C67" t="inlineStr">
        <is>
          <t>Sale</t>
        </is>
      </c>
      <c r="D67" s="14" t="n">
        <v>46293</v>
      </c>
      <c r="E67" s="12" t="n">
        <v>39</v>
      </c>
      <c r="F67" s="12">
        <f>IF($C67="Sale",-$E67,$E67)</f>
        <v/>
      </c>
    </row>
    <row r="68">
      <c r="A68" s="14" t="n">
        <v>46298</v>
      </c>
      <c r="B68" t="inlineStr">
        <is>
          <t>P13</t>
        </is>
      </c>
      <c r="C68" t="inlineStr">
        <is>
          <t>Sale</t>
        </is>
      </c>
      <c r="D68" s="14" t="n">
        <v>46293</v>
      </c>
      <c r="E68" s="12" t="n">
        <v>10</v>
      </c>
      <c r="F68" s="12">
        <f>IF($C68="Sale",-$E68,$E68)</f>
        <v/>
      </c>
    </row>
    <row r="69">
      <c r="A69" s="14" t="n">
        <v>46298</v>
      </c>
      <c r="B69" t="inlineStr">
        <is>
          <t>P14</t>
        </is>
      </c>
      <c r="C69" t="inlineStr">
        <is>
          <t>Sale</t>
        </is>
      </c>
      <c r="D69" s="14" t="n">
        <v>46293</v>
      </c>
      <c r="E69" s="12" t="n">
        <v>24</v>
      </c>
      <c r="F69" s="12">
        <f>IF($C69="Sale",-$E69,$E69)</f>
        <v/>
      </c>
    </row>
    <row r="70">
      <c r="A70" s="14" t="n">
        <v>46299</v>
      </c>
      <c r="B70" t="inlineStr">
        <is>
          <t>P03</t>
        </is>
      </c>
      <c r="C70" t="inlineStr">
        <is>
          <t>Receipt</t>
        </is>
      </c>
      <c r="D70" s="14" t="n">
        <v>46293</v>
      </c>
      <c r="E70" s="12" t="n">
        <v>38</v>
      </c>
      <c r="F70" s="12">
        <f>IF($C70="Sale",-$E70,$E70)</f>
        <v/>
      </c>
    </row>
    <row r="71">
      <c r="A71" s="14" t="n">
        <v>46299</v>
      </c>
      <c r="B71" t="inlineStr">
        <is>
          <t>P17</t>
        </is>
      </c>
      <c r="C71" t="inlineStr">
        <is>
          <t>Receipt</t>
        </is>
      </c>
      <c r="D71" s="14" t="n">
        <v>46293</v>
      </c>
      <c r="E71" s="12" t="n">
        <v>61</v>
      </c>
      <c r="F71" s="12">
        <f>IF($C71="Sale",-$E71,$E71)</f>
        <v/>
      </c>
    </row>
    <row r="72">
      <c r="A72" s="14" t="n">
        <v>46299</v>
      </c>
      <c r="B72" t="inlineStr">
        <is>
          <t>P21</t>
        </is>
      </c>
      <c r="C72" t="inlineStr">
        <is>
          <t>Sale</t>
        </is>
      </c>
      <c r="D72" s="14" t="n">
        <v>46293</v>
      </c>
      <c r="E72" s="12" t="n">
        <v>21</v>
      </c>
      <c r="F72" s="12">
        <f>IF($C72="Sale",-$E72,$E72)</f>
        <v/>
      </c>
    </row>
    <row r="73">
      <c r="A73" s="14" t="n">
        <v>46301</v>
      </c>
      <c r="B73" t="inlineStr">
        <is>
          <t>P15</t>
        </is>
      </c>
      <c r="C73" t="inlineStr">
        <is>
          <t>Adjustment</t>
        </is>
      </c>
      <c r="D73" s="14" t="n">
        <v>46300</v>
      </c>
      <c r="E73" s="12" t="n">
        <v>-1</v>
      </c>
      <c r="F73" s="12">
        <f>IF($C73="Sale",-$E73,$E73)</f>
        <v/>
      </c>
    </row>
    <row r="74">
      <c r="A74" s="14" t="n">
        <v>46302</v>
      </c>
      <c r="B74" t="inlineStr">
        <is>
          <t>P20</t>
        </is>
      </c>
      <c r="C74" t="inlineStr">
        <is>
          <t>Receipt</t>
        </is>
      </c>
      <c r="D74" s="14" t="n">
        <v>46300</v>
      </c>
      <c r="E74" s="12" t="n">
        <v>51</v>
      </c>
      <c r="F74" s="12">
        <f>IF($C74="Sale",-$E74,$E74)</f>
        <v/>
      </c>
    </row>
    <row r="75">
      <c r="A75" s="14" t="n">
        <v>46303</v>
      </c>
      <c r="B75" t="inlineStr">
        <is>
          <t>P10</t>
        </is>
      </c>
      <c r="C75" t="inlineStr">
        <is>
          <t>Sale</t>
        </is>
      </c>
      <c r="D75" s="14" t="n">
        <v>46300</v>
      </c>
      <c r="E75" s="12" t="n">
        <v>27</v>
      </c>
      <c r="F75" s="12">
        <f>IF($C75="Sale",-$E75,$E75)</f>
        <v/>
      </c>
    </row>
    <row r="76">
      <c r="A76" s="14" t="n">
        <v>46303</v>
      </c>
      <c r="B76" t="inlineStr">
        <is>
          <t>P24</t>
        </is>
      </c>
      <c r="C76" t="inlineStr">
        <is>
          <t>Sale</t>
        </is>
      </c>
      <c r="D76" s="14" t="n">
        <v>46300</v>
      </c>
      <c r="E76" s="12" t="n">
        <v>15</v>
      </c>
      <c r="F76" s="12">
        <f>IF($C76="Sale",-$E76,$E76)</f>
        <v/>
      </c>
    </row>
    <row r="77">
      <c r="A77" s="14" t="n">
        <v>46304</v>
      </c>
      <c r="B77" t="inlineStr">
        <is>
          <t>P01</t>
        </is>
      </c>
      <c r="C77" t="inlineStr">
        <is>
          <t>Receipt</t>
        </is>
      </c>
      <c r="D77" s="14" t="n">
        <v>46300</v>
      </c>
      <c r="E77" s="12" t="n">
        <v>33</v>
      </c>
      <c r="F77" s="12">
        <f>IF($C77="Sale",-$E77,$E77)</f>
        <v/>
      </c>
    </row>
    <row r="78">
      <c r="A78" s="14" t="n">
        <v>46304</v>
      </c>
      <c r="B78" t="inlineStr">
        <is>
          <t>P04</t>
        </is>
      </c>
      <c r="C78" t="inlineStr">
        <is>
          <t>Receipt</t>
        </is>
      </c>
      <c r="D78" s="14" t="n">
        <v>46300</v>
      </c>
      <c r="E78" s="12" t="n">
        <v>75</v>
      </c>
      <c r="F78" s="12">
        <f>IF($C78="Sale",-$E78,$E78)</f>
        <v/>
      </c>
    </row>
    <row r="79">
      <c r="A79" s="14" t="n">
        <v>46304</v>
      </c>
      <c r="B79" t="inlineStr">
        <is>
          <t>P06</t>
        </is>
      </c>
      <c r="C79" t="inlineStr">
        <is>
          <t>Sale</t>
        </is>
      </c>
      <c r="D79" s="14" t="n">
        <v>46300</v>
      </c>
      <c r="E79" s="12" t="n">
        <v>47</v>
      </c>
      <c r="F79" s="12">
        <f>IF($C79="Sale",-$E79,$E79)</f>
        <v/>
      </c>
    </row>
    <row r="80">
      <c r="A80" s="14" t="n">
        <v>46304</v>
      </c>
      <c r="B80" t="inlineStr">
        <is>
          <t>P12</t>
        </is>
      </c>
      <c r="C80" t="inlineStr">
        <is>
          <t>Adjustment</t>
        </is>
      </c>
      <c r="D80" s="14" t="n">
        <v>46300</v>
      </c>
      <c r="E80" s="12" t="n">
        <v>5</v>
      </c>
      <c r="F80" s="12">
        <f>IF($C80="Sale",-$E80,$E80)</f>
        <v/>
      </c>
    </row>
    <row r="81">
      <c r="A81" s="14" t="n">
        <v>46304</v>
      </c>
      <c r="B81" t="inlineStr">
        <is>
          <t>P13</t>
        </is>
      </c>
      <c r="C81" t="inlineStr">
        <is>
          <t>Sale</t>
        </is>
      </c>
      <c r="D81" s="14" t="n">
        <v>46300</v>
      </c>
      <c r="E81" s="12" t="n">
        <v>26</v>
      </c>
      <c r="F81" s="12">
        <f>IF($C81="Sale",-$E81,$E81)</f>
        <v/>
      </c>
    </row>
    <row r="82">
      <c r="A82" s="14" t="n">
        <v>46304</v>
      </c>
      <c r="B82" t="inlineStr">
        <is>
          <t>P14</t>
        </is>
      </c>
      <c r="C82" t="inlineStr">
        <is>
          <t>Sale</t>
        </is>
      </c>
      <c r="D82" s="14" t="n">
        <v>46300</v>
      </c>
      <c r="E82" s="12" t="n">
        <v>5</v>
      </c>
      <c r="F82" s="12">
        <f>IF($C82="Sale",-$E82,$E82)</f>
        <v/>
      </c>
    </row>
    <row r="83">
      <c r="A83" s="14" t="n">
        <v>46304</v>
      </c>
      <c r="B83" t="inlineStr">
        <is>
          <t>P18</t>
        </is>
      </c>
      <c r="C83" t="inlineStr">
        <is>
          <t>Receipt</t>
        </is>
      </c>
      <c r="D83" s="14" t="n">
        <v>46300</v>
      </c>
      <c r="E83" s="12" t="n">
        <v>66</v>
      </c>
      <c r="F83" s="12">
        <f>IF($C83="Sale",-$E83,$E83)</f>
        <v/>
      </c>
    </row>
    <row r="84">
      <c r="A84" s="14" t="n">
        <v>46304</v>
      </c>
      <c r="B84" t="inlineStr">
        <is>
          <t>P22</t>
        </is>
      </c>
      <c r="C84" t="inlineStr">
        <is>
          <t>Adjustment</t>
        </is>
      </c>
      <c r="D84" s="14" t="n">
        <v>46300</v>
      </c>
      <c r="E84" s="12" t="n">
        <v>-5</v>
      </c>
      <c r="F84" s="12">
        <f>IF($C84="Sale",-$E84,$E84)</f>
        <v/>
      </c>
    </row>
    <row r="85">
      <c r="A85" s="14" t="n">
        <v>46305</v>
      </c>
      <c r="B85" t="inlineStr">
        <is>
          <t>P19</t>
        </is>
      </c>
      <c r="C85" t="inlineStr">
        <is>
          <t>Receipt</t>
        </is>
      </c>
      <c r="D85" s="14" t="n">
        <v>46300</v>
      </c>
      <c r="E85" s="12" t="n">
        <v>28</v>
      </c>
      <c r="F85" s="12">
        <f>IF($C85="Sale",-$E85,$E85)</f>
        <v/>
      </c>
    </row>
    <row r="86">
      <c r="A86" s="14" t="n">
        <v>46306</v>
      </c>
      <c r="B86" t="inlineStr">
        <is>
          <t>P03</t>
        </is>
      </c>
      <c r="C86" t="inlineStr">
        <is>
          <t>Sale</t>
        </is>
      </c>
      <c r="D86" s="14" t="n">
        <v>46300</v>
      </c>
      <c r="E86" s="12" t="n">
        <v>39</v>
      </c>
      <c r="F86" s="12">
        <f>IF($C86="Sale",-$E86,$E86)</f>
        <v/>
      </c>
    </row>
    <row r="87">
      <c r="A87" s="14" t="n">
        <v>46306</v>
      </c>
      <c r="B87" t="inlineStr">
        <is>
          <t>P13</t>
        </is>
      </c>
      <c r="C87" t="inlineStr">
        <is>
          <t>Receipt</t>
        </is>
      </c>
      <c r="D87" s="14" t="n">
        <v>46300</v>
      </c>
      <c r="E87" s="12" t="n">
        <v>33</v>
      </c>
      <c r="F87" s="12">
        <f>IF($C87="Sale",-$E87,$E87)</f>
        <v/>
      </c>
    </row>
    <row r="88">
      <c r="A88" s="14" t="n">
        <v>46307</v>
      </c>
      <c r="B88" t="inlineStr">
        <is>
          <t>P12</t>
        </is>
      </c>
      <c r="C88" t="inlineStr">
        <is>
          <t>Receipt</t>
        </is>
      </c>
      <c r="D88" s="14" t="n">
        <v>46307</v>
      </c>
      <c r="E88" s="12" t="n">
        <v>63</v>
      </c>
      <c r="F88" s="12">
        <f>IF($C88="Sale",-$E88,$E88)</f>
        <v/>
      </c>
    </row>
    <row r="89">
      <c r="A89" s="14" t="n">
        <v>46307</v>
      </c>
      <c r="B89" t="inlineStr">
        <is>
          <t>P20</t>
        </is>
      </c>
      <c r="C89" t="inlineStr">
        <is>
          <t>Receipt</t>
        </is>
      </c>
      <c r="D89" s="14" t="n">
        <v>46307</v>
      </c>
      <c r="E89" s="12" t="n">
        <v>29</v>
      </c>
      <c r="F89" s="12">
        <f>IF($C89="Sale",-$E89,$E89)</f>
        <v/>
      </c>
    </row>
    <row r="90">
      <c r="A90" s="14" t="n">
        <v>46308</v>
      </c>
      <c r="B90" t="inlineStr">
        <is>
          <t>P05</t>
        </is>
      </c>
      <c r="C90" t="inlineStr">
        <is>
          <t>Sale</t>
        </is>
      </c>
      <c r="D90" s="14" t="n">
        <v>46307</v>
      </c>
      <c r="E90" s="12" t="n">
        <v>22</v>
      </c>
      <c r="F90" s="12">
        <f>IF($C90="Sale",-$E90,$E90)</f>
        <v/>
      </c>
    </row>
    <row r="91">
      <c r="A91" s="14" t="n">
        <v>46308</v>
      </c>
      <c r="B91" t="inlineStr">
        <is>
          <t>P08</t>
        </is>
      </c>
      <c r="C91" t="inlineStr">
        <is>
          <t>Receipt</t>
        </is>
      </c>
      <c r="D91" s="14" t="n">
        <v>46307</v>
      </c>
      <c r="E91" s="12" t="n">
        <v>55</v>
      </c>
      <c r="F91" s="12">
        <f>IF($C91="Sale",-$E91,$E91)</f>
        <v/>
      </c>
    </row>
    <row r="92">
      <c r="A92" s="14" t="n">
        <v>46308</v>
      </c>
      <c r="B92" t="inlineStr">
        <is>
          <t>P09</t>
        </is>
      </c>
      <c r="C92" t="inlineStr">
        <is>
          <t>Sale</t>
        </is>
      </c>
      <c r="D92" s="14" t="n">
        <v>46307</v>
      </c>
      <c r="E92" s="12" t="n">
        <v>26</v>
      </c>
      <c r="F92" s="12">
        <f>IF($C92="Sale",-$E92,$E92)</f>
        <v/>
      </c>
    </row>
    <row r="93">
      <c r="A93" s="14" t="n">
        <v>46308</v>
      </c>
      <c r="B93" t="inlineStr">
        <is>
          <t>P13</t>
        </is>
      </c>
      <c r="C93" t="inlineStr">
        <is>
          <t>Receipt</t>
        </is>
      </c>
      <c r="D93" s="14" t="n">
        <v>46307</v>
      </c>
      <c r="E93" s="12" t="n">
        <v>61</v>
      </c>
      <c r="F93" s="12">
        <f>IF($C93="Sale",-$E93,$E93)</f>
        <v/>
      </c>
    </row>
    <row r="94">
      <c r="A94" s="14" t="n">
        <v>46310</v>
      </c>
      <c r="B94" t="inlineStr">
        <is>
          <t>P07</t>
        </is>
      </c>
      <c r="C94" t="inlineStr">
        <is>
          <t>Sale</t>
        </is>
      </c>
      <c r="D94" s="14" t="n">
        <v>46307</v>
      </c>
      <c r="E94" s="12" t="n">
        <v>21</v>
      </c>
      <c r="F94" s="12">
        <f>IF($C94="Sale",-$E94,$E94)</f>
        <v/>
      </c>
    </row>
    <row r="95">
      <c r="A95" s="14" t="n">
        <v>46310</v>
      </c>
      <c r="B95" t="inlineStr">
        <is>
          <t>P11</t>
        </is>
      </c>
      <c r="C95" t="inlineStr">
        <is>
          <t>Sale</t>
        </is>
      </c>
      <c r="D95" s="14" t="n">
        <v>46307</v>
      </c>
      <c r="E95" s="12" t="n">
        <v>10</v>
      </c>
      <c r="F95" s="12">
        <f>IF($C95="Sale",-$E95,$E95)</f>
        <v/>
      </c>
    </row>
    <row r="96">
      <c r="A96" s="14" t="n">
        <v>46310</v>
      </c>
      <c r="B96" t="inlineStr">
        <is>
          <t>P17</t>
        </is>
      </c>
      <c r="C96" t="inlineStr">
        <is>
          <t>Sale</t>
        </is>
      </c>
      <c r="D96" s="14" t="n">
        <v>46307</v>
      </c>
      <c r="E96" s="12" t="n">
        <v>40</v>
      </c>
      <c r="F96" s="12">
        <f>IF($C96="Sale",-$E96,$E96)</f>
        <v/>
      </c>
    </row>
    <row r="97">
      <c r="A97" s="14" t="n">
        <v>46310</v>
      </c>
      <c r="B97" t="inlineStr">
        <is>
          <t>P21</t>
        </is>
      </c>
      <c r="C97" t="inlineStr">
        <is>
          <t>Adjustment</t>
        </is>
      </c>
      <c r="D97" s="14" t="n">
        <v>46307</v>
      </c>
      <c r="E97" s="12" t="n">
        <v>-1</v>
      </c>
      <c r="F97" s="12">
        <f>IF($C97="Sale",-$E97,$E97)</f>
        <v/>
      </c>
    </row>
    <row r="98">
      <c r="A98" s="14" t="n">
        <v>46310</v>
      </c>
      <c r="B98" t="inlineStr">
        <is>
          <t>P22</t>
        </is>
      </c>
      <c r="C98" t="inlineStr">
        <is>
          <t>Sale</t>
        </is>
      </c>
      <c r="D98" s="14" t="n">
        <v>46307</v>
      </c>
      <c r="E98" s="12" t="n">
        <v>23</v>
      </c>
      <c r="F98" s="12">
        <f>IF($C98="Sale",-$E98,$E98)</f>
        <v/>
      </c>
    </row>
    <row r="99">
      <c r="A99" s="14" t="n">
        <v>46311</v>
      </c>
      <c r="B99" t="inlineStr">
        <is>
          <t>P16</t>
        </is>
      </c>
      <c r="C99" t="inlineStr">
        <is>
          <t>Receipt</t>
        </is>
      </c>
      <c r="D99" s="14" t="n">
        <v>46307</v>
      </c>
      <c r="E99" s="12" t="n">
        <v>42</v>
      </c>
      <c r="F99" s="12">
        <f>IF($C99="Sale",-$E99,$E99)</f>
        <v/>
      </c>
    </row>
    <row r="100">
      <c r="A100" s="14" t="n">
        <v>46312</v>
      </c>
      <c r="B100" t="inlineStr">
        <is>
          <t>P01</t>
        </is>
      </c>
      <c r="C100" t="inlineStr">
        <is>
          <t>Receipt</t>
        </is>
      </c>
      <c r="D100" s="14" t="n">
        <v>46307</v>
      </c>
      <c r="E100" s="12" t="n">
        <v>26</v>
      </c>
      <c r="F100" s="12">
        <f>IF($C100="Sale",-$E100,$E100)</f>
        <v/>
      </c>
    </row>
    <row r="101">
      <c r="A101" s="14" t="n">
        <v>46312</v>
      </c>
      <c r="B101" t="inlineStr">
        <is>
          <t>P05</t>
        </is>
      </c>
      <c r="C101" t="inlineStr">
        <is>
          <t>Adjustment</t>
        </is>
      </c>
      <c r="D101" s="14" t="n">
        <v>46307</v>
      </c>
      <c r="E101" s="12" t="n">
        <v>3</v>
      </c>
      <c r="F101" s="12">
        <f>IF($C101="Sale",-$E101,$E101)</f>
        <v/>
      </c>
    </row>
    <row r="102">
      <c r="A102" s="14" t="n">
        <v>46313</v>
      </c>
      <c r="B102" t="inlineStr">
        <is>
          <t>P03</t>
        </is>
      </c>
      <c r="C102" t="inlineStr">
        <is>
          <t>Sale</t>
        </is>
      </c>
      <c r="D102" s="14" t="n">
        <v>46307</v>
      </c>
      <c r="E102" s="12" t="n">
        <v>33</v>
      </c>
      <c r="F102" s="12">
        <f>IF($C102="Sale",-$E102,$E102)</f>
        <v/>
      </c>
    </row>
    <row r="103">
      <c r="A103" s="14" t="n">
        <v>46313</v>
      </c>
      <c r="B103" t="inlineStr">
        <is>
          <t>P07</t>
        </is>
      </c>
      <c r="C103" t="inlineStr">
        <is>
          <t>Sale</t>
        </is>
      </c>
      <c r="D103" s="14" t="n">
        <v>46307</v>
      </c>
      <c r="E103" s="12" t="n">
        <v>31</v>
      </c>
      <c r="F103" s="12">
        <f>IF($C103="Sale",-$E103,$E103)</f>
        <v/>
      </c>
    </row>
    <row r="104">
      <c r="A104" s="14" t="n">
        <v>46313</v>
      </c>
      <c r="B104" t="inlineStr">
        <is>
          <t>P24</t>
        </is>
      </c>
      <c r="C104" t="inlineStr">
        <is>
          <t>Receipt</t>
        </is>
      </c>
      <c r="D104" s="14" t="n">
        <v>46307</v>
      </c>
      <c r="E104" s="12" t="n">
        <v>21</v>
      </c>
      <c r="F104" s="12">
        <f>IF($C104="Sale",-$E104,$E104)</f>
        <v/>
      </c>
    </row>
    <row r="105">
      <c r="A105" s="14" t="n">
        <v>46314</v>
      </c>
      <c r="B105" t="inlineStr">
        <is>
          <t>P01</t>
        </is>
      </c>
      <c r="C105" t="inlineStr">
        <is>
          <t>Sale</t>
        </is>
      </c>
      <c r="D105" s="14" t="n">
        <v>46314</v>
      </c>
      <c r="E105" s="12" t="n">
        <v>147</v>
      </c>
      <c r="F105" s="12">
        <f>IF($C105="Sale",-$E105,$E105)</f>
        <v/>
      </c>
    </row>
    <row r="106">
      <c r="A106" s="14" t="n">
        <v>46314</v>
      </c>
      <c r="B106" t="inlineStr">
        <is>
          <t>P16</t>
        </is>
      </c>
      <c r="C106" t="inlineStr">
        <is>
          <t>Sale</t>
        </is>
      </c>
      <c r="D106" s="14" t="n">
        <v>46314</v>
      </c>
      <c r="E106" s="12" t="n">
        <v>52</v>
      </c>
      <c r="F106" s="12">
        <f>IF($C106="Sale",-$E106,$E106)</f>
        <v/>
      </c>
    </row>
    <row r="107">
      <c r="A107" s="14" t="n">
        <v>46314</v>
      </c>
      <c r="B107" t="inlineStr">
        <is>
          <t>P17</t>
        </is>
      </c>
      <c r="C107" t="inlineStr">
        <is>
          <t>Receipt</t>
        </is>
      </c>
      <c r="D107" s="14" t="n">
        <v>46314</v>
      </c>
      <c r="E107" s="12" t="n">
        <v>7</v>
      </c>
      <c r="F107" s="12">
        <f>IF($C107="Sale",-$E107,$E107)</f>
        <v/>
      </c>
    </row>
    <row r="108">
      <c r="A108" s="14" t="n">
        <v>46314</v>
      </c>
      <c r="B108" t="inlineStr">
        <is>
          <t>P21</t>
        </is>
      </c>
      <c r="C108" t="inlineStr">
        <is>
          <t>Adjustment</t>
        </is>
      </c>
      <c r="D108" s="14" t="n">
        <v>46314</v>
      </c>
      <c r="E108" s="12" t="n">
        <v>1</v>
      </c>
      <c r="F108" s="12">
        <f>IF($C108="Sale",-$E108,$E108)</f>
        <v/>
      </c>
    </row>
    <row r="109">
      <c r="A109" s="14" t="n">
        <v>46314</v>
      </c>
      <c r="B109" t="inlineStr">
        <is>
          <t>P22</t>
        </is>
      </c>
      <c r="C109" t="inlineStr">
        <is>
          <t>Sale</t>
        </is>
      </c>
      <c r="D109" s="14" t="n">
        <v>46314</v>
      </c>
      <c r="E109" s="12" t="n">
        <v>28</v>
      </c>
      <c r="F109" s="12">
        <f>IF($C109="Sale",-$E109,$E109)</f>
        <v/>
      </c>
    </row>
    <row r="110">
      <c r="A110" s="14" t="n">
        <v>46315</v>
      </c>
      <c r="B110" t="inlineStr">
        <is>
          <t>P19</t>
        </is>
      </c>
      <c r="C110" t="inlineStr">
        <is>
          <t>Sale</t>
        </is>
      </c>
      <c r="D110" s="14" t="n">
        <v>46314</v>
      </c>
      <c r="E110" s="12" t="n">
        <v>32</v>
      </c>
      <c r="F110" s="12">
        <f>IF($C110="Sale",-$E110,$E110)</f>
        <v/>
      </c>
    </row>
    <row r="111">
      <c r="A111" s="14" t="n">
        <v>46315</v>
      </c>
      <c r="B111" t="inlineStr">
        <is>
          <t>P19</t>
        </is>
      </c>
      <c r="C111" t="inlineStr">
        <is>
          <t>Adjustment</t>
        </is>
      </c>
      <c r="D111" s="14" t="n">
        <v>46314</v>
      </c>
      <c r="E111" s="12" t="n">
        <v>-3</v>
      </c>
      <c r="F111" s="12">
        <f>IF($C111="Sale",-$E111,$E111)</f>
        <v/>
      </c>
    </row>
    <row r="112">
      <c r="A112" s="14" t="n">
        <v>46316</v>
      </c>
      <c r="B112" t="inlineStr">
        <is>
          <t>P05</t>
        </is>
      </c>
      <c r="C112" t="inlineStr">
        <is>
          <t>Sale</t>
        </is>
      </c>
      <c r="D112" s="14" t="n">
        <v>46314</v>
      </c>
      <c r="E112" s="12" t="n">
        <v>32</v>
      </c>
      <c r="F112" s="12">
        <f>IF($C112="Sale",-$E112,$E112)</f>
        <v/>
      </c>
    </row>
    <row r="113">
      <c r="A113" s="14" t="n">
        <v>46316</v>
      </c>
      <c r="B113" t="inlineStr">
        <is>
          <t>P08</t>
        </is>
      </c>
      <c r="C113" t="inlineStr">
        <is>
          <t>Sale</t>
        </is>
      </c>
      <c r="D113" s="14" t="n">
        <v>46314</v>
      </c>
      <c r="E113" s="12" t="n">
        <v>43</v>
      </c>
      <c r="F113" s="12">
        <f>IF($C113="Sale",-$E113,$E113)</f>
        <v/>
      </c>
    </row>
    <row r="114">
      <c r="A114" s="14" t="n">
        <v>46316</v>
      </c>
      <c r="B114" t="inlineStr">
        <is>
          <t>P15</t>
        </is>
      </c>
      <c r="C114" t="inlineStr">
        <is>
          <t>Sale</t>
        </is>
      </c>
      <c r="D114" s="14" t="n">
        <v>46314</v>
      </c>
      <c r="E114" s="12" t="n">
        <v>168</v>
      </c>
      <c r="F114" s="12">
        <f>IF($C114="Sale",-$E114,$E114)</f>
        <v/>
      </c>
    </row>
    <row r="115">
      <c r="A115" s="14" t="n">
        <v>46316</v>
      </c>
      <c r="B115" t="inlineStr">
        <is>
          <t>P17</t>
        </is>
      </c>
      <c r="C115" t="inlineStr">
        <is>
          <t>Adjustment</t>
        </is>
      </c>
      <c r="D115" s="14" t="n">
        <v>46314</v>
      </c>
      <c r="E115" s="12" t="n">
        <v>0</v>
      </c>
      <c r="F115" s="12">
        <f>IF($C115="Sale",-$E115,$E115)</f>
        <v/>
      </c>
    </row>
    <row r="116">
      <c r="A116" s="14" t="n">
        <v>46316</v>
      </c>
      <c r="B116" t="inlineStr">
        <is>
          <t>P17</t>
        </is>
      </c>
      <c r="C116" t="inlineStr">
        <is>
          <t>Adjustment</t>
        </is>
      </c>
      <c r="D116" s="14" t="n">
        <v>46314</v>
      </c>
      <c r="E116" s="12" t="n">
        <v>-5</v>
      </c>
      <c r="F116" s="12">
        <f>IF($C116="Sale",-$E116,$E116)</f>
        <v/>
      </c>
    </row>
    <row r="117">
      <c r="A117" s="14" t="n">
        <v>46316</v>
      </c>
      <c r="B117" t="inlineStr">
        <is>
          <t>P22</t>
        </is>
      </c>
      <c r="C117" t="inlineStr">
        <is>
          <t>Adjustment</t>
        </is>
      </c>
      <c r="D117" s="14" t="n">
        <v>46314</v>
      </c>
      <c r="E117" s="12" t="n">
        <v>-5</v>
      </c>
      <c r="F117" s="12">
        <f>IF($C117="Sale",-$E117,$E117)</f>
        <v/>
      </c>
    </row>
    <row r="118">
      <c r="A118" s="14" t="n">
        <v>46317</v>
      </c>
      <c r="B118" t="inlineStr">
        <is>
          <t>P04</t>
        </is>
      </c>
      <c r="C118" t="inlineStr">
        <is>
          <t>Sale</t>
        </is>
      </c>
      <c r="D118" s="14" t="n">
        <v>46314</v>
      </c>
      <c r="E118" s="12" t="n">
        <v>307</v>
      </c>
      <c r="F118" s="12">
        <f>IF($C118="Sale",-$E118,$E118)</f>
        <v/>
      </c>
    </row>
    <row r="119">
      <c r="A119" s="14" t="n">
        <v>46317</v>
      </c>
      <c r="B119" t="inlineStr">
        <is>
          <t>P09</t>
        </is>
      </c>
      <c r="C119" t="inlineStr">
        <is>
          <t>Sale</t>
        </is>
      </c>
      <c r="D119" s="14" t="n">
        <v>46314</v>
      </c>
      <c r="E119" s="12" t="n">
        <v>23</v>
      </c>
      <c r="F119" s="12">
        <f>IF($C119="Sale",-$E119,$E119)</f>
        <v/>
      </c>
    </row>
    <row r="120">
      <c r="A120" s="14" t="n">
        <v>46317</v>
      </c>
      <c r="B120" t="inlineStr">
        <is>
          <t>P10</t>
        </is>
      </c>
      <c r="C120" t="inlineStr">
        <is>
          <t>Sale</t>
        </is>
      </c>
      <c r="D120" s="14" t="n">
        <v>46314</v>
      </c>
      <c r="E120" s="12" t="n">
        <v>30</v>
      </c>
      <c r="F120" s="12">
        <f>IF($C120="Sale",-$E120,$E120)</f>
        <v/>
      </c>
    </row>
    <row r="121">
      <c r="A121" s="14" t="n">
        <v>46317</v>
      </c>
      <c r="B121" t="inlineStr">
        <is>
          <t>P10</t>
        </is>
      </c>
      <c r="C121" t="inlineStr">
        <is>
          <t>Receipt</t>
        </is>
      </c>
      <c r="D121" s="14" t="n">
        <v>46314</v>
      </c>
      <c r="E121" s="12" t="n">
        <v>19</v>
      </c>
      <c r="F121" s="12">
        <f>IF($C121="Sale",-$E121,$E121)</f>
        <v/>
      </c>
    </row>
    <row r="122">
      <c r="A122" s="14" t="n">
        <v>46317</v>
      </c>
      <c r="B122" t="inlineStr">
        <is>
          <t>P15</t>
        </is>
      </c>
      <c r="C122" t="inlineStr">
        <is>
          <t>Adjustment</t>
        </is>
      </c>
      <c r="D122" s="14" t="n">
        <v>46314</v>
      </c>
      <c r="E122" s="12" t="n">
        <v>-1</v>
      </c>
      <c r="F122" s="12">
        <f>IF($C122="Sale",-$E122,$E122)</f>
        <v/>
      </c>
    </row>
    <row r="123">
      <c r="A123" s="14" t="n">
        <v>46318</v>
      </c>
      <c r="B123" t="inlineStr">
        <is>
          <t>P01</t>
        </is>
      </c>
      <c r="C123" t="inlineStr">
        <is>
          <t>Sale</t>
        </is>
      </c>
      <c r="D123" s="14" t="n">
        <v>46314</v>
      </c>
      <c r="E123" s="12" t="n">
        <v>14</v>
      </c>
      <c r="F123" s="12">
        <f>IF($C123="Sale",-$E123,$E123)</f>
        <v/>
      </c>
    </row>
    <row r="124">
      <c r="A124" s="14" t="n">
        <v>46318</v>
      </c>
      <c r="B124" t="inlineStr">
        <is>
          <t>P06</t>
        </is>
      </c>
      <c r="C124" t="inlineStr">
        <is>
          <t>Adjustment</t>
        </is>
      </c>
      <c r="D124" s="14" t="n">
        <v>46314</v>
      </c>
      <c r="E124" s="12" t="n">
        <v>-4</v>
      </c>
      <c r="F124" s="12">
        <f>IF($C124="Sale",-$E124,$E124)</f>
        <v/>
      </c>
    </row>
    <row r="125">
      <c r="A125" s="14" t="n">
        <v>46318</v>
      </c>
      <c r="B125" t="inlineStr">
        <is>
          <t>P06</t>
        </is>
      </c>
      <c r="C125" t="inlineStr">
        <is>
          <t>Sale</t>
        </is>
      </c>
      <c r="D125" s="14" t="n">
        <v>46314</v>
      </c>
      <c r="E125" s="12" t="n">
        <v>91</v>
      </c>
      <c r="F125" s="12">
        <f>IF($C125="Sale",-$E125,$E125)</f>
        <v/>
      </c>
    </row>
    <row r="126">
      <c r="A126" s="14" t="n">
        <v>46318</v>
      </c>
      <c r="B126" t="inlineStr">
        <is>
          <t>P18</t>
        </is>
      </c>
      <c r="C126" t="inlineStr">
        <is>
          <t>Sale</t>
        </is>
      </c>
      <c r="D126" s="14" t="n">
        <v>46314</v>
      </c>
      <c r="E126" s="12" t="n">
        <v>50</v>
      </c>
      <c r="F126" s="12">
        <f>IF($C126="Sale",-$E126,$E126)</f>
        <v/>
      </c>
    </row>
    <row r="127">
      <c r="A127" s="14" t="n">
        <v>46319</v>
      </c>
      <c r="B127" t="inlineStr">
        <is>
          <t>P11</t>
        </is>
      </c>
      <c r="C127" t="inlineStr">
        <is>
          <t>Sale</t>
        </is>
      </c>
      <c r="D127" s="14" t="n">
        <v>46314</v>
      </c>
      <c r="E127" s="12" t="n">
        <v>128</v>
      </c>
      <c r="F127" s="12">
        <f>IF($C127="Sale",-$E127,$E127)</f>
        <v/>
      </c>
    </row>
    <row r="128">
      <c r="A128" s="14" t="n">
        <v>46319</v>
      </c>
      <c r="B128" t="inlineStr">
        <is>
          <t>P13</t>
        </is>
      </c>
      <c r="C128" t="inlineStr">
        <is>
          <t>Adjustment</t>
        </is>
      </c>
      <c r="D128" s="14" t="n">
        <v>46314</v>
      </c>
      <c r="E128" s="12" t="n">
        <v>-1</v>
      </c>
      <c r="F128" s="12">
        <f>IF($C128="Sale",-$E128,$E128)</f>
        <v/>
      </c>
    </row>
    <row r="129">
      <c r="A129" s="14" t="n">
        <v>46319</v>
      </c>
      <c r="B129" t="inlineStr">
        <is>
          <t>P13</t>
        </is>
      </c>
      <c r="C129" t="inlineStr">
        <is>
          <t>Sale</t>
        </is>
      </c>
      <c r="D129" s="14" t="n">
        <v>46314</v>
      </c>
      <c r="E129" s="12" t="n">
        <v>105</v>
      </c>
      <c r="F129" s="12">
        <f>IF($C129="Sale",-$E129,$E129)</f>
        <v/>
      </c>
    </row>
    <row r="130">
      <c r="A130" s="14" t="n">
        <v>46319</v>
      </c>
      <c r="B130" t="inlineStr">
        <is>
          <t>P23</t>
        </is>
      </c>
      <c r="C130" t="inlineStr">
        <is>
          <t>Receipt</t>
        </is>
      </c>
      <c r="D130" s="14" t="n">
        <v>46314</v>
      </c>
      <c r="E130" s="12" t="n">
        <v>44</v>
      </c>
      <c r="F130" s="12">
        <f>IF($C130="Sale",-$E130,$E130)</f>
        <v/>
      </c>
    </row>
    <row r="131">
      <c r="A131" s="14" t="n">
        <v>46320</v>
      </c>
      <c r="B131" t="inlineStr">
        <is>
          <t>P03</t>
        </is>
      </c>
      <c r="C131" t="inlineStr">
        <is>
          <t>Sale</t>
        </is>
      </c>
      <c r="D131" s="14" t="n">
        <v>46314</v>
      </c>
      <c r="E131" s="12" t="n">
        <v>24</v>
      </c>
      <c r="F131" s="12">
        <f>IF($C131="Sale",-$E131,$E131)</f>
        <v/>
      </c>
    </row>
    <row r="132">
      <c r="A132" s="14" t="n">
        <v>46320</v>
      </c>
      <c r="B132" t="inlineStr">
        <is>
          <t>P09</t>
        </is>
      </c>
      <c r="C132" t="inlineStr">
        <is>
          <t>Sale</t>
        </is>
      </c>
      <c r="D132" s="14" t="n">
        <v>46314</v>
      </c>
      <c r="E132" s="12" t="n">
        <v>26</v>
      </c>
      <c r="F132" s="12">
        <f>IF($C132="Sale",-$E132,$E132)</f>
        <v/>
      </c>
    </row>
    <row r="133">
      <c r="A133" s="14" t="n">
        <v>46320</v>
      </c>
      <c r="B133" t="inlineStr">
        <is>
          <t>P09</t>
        </is>
      </c>
      <c r="C133" t="inlineStr">
        <is>
          <t>Sale</t>
        </is>
      </c>
      <c r="D133" s="14" t="n">
        <v>46314</v>
      </c>
      <c r="E133" s="12" t="n">
        <v>143</v>
      </c>
      <c r="F133" s="12">
        <f>IF($C133="Sale",-$E133,$E133)</f>
        <v/>
      </c>
    </row>
    <row r="134">
      <c r="A134" s="14" t="n">
        <v>46321</v>
      </c>
      <c r="B134" t="inlineStr">
        <is>
          <t>P01</t>
        </is>
      </c>
      <c r="C134" t="inlineStr">
        <is>
          <t>Sale</t>
        </is>
      </c>
      <c r="D134" s="14" t="n">
        <v>46321</v>
      </c>
      <c r="E134" s="12" t="n">
        <v>47</v>
      </c>
      <c r="F134" s="12">
        <f>IF($C134="Sale",-$E134,$E134)</f>
        <v/>
      </c>
    </row>
    <row r="135">
      <c r="A135" s="14" t="n">
        <v>46321</v>
      </c>
      <c r="B135" t="inlineStr">
        <is>
          <t>P02</t>
        </is>
      </c>
      <c r="C135" t="inlineStr">
        <is>
          <t>Sale</t>
        </is>
      </c>
      <c r="D135" s="14" t="n">
        <v>46321</v>
      </c>
      <c r="E135" s="12" t="n">
        <v>69</v>
      </c>
      <c r="F135" s="12">
        <f>IF($C135="Sale",-$E135,$E135)</f>
        <v/>
      </c>
    </row>
    <row r="136">
      <c r="A136" s="14" t="n">
        <v>46321</v>
      </c>
      <c r="B136" t="inlineStr">
        <is>
          <t>P07</t>
        </is>
      </c>
      <c r="C136" t="inlineStr">
        <is>
          <t>Sale</t>
        </is>
      </c>
      <c r="D136" s="14" t="n">
        <v>46321</v>
      </c>
      <c r="E136" s="12" t="n">
        <v>104</v>
      </c>
      <c r="F136" s="12">
        <f>IF($C136="Sale",-$E136,$E136)</f>
        <v/>
      </c>
    </row>
    <row r="137">
      <c r="A137" s="14" t="n">
        <v>46321</v>
      </c>
      <c r="B137" t="inlineStr">
        <is>
          <t>P08</t>
        </is>
      </c>
      <c r="C137" t="inlineStr">
        <is>
          <t>Sale</t>
        </is>
      </c>
      <c r="D137" s="14" t="n">
        <v>46321</v>
      </c>
      <c r="E137" s="12" t="n">
        <v>21</v>
      </c>
      <c r="F137" s="12">
        <f>IF($C137="Sale",-$E137,$E137)</f>
        <v/>
      </c>
    </row>
    <row r="138">
      <c r="A138" s="14" t="n">
        <v>46321</v>
      </c>
      <c r="B138" t="inlineStr">
        <is>
          <t>P11</t>
        </is>
      </c>
      <c r="C138" t="inlineStr">
        <is>
          <t>Sale</t>
        </is>
      </c>
      <c r="D138" s="14" t="n">
        <v>46321</v>
      </c>
      <c r="E138" s="12" t="n">
        <v>17</v>
      </c>
      <c r="F138" s="12">
        <f>IF($C138="Sale",-$E138,$E138)</f>
        <v/>
      </c>
    </row>
    <row r="139">
      <c r="A139" s="14" t="n">
        <v>46321</v>
      </c>
      <c r="B139" t="inlineStr">
        <is>
          <t>P18</t>
        </is>
      </c>
      <c r="C139" t="inlineStr">
        <is>
          <t>Sale</t>
        </is>
      </c>
      <c r="D139" s="14" t="n">
        <v>46321</v>
      </c>
      <c r="E139" s="12" t="n">
        <v>11</v>
      </c>
      <c r="F139" s="12">
        <f>IF($C139="Sale",-$E139,$E139)</f>
        <v/>
      </c>
    </row>
    <row r="140">
      <c r="A140" s="14" t="n">
        <v>46321</v>
      </c>
      <c r="B140" t="inlineStr">
        <is>
          <t>P18</t>
        </is>
      </c>
      <c r="C140" t="inlineStr">
        <is>
          <t>Sale</t>
        </is>
      </c>
      <c r="D140" s="14" t="n">
        <v>46321</v>
      </c>
      <c r="E140" s="12" t="n">
        <v>46</v>
      </c>
      <c r="F140" s="12">
        <f>IF($C140="Sale",-$E140,$E140)</f>
        <v/>
      </c>
    </row>
    <row r="141">
      <c r="A141" s="14" t="n">
        <v>46321</v>
      </c>
      <c r="B141" t="inlineStr">
        <is>
          <t>P20</t>
        </is>
      </c>
      <c r="C141" t="inlineStr">
        <is>
          <t>Sale</t>
        </is>
      </c>
      <c r="D141" s="14" t="n">
        <v>46321</v>
      </c>
      <c r="E141" s="12" t="n">
        <v>27</v>
      </c>
      <c r="F141" s="12">
        <f>IF($C141="Sale",-$E141,$E141)</f>
        <v/>
      </c>
    </row>
    <row r="142">
      <c r="A142" s="14" t="n">
        <v>46321</v>
      </c>
      <c r="B142" t="inlineStr">
        <is>
          <t>P23</t>
        </is>
      </c>
      <c r="C142" t="inlineStr">
        <is>
          <t>Receipt</t>
        </is>
      </c>
      <c r="D142" s="14" t="n">
        <v>46321</v>
      </c>
      <c r="E142" s="12" t="n">
        <v>65</v>
      </c>
      <c r="F142" s="12">
        <f>IF($C142="Sale",-$E142,$E142)</f>
        <v/>
      </c>
    </row>
    <row r="143">
      <c r="A143" s="14" t="n">
        <v>46322</v>
      </c>
      <c r="B143" t="inlineStr">
        <is>
          <t>P04</t>
        </is>
      </c>
      <c r="C143" t="inlineStr">
        <is>
          <t>Receipt</t>
        </is>
      </c>
      <c r="D143" s="14" t="n">
        <v>46321</v>
      </c>
      <c r="E143" s="12" t="n">
        <v>59</v>
      </c>
      <c r="F143" s="12">
        <f>IF($C143="Sale",-$E143,$E143)</f>
        <v/>
      </c>
    </row>
    <row r="144">
      <c r="A144" s="14" t="n">
        <v>46322</v>
      </c>
      <c r="B144" t="inlineStr">
        <is>
          <t>P06</t>
        </is>
      </c>
      <c r="C144" t="inlineStr">
        <is>
          <t>Receipt</t>
        </is>
      </c>
      <c r="D144" s="14" t="n">
        <v>46321</v>
      </c>
      <c r="E144" s="12" t="n">
        <v>20</v>
      </c>
      <c r="F144" s="12">
        <f>IF($C144="Sale",-$E144,$E144)</f>
        <v/>
      </c>
    </row>
    <row r="145">
      <c r="A145" s="14" t="n">
        <v>46322</v>
      </c>
      <c r="B145" t="inlineStr">
        <is>
          <t>P09</t>
        </is>
      </c>
      <c r="C145" t="inlineStr">
        <is>
          <t>Sale</t>
        </is>
      </c>
      <c r="D145" s="14" t="n">
        <v>46321</v>
      </c>
      <c r="E145" s="12" t="n">
        <v>15</v>
      </c>
      <c r="F145" s="12">
        <f>IF($C145="Sale",-$E145,$E145)</f>
        <v/>
      </c>
    </row>
    <row r="146">
      <c r="A146" s="14" t="n">
        <v>46322</v>
      </c>
      <c r="B146" t="inlineStr">
        <is>
          <t>P16</t>
        </is>
      </c>
      <c r="C146" t="inlineStr">
        <is>
          <t>Adjustment</t>
        </is>
      </c>
      <c r="D146" s="14" t="n">
        <v>46321</v>
      </c>
      <c r="E146" s="12" t="n">
        <v>-1</v>
      </c>
      <c r="F146" s="12">
        <f>IF($C146="Sale",-$E146,$E146)</f>
        <v/>
      </c>
    </row>
    <row r="147">
      <c r="A147" s="14" t="n">
        <v>46322</v>
      </c>
      <c r="B147" t="inlineStr">
        <is>
          <t>P22</t>
        </is>
      </c>
      <c r="C147" t="inlineStr">
        <is>
          <t>Sale</t>
        </is>
      </c>
      <c r="D147" s="14" t="n">
        <v>46321</v>
      </c>
      <c r="E147" s="12" t="n">
        <v>29</v>
      </c>
      <c r="F147" s="12">
        <f>IF($C147="Sale",-$E147,$E147)</f>
        <v/>
      </c>
    </row>
    <row r="148">
      <c r="A148" s="14" t="n">
        <v>46322</v>
      </c>
      <c r="B148" t="inlineStr">
        <is>
          <t>P24</t>
        </is>
      </c>
      <c r="C148" t="inlineStr">
        <is>
          <t>Sale</t>
        </is>
      </c>
      <c r="D148" s="14" t="n">
        <v>46321</v>
      </c>
      <c r="E148" s="12" t="n">
        <v>13</v>
      </c>
      <c r="F148" s="12">
        <f>IF($C148="Sale",-$E148,$E148)</f>
        <v/>
      </c>
    </row>
    <row r="149">
      <c r="A149" s="14" t="n">
        <v>46323</v>
      </c>
      <c r="B149" t="inlineStr">
        <is>
          <t>P08</t>
        </is>
      </c>
      <c r="C149" t="inlineStr">
        <is>
          <t>Sale</t>
        </is>
      </c>
      <c r="D149" s="14" t="n">
        <v>46321</v>
      </c>
      <c r="E149" s="12" t="n">
        <v>34</v>
      </c>
      <c r="F149" s="12">
        <f>IF($C149="Sale",-$E149,$E149)</f>
        <v/>
      </c>
    </row>
    <row r="150">
      <c r="A150" s="14" t="n">
        <v>46323</v>
      </c>
      <c r="B150" t="inlineStr">
        <is>
          <t>P10</t>
        </is>
      </c>
      <c r="C150" t="inlineStr">
        <is>
          <t>Receipt</t>
        </is>
      </c>
      <c r="D150" s="14" t="n">
        <v>46321</v>
      </c>
      <c r="E150" s="12" t="n">
        <v>68</v>
      </c>
      <c r="F150" s="12">
        <f>IF($C150="Sale",-$E150,$E150)</f>
        <v/>
      </c>
    </row>
    <row r="151">
      <c r="A151" s="14" t="n">
        <v>46323</v>
      </c>
      <c r="B151" t="inlineStr">
        <is>
          <t>P10</t>
        </is>
      </c>
      <c r="C151" t="inlineStr">
        <is>
          <t>Adjustment</t>
        </is>
      </c>
      <c r="D151" s="14" t="n">
        <v>46321</v>
      </c>
      <c r="E151" s="12" t="n">
        <v>0</v>
      </c>
      <c r="F151" s="12">
        <f>IF($C151="Sale",-$E151,$E151)</f>
        <v/>
      </c>
    </row>
    <row r="152">
      <c r="A152" s="14" t="n">
        <v>46323</v>
      </c>
      <c r="B152" t="inlineStr">
        <is>
          <t>P12</t>
        </is>
      </c>
      <c r="C152" t="inlineStr">
        <is>
          <t>Receipt</t>
        </is>
      </c>
      <c r="D152" s="14" t="n">
        <v>46321</v>
      </c>
      <c r="E152" s="12" t="n">
        <v>80</v>
      </c>
      <c r="F152" s="12">
        <f>IF($C152="Sale",-$E152,$E152)</f>
        <v/>
      </c>
    </row>
    <row r="153">
      <c r="A153" s="14" t="n">
        <v>46323</v>
      </c>
      <c r="B153" t="inlineStr">
        <is>
          <t>P14</t>
        </is>
      </c>
      <c r="C153" t="inlineStr">
        <is>
          <t>Receipt</t>
        </is>
      </c>
      <c r="D153" s="14" t="n">
        <v>46321</v>
      </c>
      <c r="E153" s="12" t="n">
        <v>65</v>
      </c>
      <c r="F153" s="12">
        <f>IF($C153="Sale",-$E153,$E153)</f>
        <v/>
      </c>
    </row>
    <row r="154">
      <c r="A154" s="14" t="n">
        <v>46323</v>
      </c>
      <c r="B154" t="inlineStr">
        <is>
          <t>P19</t>
        </is>
      </c>
      <c r="C154" t="inlineStr">
        <is>
          <t>Sale</t>
        </is>
      </c>
      <c r="D154" s="14" t="n">
        <v>46321</v>
      </c>
      <c r="E154" s="12" t="n">
        <v>18</v>
      </c>
      <c r="F154" s="12">
        <f>IF($C154="Sale",-$E154,$E154)</f>
        <v/>
      </c>
    </row>
    <row r="155">
      <c r="A155" s="14" t="n">
        <v>46323</v>
      </c>
      <c r="B155" t="inlineStr">
        <is>
          <t>P20</t>
        </is>
      </c>
      <c r="C155" t="inlineStr">
        <is>
          <t>Sale</t>
        </is>
      </c>
      <c r="D155" s="14" t="n">
        <v>46321</v>
      </c>
      <c r="E155" s="12" t="n">
        <v>129</v>
      </c>
      <c r="F155" s="12">
        <f>IF($C155="Sale",-$E155,$E155)</f>
        <v/>
      </c>
    </row>
    <row r="156">
      <c r="A156" s="14" t="n">
        <v>46323</v>
      </c>
      <c r="B156" t="inlineStr">
        <is>
          <t>P21</t>
        </is>
      </c>
      <c r="C156" t="inlineStr">
        <is>
          <t>Receipt</t>
        </is>
      </c>
      <c r="D156" s="14" t="n">
        <v>46321</v>
      </c>
      <c r="E156" s="12" t="n">
        <v>52</v>
      </c>
      <c r="F156" s="12">
        <f>IF($C156="Sale",-$E156,$E156)</f>
        <v/>
      </c>
    </row>
    <row r="157">
      <c r="A157" s="14" t="n">
        <v>46323</v>
      </c>
      <c r="B157" t="inlineStr">
        <is>
          <t>P24</t>
        </is>
      </c>
      <c r="C157" t="inlineStr">
        <is>
          <t>Receipt</t>
        </is>
      </c>
      <c r="D157" s="14" t="n">
        <v>46321</v>
      </c>
      <c r="E157" s="12" t="n">
        <v>20</v>
      </c>
      <c r="F157" s="12">
        <f>IF($C157="Sale",-$E157,$E157)</f>
        <v/>
      </c>
    </row>
    <row r="158">
      <c r="A158" s="14" t="n">
        <v>46324</v>
      </c>
      <c r="B158" t="inlineStr">
        <is>
          <t>P12</t>
        </is>
      </c>
      <c r="C158" t="inlineStr">
        <is>
          <t>Sale</t>
        </is>
      </c>
      <c r="D158" s="14" t="n">
        <v>46321</v>
      </c>
      <c r="E158" s="12" t="n">
        <v>48</v>
      </c>
      <c r="F158" s="12">
        <f>IF($C158="Sale",-$E158,$E158)</f>
        <v/>
      </c>
    </row>
    <row r="159">
      <c r="A159" s="14" t="n">
        <v>46324</v>
      </c>
      <c r="B159" t="inlineStr">
        <is>
          <t>P16</t>
        </is>
      </c>
      <c r="C159" t="inlineStr">
        <is>
          <t>Receipt</t>
        </is>
      </c>
      <c r="D159" s="14" t="n">
        <v>46321</v>
      </c>
      <c r="E159" s="12" t="n">
        <v>12</v>
      </c>
      <c r="F159" s="12">
        <f>IF($C159="Sale",-$E159,$E159)</f>
        <v/>
      </c>
    </row>
    <row r="160">
      <c r="A160" s="14" t="n">
        <v>46324</v>
      </c>
      <c r="B160" t="inlineStr">
        <is>
          <t>P24</t>
        </is>
      </c>
      <c r="C160" t="inlineStr">
        <is>
          <t>Sale</t>
        </is>
      </c>
      <c r="D160" s="14" t="n">
        <v>46321</v>
      </c>
      <c r="E160" s="12" t="n">
        <v>129</v>
      </c>
      <c r="F160" s="12">
        <f>IF($C160="Sale",-$E160,$E160)</f>
        <v/>
      </c>
    </row>
    <row r="161">
      <c r="A161" s="14" t="n">
        <v>46325</v>
      </c>
      <c r="B161" t="inlineStr">
        <is>
          <t>P12</t>
        </is>
      </c>
      <c r="C161" t="inlineStr">
        <is>
          <t>Sale</t>
        </is>
      </c>
      <c r="D161" s="14" t="n">
        <v>46321</v>
      </c>
      <c r="E161" s="12" t="n">
        <v>122</v>
      </c>
      <c r="F161" s="12">
        <f>IF($C161="Sale",-$E161,$E161)</f>
        <v/>
      </c>
    </row>
    <row r="162">
      <c r="A162" s="14" t="n">
        <v>46325</v>
      </c>
      <c r="B162" t="inlineStr">
        <is>
          <t>P14</t>
        </is>
      </c>
      <c r="C162" t="inlineStr">
        <is>
          <t>Sale</t>
        </is>
      </c>
      <c r="D162" s="14" t="n">
        <v>46321</v>
      </c>
      <c r="E162" s="12" t="n">
        <v>41</v>
      </c>
      <c r="F162" s="12">
        <f>IF($C162="Sale",-$E162,$E162)</f>
        <v/>
      </c>
    </row>
    <row r="163">
      <c r="A163" s="14" t="n">
        <v>46325</v>
      </c>
      <c r="B163" t="inlineStr">
        <is>
          <t>P17</t>
        </is>
      </c>
      <c r="C163" t="inlineStr">
        <is>
          <t>Sale</t>
        </is>
      </c>
      <c r="D163" s="14" t="n">
        <v>46321</v>
      </c>
      <c r="E163" s="12" t="n">
        <v>33</v>
      </c>
      <c r="F163" s="12">
        <f>IF($C163="Sale",-$E163,$E163)</f>
        <v/>
      </c>
    </row>
    <row r="164">
      <c r="A164" s="14" t="n">
        <v>46325</v>
      </c>
      <c r="B164" t="inlineStr">
        <is>
          <t>P23</t>
        </is>
      </c>
      <c r="C164" t="inlineStr">
        <is>
          <t>Sale</t>
        </is>
      </c>
      <c r="D164" s="14" t="n">
        <v>46321</v>
      </c>
      <c r="E164" s="12" t="n">
        <v>250</v>
      </c>
      <c r="F164" s="12">
        <f>IF($C164="Sale",-$E164,$E164)</f>
        <v/>
      </c>
    </row>
    <row r="165">
      <c r="A165" s="14" t="n">
        <v>46326</v>
      </c>
      <c r="B165" t="inlineStr">
        <is>
          <t>P05</t>
        </is>
      </c>
      <c r="C165" t="inlineStr">
        <is>
          <t>Adjustment</t>
        </is>
      </c>
      <c r="D165" s="14" t="n">
        <v>46321</v>
      </c>
      <c r="E165" s="12" t="n">
        <v>0</v>
      </c>
      <c r="F165" s="12">
        <f>IF($C165="Sale",-$E165,$E165)</f>
        <v/>
      </c>
    </row>
    <row r="166">
      <c r="A166" s="14" t="n">
        <v>46326</v>
      </c>
      <c r="B166" t="inlineStr">
        <is>
          <t>P07</t>
        </is>
      </c>
      <c r="C166" t="inlineStr">
        <is>
          <t>Receipt</t>
        </is>
      </c>
      <c r="D166" s="14" t="n">
        <v>46321</v>
      </c>
      <c r="E166" s="12" t="n">
        <v>43</v>
      </c>
      <c r="F166" s="12">
        <f>IF($C166="Sale",-$E166,$E166)</f>
        <v/>
      </c>
    </row>
    <row r="167">
      <c r="A167" s="14" t="n">
        <v>46326</v>
      </c>
      <c r="B167" t="inlineStr">
        <is>
          <t>P11</t>
        </is>
      </c>
      <c r="C167" t="inlineStr">
        <is>
          <t>Receipt</t>
        </is>
      </c>
      <c r="D167" s="14" t="n">
        <v>46321</v>
      </c>
      <c r="E167" s="12" t="n">
        <v>41</v>
      </c>
      <c r="F167" s="12">
        <f>IF($C167="Sale",-$E167,$E167)</f>
        <v/>
      </c>
    </row>
    <row r="168">
      <c r="A168" s="14" t="n">
        <v>46326</v>
      </c>
      <c r="B168" t="inlineStr">
        <is>
          <t>P21</t>
        </is>
      </c>
      <c r="C168" t="inlineStr">
        <is>
          <t>Adjustment</t>
        </is>
      </c>
      <c r="D168" s="14" t="n">
        <v>46321</v>
      </c>
      <c r="E168" s="12" t="n">
        <v>-5</v>
      </c>
      <c r="F168" s="12">
        <f>IF($C168="Sale",-$E168,$E168)</f>
        <v/>
      </c>
    </row>
    <row r="169">
      <c r="A169" s="14" t="n">
        <v>46326</v>
      </c>
      <c r="B169" t="inlineStr">
        <is>
          <t>P22</t>
        </is>
      </c>
      <c r="C169" t="inlineStr">
        <is>
          <t>Sale</t>
        </is>
      </c>
      <c r="D169" s="14" t="n">
        <v>46321</v>
      </c>
      <c r="E169" s="12" t="n">
        <v>103</v>
      </c>
      <c r="F169" s="12">
        <f>IF($C169="Sale",-$E169,$E169)</f>
        <v/>
      </c>
    </row>
  </sheetData>
  <autoFilter ref="A1:F1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2" customWidth="1" min="4" max="4"/>
    <col width="15" customWidth="1" min="5" max="5"/>
    <col width="12" customWidth="1" min="6" max="6"/>
    <col width="14" customWidth="1" min="7" max="7"/>
  </cols>
  <sheetData>
    <row r="1">
      <c r="A1" s="11" t="inlineStr">
        <is>
          <t>ShiftDate</t>
        </is>
      </c>
      <c r="B1" s="11" t="inlineStr">
        <is>
          <t>Employee</t>
        </is>
      </c>
      <c r="C1" s="11" t="inlineStr">
        <is>
          <t>Team</t>
        </is>
      </c>
      <c r="D1" s="11" t="inlineStr">
        <is>
          <t>WeekStart</t>
        </is>
      </c>
      <c r="E1" s="11" t="inlineStr">
        <is>
          <t>ScheduledHours</t>
        </is>
      </c>
      <c r="F1" s="11" t="inlineStr">
        <is>
          <t>WorkedHours</t>
        </is>
      </c>
      <c r="G1" s="11" t="inlineStr">
        <is>
          <t>OvertimeHours</t>
        </is>
      </c>
    </row>
    <row r="2">
      <c r="A2" s="14" t="n">
        <v>46272</v>
      </c>
      <c r="B2" t="inlineStr">
        <is>
          <t>Anita Desai</t>
        </is>
      </c>
      <c r="C2" t="inlineStr">
        <is>
          <t>Delivery</t>
        </is>
      </c>
      <c r="D2" s="14" t="n">
        <v>46272</v>
      </c>
      <c r="E2" s="15" t="n">
        <v>8</v>
      </c>
      <c r="F2" s="15" t="n">
        <v>9.5</v>
      </c>
      <c r="G2" s="15">
        <f>MAX(0,$F2-Assumptions!$B$2)</f>
        <v/>
      </c>
    </row>
    <row r="3">
      <c r="A3" s="14" t="n">
        <v>46272</v>
      </c>
      <c r="B3" t="inlineStr">
        <is>
          <t>Priya Nair</t>
        </is>
      </c>
      <c r="C3" t="inlineStr">
        <is>
          <t>Packing</t>
        </is>
      </c>
      <c r="D3" s="14" t="n">
        <v>46272</v>
      </c>
      <c r="E3" s="15" t="n">
        <v>8</v>
      </c>
      <c r="F3" s="15" t="n">
        <v>10</v>
      </c>
      <c r="G3" s="15">
        <f>MAX(0,$F3-Assumptions!$B$2)</f>
        <v/>
      </c>
    </row>
    <row r="4">
      <c r="A4" s="14" t="n">
        <v>46272</v>
      </c>
      <c r="B4" t="inlineStr">
        <is>
          <t>Sanjay Yadav</t>
        </is>
      </c>
      <c r="C4" t="inlineStr">
        <is>
          <t>Packing</t>
        </is>
      </c>
      <c r="D4" s="14" t="n">
        <v>46272</v>
      </c>
      <c r="E4" s="15" t="n">
        <v>8</v>
      </c>
      <c r="F4" s="15" t="n">
        <v>9.5</v>
      </c>
      <c r="G4" s="15">
        <f>MAX(0,$F4-Assumptions!$B$2)</f>
        <v/>
      </c>
    </row>
    <row r="5">
      <c r="A5" s="14" t="n">
        <v>46273</v>
      </c>
      <c r="B5" t="inlineStr">
        <is>
          <t>Priya Nair</t>
        </is>
      </c>
      <c r="C5" t="inlineStr">
        <is>
          <t>Packing</t>
        </is>
      </c>
      <c r="D5" s="14" t="n">
        <v>46272</v>
      </c>
      <c r="E5" s="15" t="n">
        <v>8</v>
      </c>
      <c r="F5" s="15" t="n">
        <v>7</v>
      </c>
      <c r="G5" s="15">
        <f>MAX(0,$F5-Assumptions!$B$2)</f>
        <v/>
      </c>
    </row>
    <row r="6">
      <c r="A6" s="14" t="n">
        <v>46274</v>
      </c>
      <c r="B6" t="inlineStr">
        <is>
          <t>Imran Khan</t>
        </is>
      </c>
      <c r="C6" t="inlineStr">
        <is>
          <t>Warehouse</t>
        </is>
      </c>
      <c r="D6" s="14" t="n">
        <v>46272</v>
      </c>
      <c r="E6" s="15" t="n">
        <v>8</v>
      </c>
      <c r="F6" s="15" t="n">
        <v>11</v>
      </c>
      <c r="G6" s="15">
        <f>MAX(0,$F6-Assumptions!$B$2)</f>
        <v/>
      </c>
    </row>
    <row r="7">
      <c r="A7" s="14" t="n">
        <v>46274</v>
      </c>
      <c r="B7" t="inlineStr">
        <is>
          <t>Sanjay Yadav</t>
        </is>
      </c>
      <c r="C7" t="inlineStr">
        <is>
          <t>Packing</t>
        </is>
      </c>
      <c r="D7" s="14" t="n">
        <v>46272</v>
      </c>
      <c r="E7" s="15" t="n">
        <v>8</v>
      </c>
      <c r="F7" s="15" t="n">
        <v>10</v>
      </c>
      <c r="G7" s="15">
        <f>MAX(0,$F7-Assumptions!$B$2)</f>
        <v/>
      </c>
    </row>
    <row r="8">
      <c r="A8" s="14" t="n">
        <v>46274</v>
      </c>
      <c r="B8" t="inlineStr">
        <is>
          <t>Vikram Rao</t>
        </is>
      </c>
      <c r="C8" t="inlineStr">
        <is>
          <t>Delivery</t>
        </is>
      </c>
      <c r="D8" s="14" t="n">
        <v>46272</v>
      </c>
      <c r="E8" s="15" t="n">
        <v>8</v>
      </c>
      <c r="F8" s="15" t="n">
        <v>8</v>
      </c>
      <c r="G8" s="15">
        <f>MAX(0,$F8-Assumptions!$B$2)</f>
        <v/>
      </c>
    </row>
    <row r="9">
      <c r="A9" s="14" t="n">
        <v>46275</v>
      </c>
      <c r="B9" t="inlineStr">
        <is>
          <t>Anita Desai</t>
        </is>
      </c>
      <c r="C9" t="inlineStr">
        <is>
          <t>Delivery</t>
        </is>
      </c>
      <c r="D9" s="14" t="n">
        <v>46272</v>
      </c>
      <c r="E9" s="15" t="n">
        <v>8</v>
      </c>
      <c r="F9" s="15" t="n">
        <v>6.5</v>
      </c>
      <c r="G9" s="15">
        <f>MAX(0,$F9-Assumptions!$B$2)</f>
        <v/>
      </c>
    </row>
    <row r="10">
      <c r="A10" s="14" t="n">
        <v>46275</v>
      </c>
      <c r="B10" t="inlineStr">
        <is>
          <t>Asha Verma</t>
        </is>
      </c>
      <c r="C10" t="inlineStr">
        <is>
          <t>Warehouse</t>
        </is>
      </c>
      <c r="D10" s="14" t="n">
        <v>46272</v>
      </c>
      <c r="E10" s="15" t="n">
        <v>8</v>
      </c>
      <c r="F10" s="15" t="n">
        <v>10</v>
      </c>
      <c r="G10" s="15">
        <f>MAX(0,$F10-Assumptions!$B$2)</f>
        <v/>
      </c>
    </row>
    <row r="11">
      <c r="A11" s="14" t="n">
        <v>46275</v>
      </c>
      <c r="B11" t="inlineStr">
        <is>
          <t>Imran Khan</t>
        </is>
      </c>
      <c r="C11" t="inlineStr">
        <is>
          <t>Warehouse</t>
        </is>
      </c>
      <c r="D11" s="14" t="n">
        <v>46272</v>
      </c>
      <c r="E11" s="15" t="n">
        <v>8</v>
      </c>
      <c r="F11" s="15" t="n">
        <v>9.5</v>
      </c>
      <c r="G11" s="15">
        <f>MAX(0,$F11-Assumptions!$B$2)</f>
        <v/>
      </c>
    </row>
    <row r="12">
      <c r="A12" s="14" t="n">
        <v>46276</v>
      </c>
      <c r="B12" t="inlineStr">
        <is>
          <t>Kiran Patel</t>
        </is>
      </c>
      <c r="C12" t="inlineStr">
        <is>
          <t>Delivery</t>
        </is>
      </c>
      <c r="D12" s="14" t="n">
        <v>46272</v>
      </c>
      <c r="E12" s="15" t="n">
        <v>8</v>
      </c>
      <c r="F12" s="15" t="n">
        <v>11</v>
      </c>
      <c r="G12" s="15">
        <f>MAX(0,$F12-Assumptions!$B$2)</f>
        <v/>
      </c>
    </row>
    <row r="13">
      <c r="A13" s="14" t="n">
        <v>46277</v>
      </c>
      <c r="B13" t="inlineStr">
        <is>
          <t>Anita Desai</t>
        </is>
      </c>
      <c r="C13" t="inlineStr">
        <is>
          <t>Delivery</t>
        </is>
      </c>
      <c r="D13" s="14" t="n">
        <v>46272</v>
      </c>
      <c r="E13" s="15" t="n">
        <v>8</v>
      </c>
      <c r="F13" s="15" t="n">
        <v>10</v>
      </c>
      <c r="G13" s="15">
        <f>MAX(0,$F13-Assumptions!$B$2)</f>
        <v/>
      </c>
    </row>
    <row r="14">
      <c r="A14" s="14" t="n">
        <v>46278</v>
      </c>
      <c r="B14" t="inlineStr">
        <is>
          <t>Asha Verma</t>
        </is>
      </c>
      <c r="C14" t="inlineStr">
        <is>
          <t>Warehouse</t>
        </is>
      </c>
      <c r="D14" s="14" t="n">
        <v>46272</v>
      </c>
      <c r="E14" s="15" t="n">
        <v>8</v>
      </c>
      <c r="F14" s="15" t="n">
        <v>10.5</v>
      </c>
      <c r="G14" s="15">
        <f>MAX(0,$F14-Assumptions!$B$2)</f>
        <v/>
      </c>
    </row>
    <row r="15">
      <c r="A15" s="14" t="n">
        <v>46278</v>
      </c>
      <c r="B15" t="inlineStr">
        <is>
          <t>Imran Khan</t>
        </is>
      </c>
      <c r="C15" t="inlineStr">
        <is>
          <t>Warehouse</t>
        </is>
      </c>
      <c r="D15" s="14" t="n">
        <v>46272</v>
      </c>
      <c r="E15" s="15" t="n">
        <v>8</v>
      </c>
      <c r="F15" s="15" t="n">
        <v>8</v>
      </c>
      <c r="G15" s="15">
        <f>MAX(0,$F15-Assumptions!$B$2)</f>
        <v/>
      </c>
    </row>
    <row r="16">
      <c r="A16" s="14" t="n">
        <v>46278</v>
      </c>
      <c r="B16" t="inlineStr">
        <is>
          <t>Sanjay Yadav</t>
        </is>
      </c>
      <c r="C16" t="inlineStr">
        <is>
          <t>Packing</t>
        </is>
      </c>
      <c r="D16" s="14" t="n">
        <v>46272</v>
      </c>
      <c r="E16" s="15" t="n">
        <v>8</v>
      </c>
      <c r="F16" s="15" t="n">
        <v>10.5</v>
      </c>
      <c r="G16" s="15">
        <f>MAX(0,$F16-Assumptions!$B$2)</f>
        <v/>
      </c>
    </row>
    <row r="17">
      <c r="A17" s="14" t="n">
        <v>46279</v>
      </c>
      <c r="B17" t="inlineStr">
        <is>
          <t>Meera Joshi</t>
        </is>
      </c>
      <c r="C17" t="inlineStr">
        <is>
          <t>Packing</t>
        </is>
      </c>
      <c r="D17" s="14" t="n">
        <v>46279</v>
      </c>
      <c r="E17" s="15" t="n">
        <v>8</v>
      </c>
      <c r="F17" s="15" t="n">
        <v>10.5</v>
      </c>
      <c r="G17" s="15">
        <f>MAX(0,$F17-Assumptions!$B$2)</f>
        <v/>
      </c>
    </row>
    <row r="18">
      <c r="A18" s="14" t="n">
        <v>46279</v>
      </c>
      <c r="B18" t="inlineStr">
        <is>
          <t>Vikram Rao</t>
        </is>
      </c>
      <c r="C18" t="inlineStr">
        <is>
          <t>Delivery</t>
        </is>
      </c>
      <c r="D18" s="14" t="n">
        <v>46279</v>
      </c>
      <c r="E18" s="15" t="n">
        <v>8</v>
      </c>
      <c r="F18" s="15" t="n">
        <v>7</v>
      </c>
      <c r="G18" s="15">
        <f>MAX(0,$F18-Assumptions!$B$2)</f>
        <v/>
      </c>
    </row>
    <row r="19">
      <c r="A19" s="14" t="n">
        <v>46279</v>
      </c>
      <c r="B19" t="inlineStr">
        <is>
          <t>Vikram Rao</t>
        </is>
      </c>
      <c r="C19" t="inlineStr">
        <is>
          <t>Delivery</t>
        </is>
      </c>
      <c r="D19" s="14" t="n">
        <v>46279</v>
      </c>
      <c r="E19" s="15" t="n">
        <v>8</v>
      </c>
      <c r="F19" s="15" t="n">
        <v>7</v>
      </c>
      <c r="G19" s="15">
        <f>MAX(0,$F19-Assumptions!$B$2)</f>
        <v/>
      </c>
    </row>
    <row r="20">
      <c r="A20" s="14" t="n">
        <v>46280</v>
      </c>
      <c r="B20" t="inlineStr">
        <is>
          <t>Asha Verma</t>
        </is>
      </c>
      <c r="C20" t="inlineStr">
        <is>
          <t>Warehouse</t>
        </is>
      </c>
      <c r="D20" s="14" t="n">
        <v>46279</v>
      </c>
      <c r="E20" s="15" t="n">
        <v>8</v>
      </c>
      <c r="F20" s="15" t="n">
        <v>9</v>
      </c>
      <c r="G20" s="15">
        <f>MAX(0,$F20-Assumptions!$B$2)</f>
        <v/>
      </c>
    </row>
    <row r="21">
      <c r="A21" s="14" t="n">
        <v>46280</v>
      </c>
      <c r="B21" t="inlineStr">
        <is>
          <t>Imran Khan</t>
        </is>
      </c>
      <c r="C21" t="inlineStr">
        <is>
          <t>Warehouse</t>
        </is>
      </c>
      <c r="D21" s="14" t="n">
        <v>46279</v>
      </c>
      <c r="E21" s="15" t="n">
        <v>8</v>
      </c>
      <c r="F21" s="15" t="n">
        <v>8</v>
      </c>
      <c r="G21" s="15">
        <f>MAX(0,$F21-Assumptions!$B$2)</f>
        <v/>
      </c>
    </row>
    <row r="22">
      <c r="A22" s="14" t="n">
        <v>46280</v>
      </c>
      <c r="B22" t="inlineStr">
        <is>
          <t>Imran Khan</t>
        </is>
      </c>
      <c r="C22" t="inlineStr">
        <is>
          <t>Warehouse</t>
        </is>
      </c>
      <c r="D22" s="14" t="n">
        <v>46279</v>
      </c>
      <c r="E22" s="15" t="n">
        <v>8</v>
      </c>
      <c r="F22" s="15" t="n">
        <v>8</v>
      </c>
      <c r="G22" s="15">
        <f>MAX(0,$F22-Assumptions!$B$2)</f>
        <v/>
      </c>
    </row>
    <row r="23">
      <c r="A23" s="14" t="n">
        <v>46280</v>
      </c>
      <c r="B23" t="inlineStr">
        <is>
          <t>Vikram Rao</t>
        </is>
      </c>
      <c r="C23" t="inlineStr">
        <is>
          <t>Delivery</t>
        </is>
      </c>
      <c r="D23" s="14" t="n">
        <v>46279</v>
      </c>
      <c r="E23" s="15" t="n">
        <v>8</v>
      </c>
      <c r="F23" s="15" t="n">
        <v>11</v>
      </c>
      <c r="G23" s="15">
        <f>MAX(0,$F23-Assumptions!$B$2)</f>
        <v/>
      </c>
    </row>
    <row r="24">
      <c r="A24" s="14" t="n">
        <v>46281</v>
      </c>
      <c r="B24" t="inlineStr">
        <is>
          <t>Meera Joshi</t>
        </is>
      </c>
      <c r="C24" t="inlineStr">
        <is>
          <t>Packing</t>
        </is>
      </c>
      <c r="D24" s="14" t="n">
        <v>46279</v>
      </c>
      <c r="E24" s="15" t="n">
        <v>8</v>
      </c>
      <c r="F24" s="15" t="n">
        <v>8</v>
      </c>
      <c r="G24" s="15">
        <f>MAX(0,$F24-Assumptions!$B$2)</f>
        <v/>
      </c>
    </row>
    <row r="25">
      <c r="A25" s="14" t="n">
        <v>46281</v>
      </c>
      <c r="B25" t="inlineStr">
        <is>
          <t>Rahul Singh</t>
        </is>
      </c>
      <c r="C25" t="inlineStr">
        <is>
          <t>Warehouse</t>
        </is>
      </c>
      <c r="D25" s="14" t="n">
        <v>46279</v>
      </c>
      <c r="E25" s="15" t="n">
        <v>8</v>
      </c>
      <c r="F25" s="15" t="n">
        <v>8</v>
      </c>
      <c r="G25" s="15">
        <f>MAX(0,$F25-Assumptions!$B$2)</f>
        <v/>
      </c>
    </row>
    <row r="26">
      <c r="A26" s="14" t="n">
        <v>46281</v>
      </c>
      <c r="B26" t="inlineStr">
        <is>
          <t>Rahul Singh</t>
        </is>
      </c>
      <c r="C26" t="inlineStr">
        <is>
          <t>Warehouse</t>
        </is>
      </c>
      <c r="D26" s="14" t="n">
        <v>46279</v>
      </c>
      <c r="E26" s="15" t="n">
        <v>8</v>
      </c>
      <c r="F26" s="15" t="n">
        <v>10</v>
      </c>
      <c r="G26" s="15">
        <f>MAX(0,$F26-Assumptions!$B$2)</f>
        <v/>
      </c>
    </row>
    <row r="27">
      <c r="A27" s="14" t="n">
        <v>46282</v>
      </c>
      <c r="B27" t="inlineStr">
        <is>
          <t>Priya Nair</t>
        </is>
      </c>
      <c r="C27" t="inlineStr">
        <is>
          <t>Packing</t>
        </is>
      </c>
      <c r="D27" s="14" t="n">
        <v>46279</v>
      </c>
      <c r="E27" s="15" t="n">
        <v>8</v>
      </c>
      <c r="F27" s="15" t="n">
        <v>7.5</v>
      </c>
      <c r="G27" s="15">
        <f>MAX(0,$F27-Assumptions!$B$2)</f>
        <v/>
      </c>
    </row>
    <row r="28">
      <c r="A28" s="14" t="n">
        <v>46283</v>
      </c>
      <c r="B28" t="inlineStr">
        <is>
          <t>Asha Verma</t>
        </is>
      </c>
      <c r="C28" t="inlineStr">
        <is>
          <t>Warehouse</t>
        </is>
      </c>
      <c r="D28" s="14" t="n">
        <v>46279</v>
      </c>
      <c r="E28" s="15" t="n">
        <v>8</v>
      </c>
      <c r="F28" s="15" t="n">
        <v>7.5</v>
      </c>
      <c r="G28" s="15">
        <f>MAX(0,$F28-Assumptions!$B$2)</f>
        <v/>
      </c>
    </row>
    <row r="29">
      <c r="A29" s="14" t="n">
        <v>46283</v>
      </c>
      <c r="B29" t="inlineStr">
        <is>
          <t>Asha Verma</t>
        </is>
      </c>
      <c r="C29" t="inlineStr">
        <is>
          <t>Warehouse</t>
        </is>
      </c>
      <c r="D29" s="14" t="n">
        <v>46279</v>
      </c>
      <c r="E29" s="15" t="n">
        <v>8</v>
      </c>
      <c r="F29" s="15" t="n">
        <v>6.5</v>
      </c>
      <c r="G29" s="15">
        <f>MAX(0,$F29-Assumptions!$B$2)</f>
        <v/>
      </c>
    </row>
    <row r="30">
      <c r="A30" s="14" t="n">
        <v>46285</v>
      </c>
      <c r="B30" t="inlineStr">
        <is>
          <t>Kiran Patel</t>
        </is>
      </c>
      <c r="C30" t="inlineStr">
        <is>
          <t>Delivery</t>
        </is>
      </c>
      <c r="D30" s="14" t="n">
        <v>46279</v>
      </c>
      <c r="E30" s="15" t="n">
        <v>8</v>
      </c>
      <c r="F30" s="15" t="n">
        <v>7.5</v>
      </c>
      <c r="G30" s="15">
        <f>MAX(0,$F30-Assumptions!$B$2)</f>
        <v/>
      </c>
    </row>
    <row r="31">
      <c r="A31" s="14" t="n">
        <v>46285</v>
      </c>
      <c r="B31" t="inlineStr">
        <is>
          <t>Meera Joshi</t>
        </is>
      </c>
      <c r="C31" t="inlineStr">
        <is>
          <t>Packing</t>
        </is>
      </c>
      <c r="D31" s="14" t="n">
        <v>46279</v>
      </c>
      <c r="E31" s="15" t="n">
        <v>8</v>
      </c>
      <c r="F31" s="15" t="n">
        <v>8.5</v>
      </c>
      <c r="G31" s="15">
        <f>MAX(0,$F31-Assumptions!$B$2)</f>
        <v/>
      </c>
    </row>
    <row r="32">
      <c r="A32" s="14" t="n">
        <v>46285</v>
      </c>
      <c r="B32" t="inlineStr">
        <is>
          <t>Priya Nair</t>
        </is>
      </c>
      <c r="C32" t="inlineStr">
        <is>
          <t>Packing</t>
        </is>
      </c>
      <c r="D32" s="14" t="n">
        <v>46279</v>
      </c>
      <c r="E32" s="15" t="n">
        <v>8</v>
      </c>
      <c r="F32" s="15" t="n">
        <v>7.5</v>
      </c>
      <c r="G32" s="15">
        <f>MAX(0,$F32-Assumptions!$B$2)</f>
        <v/>
      </c>
    </row>
    <row r="33">
      <c r="A33" s="14" t="n">
        <v>46286</v>
      </c>
      <c r="B33" t="inlineStr">
        <is>
          <t>Kiran Patel</t>
        </is>
      </c>
      <c r="C33" t="inlineStr">
        <is>
          <t>Delivery</t>
        </is>
      </c>
      <c r="D33" s="14" t="n">
        <v>46286</v>
      </c>
      <c r="E33" s="15" t="n">
        <v>8</v>
      </c>
      <c r="F33" s="15" t="n">
        <v>10</v>
      </c>
      <c r="G33" s="15">
        <f>MAX(0,$F33-Assumptions!$B$2)</f>
        <v/>
      </c>
    </row>
    <row r="34">
      <c r="A34" s="14" t="n">
        <v>46286</v>
      </c>
      <c r="B34" t="inlineStr">
        <is>
          <t>Meera Joshi</t>
        </is>
      </c>
      <c r="C34" t="inlineStr">
        <is>
          <t>Packing</t>
        </is>
      </c>
      <c r="D34" s="14" t="n">
        <v>46286</v>
      </c>
      <c r="E34" s="15" t="n">
        <v>8</v>
      </c>
      <c r="F34" s="15" t="n">
        <v>11</v>
      </c>
      <c r="G34" s="15">
        <f>MAX(0,$F34-Assumptions!$B$2)</f>
        <v/>
      </c>
    </row>
    <row r="35">
      <c r="A35" s="14" t="n">
        <v>46287</v>
      </c>
      <c r="B35" t="inlineStr">
        <is>
          <t>Meera Joshi</t>
        </is>
      </c>
      <c r="C35" t="inlineStr">
        <is>
          <t>Packing</t>
        </is>
      </c>
      <c r="D35" s="14" t="n">
        <v>46286</v>
      </c>
      <c r="E35" s="15" t="n">
        <v>8</v>
      </c>
      <c r="F35" s="15" t="n">
        <v>10.5</v>
      </c>
      <c r="G35" s="15">
        <f>MAX(0,$F35-Assumptions!$B$2)</f>
        <v/>
      </c>
    </row>
    <row r="36">
      <c r="A36" s="14" t="n">
        <v>46288</v>
      </c>
      <c r="B36" t="inlineStr">
        <is>
          <t>Asha Verma</t>
        </is>
      </c>
      <c r="C36" t="inlineStr">
        <is>
          <t>Warehouse</t>
        </is>
      </c>
      <c r="D36" s="14" t="n">
        <v>46286</v>
      </c>
      <c r="E36" s="15" t="n">
        <v>8</v>
      </c>
      <c r="F36" s="15" t="n">
        <v>6.5</v>
      </c>
      <c r="G36" s="15">
        <f>MAX(0,$F36-Assumptions!$B$2)</f>
        <v/>
      </c>
    </row>
    <row r="37">
      <c r="A37" s="14" t="n">
        <v>46288</v>
      </c>
      <c r="B37" t="inlineStr">
        <is>
          <t>Imran Khan</t>
        </is>
      </c>
      <c r="C37" t="inlineStr">
        <is>
          <t>Warehouse</t>
        </is>
      </c>
      <c r="D37" s="14" t="n">
        <v>46286</v>
      </c>
      <c r="E37" s="15" t="n">
        <v>8</v>
      </c>
      <c r="F37" s="15" t="n">
        <v>7</v>
      </c>
      <c r="G37" s="15">
        <f>MAX(0,$F37-Assumptions!$B$2)</f>
        <v/>
      </c>
    </row>
    <row r="38">
      <c r="A38" s="14" t="n">
        <v>46288</v>
      </c>
      <c r="B38" t="inlineStr">
        <is>
          <t>Neha Gupta</t>
        </is>
      </c>
      <c r="C38" t="inlineStr">
        <is>
          <t>Admin</t>
        </is>
      </c>
      <c r="D38" s="14" t="n">
        <v>46286</v>
      </c>
      <c r="E38" s="15" t="n">
        <v>8</v>
      </c>
      <c r="F38" s="15" t="n">
        <v>10.5</v>
      </c>
      <c r="G38" s="15">
        <f>MAX(0,$F38-Assumptions!$B$2)</f>
        <v/>
      </c>
    </row>
    <row r="39">
      <c r="A39" s="14" t="n">
        <v>46289</v>
      </c>
      <c r="B39" t="inlineStr">
        <is>
          <t>Anita Desai</t>
        </is>
      </c>
      <c r="C39" t="inlineStr">
        <is>
          <t>Delivery</t>
        </is>
      </c>
      <c r="D39" s="14" t="n">
        <v>46286</v>
      </c>
      <c r="E39" s="15" t="n">
        <v>8</v>
      </c>
      <c r="F39" s="15" t="n">
        <v>8</v>
      </c>
      <c r="G39" s="15">
        <f>MAX(0,$F39-Assumptions!$B$2)</f>
        <v/>
      </c>
    </row>
    <row r="40">
      <c r="A40" s="14" t="n">
        <v>46289</v>
      </c>
      <c r="B40" t="inlineStr">
        <is>
          <t>Neha Gupta</t>
        </is>
      </c>
      <c r="C40" t="inlineStr">
        <is>
          <t>Admin</t>
        </is>
      </c>
      <c r="D40" s="14" t="n">
        <v>46286</v>
      </c>
      <c r="E40" s="15" t="n">
        <v>8</v>
      </c>
      <c r="F40" s="15" t="n">
        <v>8.5</v>
      </c>
      <c r="G40" s="15">
        <f>MAX(0,$F40-Assumptions!$B$2)</f>
        <v/>
      </c>
    </row>
    <row r="41">
      <c r="A41" s="14" t="n">
        <v>46289</v>
      </c>
      <c r="B41" t="inlineStr">
        <is>
          <t>Sanjay Yadav</t>
        </is>
      </c>
      <c r="C41" t="inlineStr">
        <is>
          <t>Packing</t>
        </is>
      </c>
      <c r="D41" s="14" t="n">
        <v>46286</v>
      </c>
      <c r="E41" s="15" t="n">
        <v>8</v>
      </c>
      <c r="F41" s="15" t="n">
        <v>9</v>
      </c>
      <c r="G41" s="15">
        <f>MAX(0,$F41-Assumptions!$B$2)</f>
        <v/>
      </c>
    </row>
    <row r="42">
      <c r="A42" s="14" t="n">
        <v>46291</v>
      </c>
      <c r="B42" t="inlineStr">
        <is>
          <t>Imran Khan</t>
        </is>
      </c>
      <c r="C42" t="inlineStr">
        <is>
          <t>Warehouse</t>
        </is>
      </c>
      <c r="D42" s="14" t="n">
        <v>46286</v>
      </c>
      <c r="E42" s="15" t="n">
        <v>8</v>
      </c>
      <c r="F42" s="15" t="n">
        <v>11</v>
      </c>
      <c r="G42" s="15">
        <f>MAX(0,$F42-Assumptions!$B$2)</f>
        <v/>
      </c>
    </row>
    <row r="43">
      <c r="A43" s="14" t="n">
        <v>46291</v>
      </c>
      <c r="B43" t="inlineStr">
        <is>
          <t>Sanjay Yadav</t>
        </is>
      </c>
      <c r="C43" t="inlineStr">
        <is>
          <t>Packing</t>
        </is>
      </c>
      <c r="D43" s="14" t="n">
        <v>46286</v>
      </c>
      <c r="E43" s="15" t="n">
        <v>8</v>
      </c>
      <c r="F43" s="15" t="n">
        <v>8</v>
      </c>
      <c r="G43" s="15">
        <f>MAX(0,$F43-Assumptions!$B$2)</f>
        <v/>
      </c>
    </row>
    <row r="44">
      <c r="A44" s="14" t="n">
        <v>46292</v>
      </c>
      <c r="B44" t="inlineStr">
        <is>
          <t>Kiran Patel</t>
        </is>
      </c>
      <c r="C44" t="inlineStr">
        <is>
          <t>Delivery</t>
        </is>
      </c>
      <c r="D44" s="14" t="n">
        <v>46286</v>
      </c>
      <c r="E44" s="15" t="n">
        <v>8</v>
      </c>
      <c r="F44" s="15" t="n">
        <v>11</v>
      </c>
      <c r="G44" s="15">
        <f>MAX(0,$F44-Assumptions!$B$2)</f>
        <v/>
      </c>
    </row>
    <row r="45">
      <c r="A45" s="14" t="n">
        <v>46293</v>
      </c>
      <c r="B45" t="inlineStr">
        <is>
          <t>Anita Desai</t>
        </is>
      </c>
      <c r="C45" t="inlineStr">
        <is>
          <t>Delivery</t>
        </is>
      </c>
      <c r="D45" s="14" t="n">
        <v>46293</v>
      </c>
      <c r="E45" s="15" t="n">
        <v>8</v>
      </c>
      <c r="F45" s="15" t="n">
        <v>7</v>
      </c>
      <c r="G45" s="15">
        <f>MAX(0,$F45-Assumptions!$B$2)</f>
        <v/>
      </c>
    </row>
    <row r="46">
      <c r="A46" s="14" t="n">
        <v>46293</v>
      </c>
      <c r="B46" t="inlineStr">
        <is>
          <t>Imran Khan</t>
        </is>
      </c>
      <c r="C46" t="inlineStr">
        <is>
          <t>Warehouse</t>
        </is>
      </c>
      <c r="D46" s="14" t="n">
        <v>46293</v>
      </c>
      <c r="E46" s="15" t="n">
        <v>8</v>
      </c>
      <c r="F46" s="15" t="n">
        <v>8</v>
      </c>
      <c r="G46" s="15">
        <f>MAX(0,$F46-Assumptions!$B$2)</f>
        <v/>
      </c>
    </row>
    <row r="47">
      <c r="A47" s="14" t="n">
        <v>46293</v>
      </c>
      <c r="B47" t="inlineStr">
        <is>
          <t>Priya Nair</t>
        </is>
      </c>
      <c r="C47" t="inlineStr">
        <is>
          <t>Packing</t>
        </is>
      </c>
      <c r="D47" s="14" t="n">
        <v>46293</v>
      </c>
      <c r="E47" s="15" t="n">
        <v>8</v>
      </c>
      <c r="F47" s="15" t="n">
        <v>8</v>
      </c>
      <c r="G47" s="15">
        <f>MAX(0,$F47-Assumptions!$B$2)</f>
        <v/>
      </c>
    </row>
    <row r="48">
      <c r="A48" s="14" t="n">
        <v>46293</v>
      </c>
      <c r="B48" t="inlineStr">
        <is>
          <t>Rahul Singh</t>
        </is>
      </c>
      <c r="C48" t="inlineStr">
        <is>
          <t>Warehouse</t>
        </is>
      </c>
      <c r="D48" s="14" t="n">
        <v>46293</v>
      </c>
      <c r="E48" s="15" t="n">
        <v>8</v>
      </c>
      <c r="F48" s="15" t="n">
        <v>9.5</v>
      </c>
      <c r="G48" s="15">
        <f>MAX(0,$F48-Assumptions!$B$2)</f>
        <v/>
      </c>
    </row>
    <row r="49">
      <c r="A49" s="14" t="n">
        <v>46295</v>
      </c>
      <c r="B49" t="inlineStr">
        <is>
          <t>Kiran Patel</t>
        </is>
      </c>
      <c r="C49" t="inlineStr">
        <is>
          <t>Delivery</t>
        </is>
      </c>
      <c r="D49" s="14" t="n">
        <v>46293</v>
      </c>
      <c r="E49" s="15" t="n">
        <v>8</v>
      </c>
      <c r="F49" s="15" t="n">
        <v>6.5</v>
      </c>
      <c r="G49" s="15">
        <f>MAX(0,$F49-Assumptions!$B$2)</f>
        <v/>
      </c>
    </row>
    <row r="50">
      <c r="A50" s="14" t="n">
        <v>46295</v>
      </c>
      <c r="B50" t="inlineStr">
        <is>
          <t>Rahul Singh</t>
        </is>
      </c>
      <c r="C50" t="inlineStr">
        <is>
          <t>Warehouse</t>
        </is>
      </c>
      <c r="D50" s="14" t="n">
        <v>46293</v>
      </c>
      <c r="E50" s="15" t="n">
        <v>8</v>
      </c>
      <c r="F50" s="15" t="n">
        <v>8</v>
      </c>
      <c r="G50" s="15">
        <f>MAX(0,$F50-Assumptions!$B$2)</f>
        <v/>
      </c>
    </row>
    <row r="51">
      <c r="A51" s="14" t="n">
        <v>46295</v>
      </c>
      <c r="B51" t="inlineStr">
        <is>
          <t>Sanjay Yadav</t>
        </is>
      </c>
      <c r="C51" t="inlineStr">
        <is>
          <t>Packing</t>
        </is>
      </c>
      <c r="D51" s="14" t="n">
        <v>46293</v>
      </c>
      <c r="E51" s="15" t="n">
        <v>8</v>
      </c>
      <c r="F51" s="15" t="n">
        <v>9</v>
      </c>
      <c r="G51" s="15">
        <f>MAX(0,$F51-Assumptions!$B$2)</f>
        <v/>
      </c>
    </row>
    <row r="52">
      <c r="A52" s="14" t="n">
        <v>46296</v>
      </c>
      <c r="B52" t="inlineStr">
        <is>
          <t>Neha Gupta</t>
        </is>
      </c>
      <c r="C52" t="inlineStr">
        <is>
          <t>Admin</t>
        </is>
      </c>
      <c r="D52" s="14" t="n">
        <v>46293</v>
      </c>
      <c r="E52" s="15" t="n">
        <v>8</v>
      </c>
      <c r="F52" s="15" t="n">
        <v>11</v>
      </c>
      <c r="G52" s="15">
        <f>MAX(0,$F52-Assumptions!$B$2)</f>
        <v/>
      </c>
    </row>
    <row r="53">
      <c r="A53" s="14" t="n">
        <v>46298</v>
      </c>
      <c r="B53" t="inlineStr">
        <is>
          <t>Vikram Rao</t>
        </is>
      </c>
      <c r="C53" t="inlineStr">
        <is>
          <t>Delivery</t>
        </is>
      </c>
      <c r="D53" s="14" t="n">
        <v>46293</v>
      </c>
      <c r="E53" s="15" t="n">
        <v>8</v>
      </c>
      <c r="F53" s="15" t="n">
        <v>8</v>
      </c>
      <c r="G53" s="15">
        <f>MAX(0,$F53-Assumptions!$B$2)</f>
        <v/>
      </c>
    </row>
    <row r="54">
      <c r="A54" s="14" t="n">
        <v>46299</v>
      </c>
      <c r="B54" t="inlineStr">
        <is>
          <t>Meera Joshi</t>
        </is>
      </c>
      <c r="C54" t="inlineStr">
        <is>
          <t>Packing</t>
        </is>
      </c>
      <c r="D54" s="14" t="n">
        <v>46293</v>
      </c>
      <c r="E54" s="15" t="n">
        <v>8</v>
      </c>
      <c r="F54" s="15" t="n">
        <v>9.5</v>
      </c>
      <c r="G54" s="15">
        <f>MAX(0,$F54-Assumptions!$B$2)</f>
        <v/>
      </c>
    </row>
    <row r="55">
      <c r="A55" s="14" t="n">
        <v>46299</v>
      </c>
      <c r="B55" t="inlineStr">
        <is>
          <t>Neha Gupta</t>
        </is>
      </c>
      <c r="C55" t="inlineStr">
        <is>
          <t>Admin</t>
        </is>
      </c>
      <c r="D55" s="14" t="n">
        <v>46293</v>
      </c>
      <c r="E55" s="15" t="n">
        <v>8</v>
      </c>
      <c r="F55" s="15" t="n">
        <v>10</v>
      </c>
      <c r="G55" s="15">
        <f>MAX(0,$F55-Assumptions!$B$2)</f>
        <v/>
      </c>
    </row>
    <row r="56">
      <c r="A56" s="14" t="n">
        <v>46300</v>
      </c>
      <c r="B56" t="inlineStr">
        <is>
          <t>Asha Verma</t>
        </is>
      </c>
      <c r="C56" t="inlineStr">
        <is>
          <t>Warehouse</t>
        </is>
      </c>
      <c r="D56" s="14" t="n">
        <v>46300</v>
      </c>
      <c r="E56" s="15" t="n">
        <v>8</v>
      </c>
      <c r="F56" s="15" t="n">
        <v>9.5</v>
      </c>
      <c r="G56" s="15">
        <f>MAX(0,$F56-Assumptions!$B$2)</f>
        <v/>
      </c>
    </row>
    <row r="57">
      <c r="A57" s="14" t="n">
        <v>46300</v>
      </c>
      <c r="B57" t="inlineStr">
        <is>
          <t>Neha Gupta</t>
        </is>
      </c>
      <c r="C57" t="inlineStr">
        <is>
          <t>Admin</t>
        </is>
      </c>
      <c r="D57" s="14" t="n">
        <v>46300</v>
      </c>
      <c r="E57" s="15" t="n">
        <v>8</v>
      </c>
      <c r="F57" s="15" t="n">
        <v>8</v>
      </c>
      <c r="G57" s="15">
        <f>MAX(0,$F57-Assumptions!$B$2)</f>
        <v/>
      </c>
    </row>
    <row r="58">
      <c r="A58" s="14" t="n">
        <v>46300</v>
      </c>
      <c r="B58" t="inlineStr">
        <is>
          <t>Priya Nair</t>
        </is>
      </c>
      <c r="C58" t="inlineStr">
        <is>
          <t>Packing</t>
        </is>
      </c>
      <c r="D58" s="14" t="n">
        <v>46300</v>
      </c>
      <c r="E58" s="15" t="n">
        <v>8</v>
      </c>
      <c r="F58" s="15" t="n">
        <v>7</v>
      </c>
      <c r="G58" s="15">
        <f>MAX(0,$F58-Assumptions!$B$2)</f>
        <v/>
      </c>
    </row>
    <row r="59">
      <c r="A59" s="14" t="n">
        <v>46300</v>
      </c>
      <c r="B59" t="inlineStr">
        <is>
          <t>Rahul Singh</t>
        </is>
      </c>
      <c r="C59" t="inlineStr">
        <is>
          <t>Warehouse</t>
        </is>
      </c>
      <c r="D59" s="14" t="n">
        <v>46300</v>
      </c>
      <c r="E59" s="15" t="n">
        <v>8</v>
      </c>
      <c r="F59" s="15" t="n">
        <v>9</v>
      </c>
      <c r="G59" s="15">
        <f>MAX(0,$F59-Assumptions!$B$2)</f>
        <v/>
      </c>
    </row>
    <row r="60">
      <c r="A60" s="14" t="n">
        <v>46301</v>
      </c>
      <c r="B60" t="inlineStr">
        <is>
          <t>Priya Nair</t>
        </is>
      </c>
      <c r="C60" t="inlineStr">
        <is>
          <t>Packing</t>
        </is>
      </c>
      <c r="D60" s="14" t="n">
        <v>46300</v>
      </c>
      <c r="E60" s="15" t="n">
        <v>8</v>
      </c>
      <c r="F60" s="15" t="n">
        <v>11</v>
      </c>
      <c r="G60" s="15">
        <f>MAX(0,$F60-Assumptions!$B$2)</f>
        <v/>
      </c>
    </row>
    <row r="61">
      <c r="A61" s="14" t="n">
        <v>46301</v>
      </c>
      <c r="B61" t="inlineStr">
        <is>
          <t>Sanjay Yadav</t>
        </is>
      </c>
      <c r="C61" t="inlineStr">
        <is>
          <t>Packing</t>
        </is>
      </c>
      <c r="D61" s="14" t="n">
        <v>46300</v>
      </c>
      <c r="E61" s="15" t="n">
        <v>8</v>
      </c>
      <c r="F61" s="15" t="n">
        <v>8</v>
      </c>
      <c r="G61" s="15">
        <f>MAX(0,$F61-Assumptions!$B$2)</f>
        <v/>
      </c>
    </row>
    <row r="62">
      <c r="A62" s="14" t="n">
        <v>46302</v>
      </c>
      <c r="B62" t="inlineStr">
        <is>
          <t>Anita Desai</t>
        </is>
      </c>
      <c r="C62" t="inlineStr">
        <is>
          <t>Delivery</t>
        </is>
      </c>
      <c r="D62" s="14" t="n">
        <v>46300</v>
      </c>
      <c r="E62" s="15" t="n">
        <v>8</v>
      </c>
      <c r="F62" s="15" t="n">
        <v>11</v>
      </c>
      <c r="G62" s="15">
        <f>MAX(0,$F62-Assumptions!$B$2)</f>
        <v/>
      </c>
    </row>
    <row r="63">
      <c r="A63" s="14" t="n">
        <v>46302</v>
      </c>
      <c r="B63" t="inlineStr">
        <is>
          <t>Neha Gupta</t>
        </is>
      </c>
      <c r="C63" t="inlineStr">
        <is>
          <t>Admin</t>
        </is>
      </c>
      <c r="D63" s="14" t="n">
        <v>46300</v>
      </c>
      <c r="E63" s="15" t="n">
        <v>8</v>
      </c>
      <c r="F63" s="15" t="n">
        <v>6.5</v>
      </c>
      <c r="G63" s="15">
        <f>MAX(0,$F63-Assumptions!$B$2)</f>
        <v/>
      </c>
    </row>
    <row r="64">
      <c r="A64" s="14" t="n">
        <v>46302</v>
      </c>
      <c r="B64" t="inlineStr">
        <is>
          <t>Vikram Rao</t>
        </is>
      </c>
      <c r="C64" t="inlineStr">
        <is>
          <t>Delivery</t>
        </is>
      </c>
      <c r="D64" s="14" t="n">
        <v>46300</v>
      </c>
      <c r="E64" s="15" t="n">
        <v>8</v>
      </c>
      <c r="F64" s="15" t="n">
        <v>9.5</v>
      </c>
      <c r="G64" s="15">
        <f>MAX(0,$F64-Assumptions!$B$2)</f>
        <v/>
      </c>
    </row>
    <row r="65">
      <c r="A65" s="14" t="n">
        <v>46303</v>
      </c>
      <c r="B65" t="inlineStr">
        <is>
          <t>Anita Desai</t>
        </is>
      </c>
      <c r="C65" t="inlineStr">
        <is>
          <t>Delivery</t>
        </is>
      </c>
      <c r="D65" s="14" t="n">
        <v>46300</v>
      </c>
      <c r="E65" s="15" t="n">
        <v>8</v>
      </c>
      <c r="F65" s="15" t="n">
        <v>8</v>
      </c>
      <c r="G65" s="15">
        <f>MAX(0,$F65-Assumptions!$B$2)</f>
        <v/>
      </c>
    </row>
    <row r="66">
      <c r="A66" s="14" t="n">
        <v>46303</v>
      </c>
      <c r="B66" t="inlineStr">
        <is>
          <t>Imran Khan</t>
        </is>
      </c>
      <c r="C66" t="inlineStr">
        <is>
          <t>Warehouse</t>
        </is>
      </c>
      <c r="D66" s="14" t="n">
        <v>46300</v>
      </c>
      <c r="E66" s="15" t="n">
        <v>8</v>
      </c>
      <c r="F66" s="15" t="n">
        <v>11</v>
      </c>
      <c r="G66" s="15">
        <f>MAX(0,$F66-Assumptions!$B$2)</f>
        <v/>
      </c>
    </row>
    <row r="67">
      <c r="A67" s="14" t="n">
        <v>46303</v>
      </c>
      <c r="B67" t="inlineStr">
        <is>
          <t>Priya Nair</t>
        </is>
      </c>
      <c r="C67" t="inlineStr">
        <is>
          <t>Packing</t>
        </is>
      </c>
      <c r="D67" s="14" t="n">
        <v>46300</v>
      </c>
      <c r="E67" s="15" t="n">
        <v>8</v>
      </c>
      <c r="F67" s="15" t="n">
        <v>9</v>
      </c>
      <c r="G67" s="15">
        <f>MAX(0,$F67-Assumptions!$B$2)</f>
        <v/>
      </c>
    </row>
    <row r="68">
      <c r="A68" s="14" t="n">
        <v>46304</v>
      </c>
      <c r="B68" t="inlineStr">
        <is>
          <t>Neha Gupta</t>
        </is>
      </c>
      <c r="C68" t="inlineStr">
        <is>
          <t>Admin</t>
        </is>
      </c>
      <c r="D68" s="14" t="n">
        <v>46300</v>
      </c>
      <c r="E68" s="15" t="n">
        <v>8</v>
      </c>
      <c r="F68" s="15" t="n">
        <v>10</v>
      </c>
      <c r="G68" s="15">
        <f>MAX(0,$F68-Assumptions!$B$2)</f>
        <v/>
      </c>
    </row>
    <row r="69">
      <c r="A69" s="14" t="n">
        <v>46305</v>
      </c>
      <c r="B69" t="inlineStr">
        <is>
          <t>Imran Khan</t>
        </is>
      </c>
      <c r="C69" t="inlineStr">
        <is>
          <t>Warehouse</t>
        </is>
      </c>
      <c r="D69" s="14" t="n">
        <v>46300</v>
      </c>
      <c r="E69" s="15" t="n">
        <v>8</v>
      </c>
      <c r="F69" s="15" t="n">
        <v>6.5</v>
      </c>
      <c r="G69" s="15">
        <f>MAX(0,$F69-Assumptions!$B$2)</f>
        <v/>
      </c>
    </row>
    <row r="70">
      <c r="A70" s="14" t="n">
        <v>46306</v>
      </c>
      <c r="B70" t="inlineStr">
        <is>
          <t>Imran Khan</t>
        </is>
      </c>
      <c r="C70" t="inlineStr">
        <is>
          <t>Warehouse</t>
        </is>
      </c>
      <c r="D70" s="14" t="n">
        <v>46300</v>
      </c>
      <c r="E70" s="15" t="n">
        <v>8</v>
      </c>
      <c r="F70" s="15" t="n">
        <v>11</v>
      </c>
      <c r="G70" s="15">
        <f>MAX(0,$F70-Assumptions!$B$2)</f>
        <v/>
      </c>
    </row>
    <row r="71">
      <c r="A71" s="14" t="n">
        <v>46306</v>
      </c>
      <c r="B71" t="inlineStr">
        <is>
          <t>Meera Joshi</t>
        </is>
      </c>
      <c r="C71" t="inlineStr">
        <is>
          <t>Packing</t>
        </is>
      </c>
      <c r="D71" s="14" t="n">
        <v>46300</v>
      </c>
      <c r="E71" s="15" t="n">
        <v>8</v>
      </c>
      <c r="F71" s="15" t="n">
        <v>8</v>
      </c>
      <c r="G71" s="15">
        <f>MAX(0,$F71-Assumptions!$B$2)</f>
        <v/>
      </c>
    </row>
    <row r="72">
      <c r="A72" s="14" t="n">
        <v>46306</v>
      </c>
      <c r="B72" t="inlineStr">
        <is>
          <t>Vikram Rao</t>
        </is>
      </c>
      <c r="C72" t="inlineStr">
        <is>
          <t>Delivery</t>
        </is>
      </c>
      <c r="D72" s="14" t="n">
        <v>46300</v>
      </c>
      <c r="E72" s="15" t="n">
        <v>8</v>
      </c>
      <c r="F72" s="15" t="n">
        <v>10</v>
      </c>
      <c r="G72" s="15">
        <f>MAX(0,$F72-Assumptions!$B$2)</f>
        <v/>
      </c>
    </row>
    <row r="73">
      <c r="A73" s="14" t="n">
        <v>46307</v>
      </c>
      <c r="B73" t="inlineStr">
        <is>
          <t>Vikram Rao</t>
        </is>
      </c>
      <c r="C73" t="inlineStr">
        <is>
          <t>Delivery</t>
        </is>
      </c>
      <c r="D73" s="14" t="n">
        <v>46307</v>
      </c>
      <c r="E73" s="15" t="n">
        <v>8</v>
      </c>
      <c r="F73" s="15" t="n">
        <v>11</v>
      </c>
      <c r="G73" s="15">
        <f>MAX(0,$F73-Assumptions!$B$2)</f>
        <v/>
      </c>
    </row>
    <row r="74">
      <c r="A74" s="14" t="n">
        <v>46307</v>
      </c>
      <c r="B74" t="inlineStr">
        <is>
          <t>Vikram Rao</t>
        </is>
      </c>
      <c r="C74" t="inlineStr">
        <is>
          <t>Delivery</t>
        </is>
      </c>
      <c r="D74" s="14" t="n">
        <v>46307</v>
      </c>
      <c r="E74" s="15" t="n">
        <v>8</v>
      </c>
      <c r="F74" s="15" t="n">
        <v>8</v>
      </c>
      <c r="G74" s="15">
        <f>MAX(0,$F74-Assumptions!$B$2)</f>
        <v/>
      </c>
    </row>
    <row r="75">
      <c r="A75" s="14" t="n">
        <v>46308</v>
      </c>
      <c r="B75" t="inlineStr">
        <is>
          <t>Imran Khan</t>
        </is>
      </c>
      <c r="C75" t="inlineStr">
        <is>
          <t>Warehouse</t>
        </is>
      </c>
      <c r="D75" s="14" t="n">
        <v>46307</v>
      </c>
      <c r="E75" s="15" t="n">
        <v>8</v>
      </c>
      <c r="F75" s="15" t="n">
        <v>6.5</v>
      </c>
      <c r="G75" s="15">
        <f>MAX(0,$F75-Assumptions!$B$2)</f>
        <v/>
      </c>
    </row>
    <row r="76">
      <c r="A76" s="14" t="n">
        <v>46308</v>
      </c>
      <c r="B76" t="inlineStr">
        <is>
          <t>Sanjay Yadav</t>
        </is>
      </c>
      <c r="C76" t="inlineStr">
        <is>
          <t>Packing</t>
        </is>
      </c>
      <c r="D76" s="14" t="n">
        <v>46307</v>
      </c>
      <c r="E76" s="15" t="n">
        <v>8</v>
      </c>
      <c r="F76" s="15" t="n">
        <v>9.5</v>
      </c>
      <c r="G76" s="15">
        <f>MAX(0,$F76-Assumptions!$B$2)</f>
        <v/>
      </c>
    </row>
    <row r="77">
      <c r="A77" s="14" t="n">
        <v>46308</v>
      </c>
      <c r="B77" t="inlineStr">
        <is>
          <t>Vikram Rao</t>
        </is>
      </c>
      <c r="C77" t="inlineStr">
        <is>
          <t>Delivery</t>
        </is>
      </c>
      <c r="D77" s="14" t="n">
        <v>46307</v>
      </c>
      <c r="E77" s="15" t="n">
        <v>8</v>
      </c>
      <c r="F77" s="15" t="n">
        <v>11</v>
      </c>
      <c r="G77" s="15">
        <f>MAX(0,$F77-Assumptions!$B$2)</f>
        <v/>
      </c>
    </row>
    <row r="78">
      <c r="A78" s="14" t="n">
        <v>46309</v>
      </c>
      <c r="B78" t="inlineStr">
        <is>
          <t>Asha Verma</t>
        </is>
      </c>
      <c r="C78" t="inlineStr">
        <is>
          <t>Warehouse</t>
        </is>
      </c>
      <c r="D78" s="14" t="n">
        <v>46307</v>
      </c>
      <c r="E78" s="15" t="n">
        <v>8</v>
      </c>
      <c r="F78" s="15" t="n">
        <v>11</v>
      </c>
      <c r="G78" s="15">
        <f>MAX(0,$F78-Assumptions!$B$2)</f>
        <v/>
      </c>
    </row>
    <row r="79">
      <c r="A79" s="14" t="n">
        <v>46309</v>
      </c>
      <c r="B79" t="inlineStr">
        <is>
          <t>Neha Gupta</t>
        </is>
      </c>
      <c r="C79" t="inlineStr">
        <is>
          <t>Admin</t>
        </is>
      </c>
      <c r="D79" s="14" t="n">
        <v>46307</v>
      </c>
      <c r="E79" s="15" t="n">
        <v>8</v>
      </c>
      <c r="F79" s="15" t="n">
        <v>8.5</v>
      </c>
      <c r="G79" s="15">
        <f>MAX(0,$F79-Assumptions!$B$2)</f>
        <v/>
      </c>
    </row>
    <row r="80">
      <c r="A80" s="14" t="n">
        <v>46309</v>
      </c>
      <c r="B80" t="inlineStr">
        <is>
          <t>Rahul Singh</t>
        </is>
      </c>
      <c r="C80" t="inlineStr">
        <is>
          <t>Warehouse</t>
        </is>
      </c>
      <c r="D80" s="14" t="n">
        <v>46307</v>
      </c>
      <c r="E80" s="15" t="n">
        <v>8</v>
      </c>
      <c r="F80" s="15" t="n">
        <v>11</v>
      </c>
      <c r="G80" s="15">
        <f>MAX(0,$F80-Assumptions!$B$2)</f>
        <v/>
      </c>
    </row>
    <row r="81">
      <c r="A81" s="14" t="n">
        <v>46310</v>
      </c>
      <c r="B81" t="inlineStr">
        <is>
          <t>Anita Desai</t>
        </is>
      </c>
      <c r="C81" t="inlineStr">
        <is>
          <t>Delivery</t>
        </is>
      </c>
      <c r="D81" s="14" t="n">
        <v>46307</v>
      </c>
      <c r="E81" s="15" t="n">
        <v>8</v>
      </c>
      <c r="F81" s="15" t="n">
        <v>10</v>
      </c>
      <c r="G81" s="15">
        <f>MAX(0,$F81-Assumptions!$B$2)</f>
        <v/>
      </c>
    </row>
    <row r="82">
      <c r="A82" s="14" t="n">
        <v>46310</v>
      </c>
      <c r="B82" t="inlineStr">
        <is>
          <t>Meera Joshi</t>
        </is>
      </c>
      <c r="C82" t="inlineStr">
        <is>
          <t>Packing</t>
        </is>
      </c>
      <c r="D82" s="14" t="n">
        <v>46307</v>
      </c>
      <c r="E82" s="15" t="n">
        <v>8</v>
      </c>
      <c r="F82" s="15" t="n">
        <v>10.5</v>
      </c>
      <c r="G82" s="15">
        <f>MAX(0,$F82-Assumptions!$B$2)</f>
        <v/>
      </c>
    </row>
    <row r="83">
      <c r="A83" s="14" t="n">
        <v>46310</v>
      </c>
      <c r="B83" t="inlineStr">
        <is>
          <t>Rahul Singh</t>
        </is>
      </c>
      <c r="C83" t="inlineStr">
        <is>
          <t>Warehouse</t>
        </is>
      </c>
      <c r="D83" s="14" t="n">
        <v>46307</v>
      </c>
      <c r="E83" s="15" t="n">
        <v>8</v>
      </c>
      <c r="F83" s="15" t="n">
        <v>6.5</v>
      </c>
      <c r="G83" s="15">
        <f>MAX(0,$F83-Assumptions!$B$2)</f>
        <v/>
      </c>
    </row>
    <row r="84">
      <c r="A84" s="14" t="n">
        <v>46310</v>
      </c>
      <c r="B84" t="inlineStr">
        <is>
          <t>Rahul Singh</t>
        </is>
      </c>
      <c r="C84" t="inlineStr">
        <is>
          <t>Warehouse</t>
        </is>
      </c>
      <c r="D84" s="14" t="n">
        <v>46307</v>
      </c>
      <c r="E84" s="15" t="n">
        <v>8</v>
      </c>
      <c r="F84" s="15" t="n">
        <v>7</v>
      </c>
      <c r="G84" s="15">
        <f>MAX(0,$F84-Assumptions!$B$2)</f>
        <v/>
      </c>
    </row>
    <row r="85">
      <c r="A85" s="14" t="n">
        <v>46312</v>
      </c>
      <c r="B85" t="inlineStr">
        <is>
          <t>Kiran Patel</t>
        </is>
      </c>
      <c r="C85" t="inlineStr">
        <is>
          <t>Delivery</t>
        </is>
      </c>
      <c r="D85" s="14" t="n">
        <v>46307</v>
      </c>
      <c r="E85" s="15" t="n">
        <v>8</v>
      </c>
      <c r="F85" s="15" t="n">
        <v>10.5</v>
      </c>
      <c r="G85" s="15">
        <f>MAX(0,$F85-Assumptions!$B$2)</f>
        <v/>
      </c>
    </row>
    <row r="86">
      <c r="A86" s="14" t="n">
        <v>46312</v>
      </c>
      <c r="B86" t="inlineStr">
        <is>
          <t>Kiran Patel</t>
        </is>
      </c>
      <c r="C86" t="inlineStr">
        <is>
          <t>Delivery</t>
        </is>
      </c>
      <c r="D86" s="14" t="n">
        <v>46307</v>
      </c>
      <c r="E86" s="15" t="n">
        <v>8</v>
      </c>
      <c r="F86" s="15" t="n">
        <v>11</v>
      </c>
      <c r="G86" s="15">
        <f>MAX(0,$F86-Assumptions!$B$2)</f>
        <v/>
      </c>
    </row>
    <row r="87">
      <c r="A87" s="14" t="n">
        <v>46312</v>
      </c>
      <c r="B87" t="inlineStr">
        <is>
          <t>Vikram Rao</t>
        </is>
      </c>
      <c r="C87" t="inlineStr">
        <is>
          <t>Delivery</t>
        </is>
      </c>
      <c r="D87" s="14" t="n">
        <v>46307</v>
      </c>
      <c r="E87" s="15" t="n">
        <v>8</v>
      </c>
      <c r="F87" s="15" t="n">
        <v>9</v>
      </c>
      <c r="G87" s="15">
        <f>MAX(0,$F87-Assumptions!$B$2)</f>
        <v/>
      </c>
    </row>
    <row r="88">
      <c r="A88" s="14" t="n">
        <v>46313</v>
      </c>
      <c r="B88" t="inlineStr">
        <is>
          <t>Anita Desai</t>
        </is>
      </c>
      <c r="C88" t="inlineStr">
        <is>
          <t>Delivery</t>
        </is>
      </c>
      <c r="D88" s="14" t="n">
        <v>46307</v>
      </c>
      <c r="E88" s="15" t="n">
        <v>8</v>
      </c>
      <c r="F88" s="15" t="n">
        <v>8</v>
      </c>
      <c r="G88" s="15">
        <f>MAX(0,$F88-Assumptions!$B$2)</f>
        <v/>
      </c>
    </row>
    <row r="89">
      <c r="A89" s="14" t="n">
        <v>46313</v>
      </c>
      <c r="B89" t="inlineStr">
        <is>
          <t>Meera Joshi</t>
        </is>
      </c>
      <c r="C89" t="inlineStr">
        <is>
          <t>Packing</t>
        </is>
      </c>
      <c r="D89" s="14" t="n">
        <v>46307</v>
      </c>
      <c r="E89" s="15" t="n">
        <v>8</v>
      </c>
      <c r="F89" s="15" t="n">
        <v>8</v>
      </c>
      <c r="G89" s="15">
        <f>MAX(0,$F89-Assumptions!$B$2)</f>
        <v/>
      </c>
    </row>
    <row r="90">
      <c r="A90" s="14" t="n">
        <v>46314</v>
      </c>
      <c r="B90" t="inlineStr">
        <is>
          <t>Sanjay Yadav</t>
        </is>
      </c>
      <c r="C90" t="inlineStr">
        <is>
          <t>Packing</t>
        </is>
      </c>
      <c r="D90" s="14" t="n">
        <v>46314</v>
      </c>
      <c r="E90" s="15" t="n">
        <v>8</v>
      </c>
      <c r="F90" s="15" t="n">
        <v>9</v>
      </c>
      <c r="G90" s="15">
        <f>MAX(0,$F90-Assumptions!$B$2)</f>
        <v/>
      </c>
    </row>
    <row r="91">
      <c r="A91" s="14" t="n">
        <v>46315</v>
      </c>
      <c r="B91" t="inlineStr">
        <is>
          <t>Anita Desai</t>
        </is>
      </c>
      <c r="C91" t="inlineStr">
        <is>
          <t>Delivery</t>
        </is>
      </c>
      <c r="D91" s="14" t="n">
        <v>46314</v>
      </c>
      <c r="E91" s="15" t="n">
        <v>8</v>
      </c>
      <c r="F91" s="15" t="n">
        <v>8</v>
      </c>
      <c r="G91" s="15">
        <f>MAX(0,$F91-Assumptions!$B$2)</f>
        <v/>
      </c>
    </row>
    <row r="92">
      <c r="A92" s="14" t="n">
        <v>46316</v>
      </c>
      <c r="B92" t="inlineStr">
        <is>
          <t>Anita Desai</t>
        </is>
      </c>
      <c r="C92" t="inlineStr">
        <is>
          <t>Delivery</t>
        </is>
      </c>
      <c r="D92" s="14" t="n">
        <v>46314</v>
      </c>
      <c r="E92" s="15" t="n">
        <v>8</v>
      </c>
      <c r="F92" s="15" t="n">
        <v>9.5</v>
      </c>
      <c r="G92" s="15">
        <f>MAX(0,$F92-Assumptions!$B$2)</f>
        <v/>
      </c>
    </row>
    <row r="93">
      <c r="A93" s="14" t="n">
        <v>46316</v>
      </c>
      <c r="B93" t="inlineStr">
        <is>
          <t>Priya Nair</t>
        </is>
      </c>
      <c r="C93" t="inlineStr">
        <is>
          <t>Packing</t>
        </is>
      </c>
      <c r="D93" s="14" t="n">
        <v>46314</v>
      </c>
      <c r="E93" s="15" t="n">
        <v>8</v>
      </c>
      <c r="F93" s="15" t="n">
        <v>8.5</v>
      </c>
      <c r="G93" s="15">
        <f>MAX(0,$F93-Assumptions!$B$2)</f>
        <v/>
      </c>
    </row>
    <row r="94">
      <c r="A94" s="14" t="n">
        <v>46318</v>
      </c>
      <c r="B94" t="inlineStr">
        <is>
          <t>Asha Verma</t>
        </is>
      </c>
      <c r="C94" t="inlineStr">
        <is>
          <t>Warehouse</t>
        </is>
      </c>
      <c r="D94" s="14" t="n">
        <v>46314</v>
      </c>
      <c r="E94" s="15" t="n">
        <v>8</v>
      </c>
      <c r="F94" s="15" t="n">
        <v>7.5</v>
      </c>
      <c r="G94" s="15">
        <f>MAX(0,$F94-Assumptions!$B$2)</f>
        <v/>
      </c>
    </row>
    <row r="95">
      <c r="A95" s="14" t="n">
        <v>46318</v>
      </c>
      <c r="B95" t="inlineStr">
        <is>
          <t>Neha Gupta</t>
        </is>
      </c>
      <c r="C95" t="inlineStr">
        <is>
          <t>Admin</t>
        </is>
      </c>
      <c r="D95" s="14" t="n">
        <v>46314</v>
      </c>
      <c r="E95" s="15" t="n">
        <v>8</v>
      </c>
      <c r="F95" s="15" t="n">
        <v>8.5</v>
      </c>
      <c r="G95" s="15">
        <f>MAX(0,$F95-Assumptions!$B$2)</f>
        <v/>
      </c>
    </row>
    <row r="96">
      <c r="A96" s="14" t="n">
        <v>46318</v>
      </c>
      <c r="B96" t="inlineStr">
        <is>
          <t>Rahul Singh</t>
        </is>
      </c>
      <c r="C96" t="inlineStr">
        <is>
          <t>Warehouse</t>
        </is>
      </c>
      <c r="D96" s="14" t="n">
        <v>46314</v>
      </c>
      <c r="E96" s="15" t="n">
        <v>8</v>
      </c>
      <c r="F96" s="15" t="n">
        <v>8</v>
      </c>
      <c r="G96" s="15">
        <f>MAX(0,$F96-Assumptions!$B$2)</f>
        <v/>
      </c>
    </row>
    <row r="97">
      <c r="A97" s="14" t="n">
        <v>46319</v>
      </c>
      <c r="B97" t="inlineStr">
        <is>
          <t>Anita Desai</t>
        </is>
      </c>
      <c r="C97" t="inlineStr">
        <is>
          <t>Delivery</t>
        </is>
      </c>
      <c r="D97" s="14" t="n">
        <v>46314</v>
      </c>
      <c r="E97" s="15" t="n">
        <v>8</v>
      </c>
      <c r="F97" s="15" t="n">
        <v>8.5</v>
      </c>
      <c r="G97" s="15">
        <f>MAX(0,$F97-Assumptions!$B$2)</f>
        <v/>
      </c>
    </row>
    <row r="98">
      <c r="A98" s="14" t="n">
        <v>46319</v>
      </c>
      <c r="B98" t="inlineStr">
        <is>
          <t>Kiran Patel</t>
        </is>
      </c>
      <c r="C98" t="inlineStr">
        <is>
          <t>Delivery</t>
        </is>
      </c>
      <c r="D98" s="14" t="n">
        <v>46314</v>
      </c>
      <c r="E98" s="15" t="n">
        <v>8</v>
      </c>
      <c r="F98" s="15" t="n">
        <v>8</v>
      </c>
      <c r="G98" s="15">
        <f>MAX(0,$F98-Assumptions!$B$2)</f>
        <v/>
      </c>
    </row>
    <row r="99">
      <c r="A99" s="14" t="n">
        <v>46319</v>
      </c>
      <c r="B99" t="inlineStr">
        <is>
          <t>Meera Joshi</t>
        </is>
      </c>
      <c r="C99" t="inlineStr">
        <is>
          <t>Packing</t>
        </is>
      </c>
      <c r="D99" s="14" t="n">
        <v>46314</v>
      </c>
      <c r="E99" s="15" t="n">
        <v>8</v>
      </c>
      <c r="F99" s="15" t="n">
        <v>11</v>
      </c>
      <c r="G99" s="15">
        <f>MAX(0,$F99-Assumptions!$B$2)</f>
        <v/>
      </c>
    </row>
    <row r="100">
      <c r="A100" s="14" t="n">
        <v>46319</v>
      </c>
      <c r="B100" t="inlineStr">
        <is>
          <t>Neha Gupta</t>
        </is>
      </c>
      <c r="C100" t="inlineStr">
        <is>
          <t>Admin</t>
        </is>
      </c>
      <c r="D100" s="14" t="n">
        <v>46314</v>
      </c>
      <c r="E100" s="15" t="n">
        <v>8</v>
      </c>
      <c r="F100" s="15" t="n">
        <v>7</v>
      </c>
      <c r="G100" s="15">
        <f>MAX(0,$F100-Assumptions!$B$2)</f>
        <v/>
      </c>
    </row>
    <row r="101">
      <c r="A101" s="14" t="n">
        <v>46319</v>
      </c>
      <c r="B101" t="inlineStr">
        <is>
          <t>Rahul Singh</t>
        </is>
      </c>
      <c r="C101" t="inlineStr">
        <is>
          <t>Warehouse</t>
        </is>
      </c>
      <c r="D101" s="14" t="n">
        <v>46314</v>
      </c>
      <c r="E101" s="15" t="n">
        <v>8</v>
      </c>
      <c r="F101" s="15" t="n">
        <v>9</v>
      </c>
      <c r="G101" s="15">
        <f>MAX(0,$F101-Assumptions!$B$2)</f>
        <v/>
      </c>
    </row>
    <row r="102">
      <c r="A102" s="14" t="n">
        <v>46319</v>
      </c>
      <c r="B102" t="inlineStr">
        <is>
          <t>Sanjay Yadav</t>
        </is>
      </c>
      <c r="C102" t="inlineStr">
        <is>
          <t>Packing</t>
        </is>
      </c>
      <c r="D102" s="14" t="n">
        <v>46314</v>
      </c>
      <c r="E102" s="15" t="n">
        <v>8</v>
      </c>
      <c r="F102" s="15" t="n">
        <v>10.5</v>
      </c>
      <c r="G102" s="15">
        <f>MAX(0,$F102-Assumptions!$B$2)</f>
        <v/>
      </c>
    </row>
    <row r="103">
      <c r="A103" s="14" t="n">
        <v>46320</v>
      </c>
      <c r="B103" t="inlineStr">
        <is>
          <t>Asha Verma</t>
        </is>
      </c>
      <c r="C103" t="inlineStr">
        <is>
          <t>Warehouse</t>
        </is>
      </c>
      <c r="D103" s="14" t="n">
        <v>46314</v>
      </c>
      <c r="E103" s="15" t="n">
        <v>8</v>
      </c>
      <c r="F103" s="15" t="n">
        <v>7</v>
      </c>
      <c r="G103" s="15">
        <f>MAX(0,$F103-Assumptions!$B$2)</f>
        <v/>
      </c>
    </row>
    <row r="104">
      <c r="A104" s="14" t="n">
        <v>46320</v>
      </c>
      <c r="B104" t="inlineStr">
        <is>
          <t>Kiran Patel</t>
        </is>
      </c>
      <c r="C104" t="inlineStr">
        <is>
          <t>Delivery</t>
        </is>
      </c>
      <c r="D104" s="14" t="n">
        <v>46314</v>
      </c>
      <c r="E104" s="15" t="n">
        <v>8</v>
      </c>
      <c r="F104" s="15" t="n">
        <v>9.5</v>
      </c>
      <c r="G104" s="15">
        <f>MAX(0,$F104-Assumptions!$B$2)</f>
        <v/>
      </c>
    </row>
    <row r="105">
      <c r="A105" s="14" t="n">
        <v>46320</v>
      </c>
      <c r="B105" t="inlineStr">
        <is>
          <t>Kiran Patel</t>
        </is>
      </c>
      <c r="C105" t="inlineStr">
        <is>
          <t>Delivery</t>
        </is>
      </c>
      <c r="D105" s="14" t="n">
        <v>46314</v>
      </c>
      <c r="E105" s="15" t="n">
        <v>8</v>
      </c>
      <c r="F105" s="15" t="n">
        <v>7.5</v>
      </c>
      <c r="G105" s="15">
        <f>MAX(0,$F105-Assumptions!$B$2)</f>
        <v/>
      </c>
    </row>
    <row r="106">
      <c r="A106" s="14" t="n">
        <v>46321</v>
      </c>
      <c r="B106" t="inlineStr">
        <is>
          <t>Asha Verma</t>
        </is>
      </c>
      <c r="C106" t="inlineStr">
        <is>
          <t>Warehouse</t>
        </is>
      </c>
      <c r="D106" s="14" t="n">
        <v>46321</v>
      </c>
      <c r="E106" s="15" t="n">
        <v>8</v>
      </c>
      <c r="F106" s="15" t="n">
        <v>10</v>
      </c>
      <c r="G106" s="15">
        <f>MAX(0,$F106-Assumptions!$B$2)</f>
        <v/>
      </c>
    </row>
    <row r="107">
      <c r="A107" s="14" t="n">
        <v>46321</v>
      </c>
      <c r="B107" t="inlineStr">
        <is>
          <t>Neha Gupta</t>
        </is>
      </c>
      <c r="C107" t="inlineStr">
        <is>
          <t>Admin</t>
        </is>
      </c>
      <c r="D107" s="14" t="n">
        <v>46321</v>
      </c>
      <c r="E107" s="15" t="n">
        <v>8</v>
      </c>
      <c r="F107" s="15" t="n">
        <v>8</v>
      </c>
      <c r="G107" s="15">
        <f>MAX(0,$F107-Assumptions!$B$2)</f>
        <v/>
      </c>
    </row>
    <row r="108">
      <c r="A108" s="14" t="n">
        <v>46322</v>
      </c>
      <c r="B108" t="inlineStr">
        <is>
          <t>Priya Nair</t>
        </is>
      </c>
      <c r="C108" t="inlineStr">
        <is>
          <t>Packing</t>
        </is>
      </c>
      <c r="D108" s="14" t="n">
        <v>46321</v>
      </c>
      <c r="E108" s="15" t="n">
        <v>8</v>
      </c>
      <c r="F108" s="15" t="n">
        <v>9.5</v>
      </c>
      <c r="G108" s="15">
        <f>MAX(0,$F108-Assumptions!$B$2)</f>
        <v/>
      </c>
    </row>
    <row r="109">
      <c r="A109" s="14" t="n">
        <v>46322</v>
      </c>
      <c r="B109" t="inlineStr">
        <is>
          <t>Rahul Singh</t>
        </is>
      </c>
      <c r="C109" t="inlineStr">
        <is>
          <t>Warehouse</t>
        </is>
      </c>
      <c r="D109" s="14" t="n">
        <v>46321</v>
      </c>
      <c r="E109" s="15" t="n">
        <v>8</v>
      </c>
      <c r="F109" s="15" t="n">
        <v>8</v>
      </c>
      <c r="G109" s="15">
        <f>MAX(0,$F109-Assumptions!$B$2)</f>
        <v/>
      </c>
    </row>
    <row r="110">
      <c r="A110" s="14" t="n">
        <v>46322</v>
      </c>
      <c r="B110" t="inlineStr">
        <is>
          <t>Sanjay Yadav</t>
        </is>
      </c>
      <c r="C110" t="inlineStr">
        <is>
          <t>Packing</t>
        </is>
      </c>
      <c r="D110" s="14" t="n">
        <v>46321</v>
      </c>
      <c r="E110" s="15" t="n">
        <v>8</v>
      </c>
      <c r="F110" s="15" t="n">
        <v>10</v>
      </c>
      <c r="G110" s="15">
        <f>MAX(0,$F110-Assumptions!$B$2)</f>
        <v/>
      </c>
    </row>
    <row r="111">
      <c r="A111" s="14" t="n">
        <v>46322</v>
      </c>
      <c r="B111" t="inlineStr">
        <is>
          <t>Vikram Rao</t>
        </is>
      </c>
      <c r="C111" t="inlineStr">
        <is>
          <t>Delivery</t>
        </is>
      </c>
      <c r="D111" s="14" t="n">
        <v>46321</v>
      </c>
      <c r="E111" s="15" t="n">
        <v>8</v>
      </c>
      <c r="F111" s="15" t="n">
        <v>7</v>
      </c>
      <c r="G111" s="15">
        <f>MAX(0,$F111-Assumptions!$B$2)</f>
        <v/>
      </c>
    </row>
    <row r="112">
      <c r="A112" s="14" t="n">
        <v>46323</v>
      </c>
      <c r="B112" t="inlineStr">
        <is>
          <t>Neha Gupta</t>
        </is>
      </c>
      <c r="C112" t="inlineStr">
        <is>
          <t>Admin</t>
        </is>
      </c>
      <c r="D112" s="14" t="n">
        <v>46321</v>
      </c>
      <c r="E112" s="15" t="n">
        <v>8</v>
      </c>
      <c r="F112" s="15" t="n">
        <v>7</v>
      </c>
      <c r="G112" s="15">
        <f>MAX(0,$F112-Assumptions!$B$2)</f>
        <v/>
      </c>
    </row>
    <row r="113">
      <c r="A113" s="14" t="n">
        <v>46324</v>
      </c>
      <c r="B113" t="inlineStr">
        <is>
          <t>Kiran Patel</t>
        </is>
      </c>
      <c r="C113" t="inlineStr">
        <is>
          <t>Delivery</t>
        </is>
      </c>
      <c r="D113" s="14" t="n">
        <v>46321</v>
      </c>
      <c r="E113" s="15" t="n">
        <v>8</v>
      </c>
      <c r="F113" s="15" t="n">
        <v>10</v>
      </c>
      <c r="G113" s="15">
        <f>MAX(0,$F113-Assumptions!$B$2)</f>
        <v/>
      </c>
    </row>
    <row r="114">
      <c r="A114" s="14" t="n">
        <v>46324</v>
      </c>
      <c r="B114" t="inlineStr">
        <is>
          <t>Meera Joshi</t>
        </is>
      </c>
      <c r="C114" t="inlineStr">
        <is>
          <t>Packing</t>
        </is>
      </c>
      <c r="D114" s="14" t="n">
        <v>46321</v>
      </c>
      <c r="E114" s="15" t="n">
        <v>8</v>
      </c>
      <c r="F114" s="15" t="n">
        <v>8</v>
      </c>
      <c r="G114" s="15">
        <f>MAX(0,$F114-Assumptions!$B$2)</f>
        <v/>
      </c>
    </row>
    <row r="115">
      <c r="A115" s="14" t="n">
        <v>46324</v>
      </c>
      <c r="B115" t="inlineStr">
        <is>
          <t>Meera Joshi</t>
        </is>
      </c>
      <c r="C115" t="inlineStr">
        <is>
          <t>Packing</t>
        </is>
      </c>
      <c r="D115" s="14" t="n">
        <v>46321</v>
      </c>
      <c r="E115" s="15" t="n">
        <v>8</v>
      </c>
      <c r="F115" s="15" t="n">
        <v>9</v>
      </c>
      <c r="G115" s="15">
        <f>MAX(0,$F115-Assumptions!$B$2)</f>
        <v/>
      </c>
    </row>
    <row r="116">
      <c r="A116" s="14" t="n">
        <v>46325</v>
      </c>
      <c r="B116" t="inlineStr">
        <is>
          <t>Asha Verma</t>
        </is>
      </c>
      <c r="C116" t="inlineStr">
        <is>
          <t>Warehouse</t>
        </is>
      </c>
      <c r="D116" s="14" t="n">
        <v>46321</v>
      </c>
      <c r="E116" s="15" t="n">
        <v>8</v>
      </c>
      <c r="F116" s="15" t="n">
        <v>10.5</v>
      </c>
      <c r="G116" s="15">
        <f>MAX(0,$F116-Assumptions!$B$2)</f>
        <v/>
      </c>
    </row>
    <row r="117">
      <c r="A117" s="14" t="n">
        <v>46325</v>
      </c>
      <c r="B117" t="inlineStr">
        <is>
          <t>Priya Nair</t>
        </is>
      </c>
      <c r="C117" t="inlineStr">
        <is>
          <t>Packing</t>
        </is>
      </c>
      <c r="D117" s="14" t="n">
        <v>46321</v>
      </c>
      <c r="E117" s="15" t="n">
        <v>8</v>
      </c>
      <c r="F117" s="15" t="n">
        <v>11</v>
      </c>
      <c r="G117" s="15">
        <f>MAX(0,$F117-Assumptions!$B$2)</f>
        <v/>
      </c>
    </row>
    <row r="118">
      <c r="A118" s="14" t="n">
        <v>46325</v>
      </c>
      <c r="B118" t="inlineStr">
        <is>
          <t>Rahul Singh</t>
        </is>
      </c>
      <c r="C118" t="inlineStr">
        <is>
          <t>Warehouse</t>
        </is>
      </c>
      <c r="D118" s="14" t="n">
        <v>46321</v>
      </c>
      <c r="E118" s="15" t="n">
        <v>8</v>
      </c>
      <c r="F118" s="15" t="n">
        <v>6.5</v>
      </c>
      <c r="G118" s="15">
        <f>MAX(0,$F118-Assumptions!$B$2)</f>
        <v/>
      </c>
    </row>
    <row r="119">
      <c r="A119" s="14" t="n">
        <v>46325</v>
      </c>
      <c r="B119" t="inlineStr">
        <is>
          <t>Sanjay Yadav</t>
        </is>
      </c>
      <c r="C119" t="inlineStr">
        <is>
          <t>Packing</t>
        </is>
      </c>
      <c r="D119" s="14" t="n">
        <v>46321</v>
      </c>
      <c r="E119" s="15" t="n">
        <v>8</v>
      </c>
      <c r="F119" s="15" t="n">
        <v>9</v>
      </c>
      <c r="G119" s="15">
        <f>MAX(0,$F119-Assumptions!$B$2)</f>
        <v/>
      </c>
    </row>
    <row r="120">
      <c r="A120" s="14" t="n">
        <v>46326</v>
      </c>
      <c r="B120" t="inlineStr">
        <is>
          <t>Kiran Patel</t>
        </is>
      </c>
      <c r="C120" t="inlineStr">
        <is>
          <t>Delivery</t>
        </is>
      </c>
      <c r="D120" s="14" t="n">
        <v>46321</v>
      </c>
      <c r="E120" s="15" t="n">
        <v>8</v>
      </c>
      <c r="F120" s="15" t="n">
        <v>6.5</v>
      </c>
      <c r="G120" s="15">
        <f>MAX(0,$F120-Assumptions!$B$2)</f>
        <v/>
      </c>
    </row>
    <row r="121">
      <c r="A121" s="14" t="n">
        <v>46326</v>
      </c>
      <c r="B121" t="inlineStr">
        <is>
          <t>Priya Nair</t>
        </is>
      </c>
      <c r="C121" t="inlineStr">
        <is>
          <t>Packing</t>
        </is>
      </c>
      <c r="D121" s="14" t="n">
        <v>46321</v>
      </c>
      <c r="E121" s="15" t="n">
        <v>8</v>
      </c>
      <c r="F121" s="15" t="n">
        <v>6.5</v>
      </c>
      <c r="G121" s="15">
        <f>MAX(0,$F121-Assumptions!$B$2)</f>
        <v/>
      </c>
    </row>
  </sheetData>
  <autoFilter ref="A1:G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15" customWidth="1" min="4" max="4"/>
    <col width="12" customWidth="1" min="5" max="5"/>
    <col width="14" customWidth="1" min="6" max="6"/>
    <col width="12" customWidth="1" min="7" max="7"/>
    <col width="9" customWidth="1" min="8" max="8"/>
  </cols>
  <sheetData>
    <row r="1">
      <c r="A1" s="11" t="inlineStr">
        <is>
          <t>Employee</t>
        </is>
      </c>
      <c r="B1" s="11" t="inlineStr">
        <is>
          <t>Team</t>
        </is>
      </c>
      <c r="C1" s="11" t="inlineStr">
        <is>
          <t>Shifts</t>
        </is>
      </c>
      <c r="D1" s="11" t="inlineStr">
        <is>
          <t>ScheduledHours</t>
        </is>
      </c>
      <c r="E1" s="11" t="inlineStr">
        <is>
          <t>WorkedHours</t>
        </is>
      </c>
      <c r="F1" s="11" t="inlineStr">
        <is>
          <t>OvertimeHours</t>
        </is>
      </c>
      <c r="G1" s="11" t="inlineStr">
        <is>
          <t>Utilisation</t>
        </is>
      </c>
      <c r="H1" s="11" t="inlineStr">
        <is>
          <t>Status</t>
        </is>
      </c>
    </row>
    <row r="2">
      <c r="A2" t="inlineStr">
        <is>
          <t>Anita Desai</t>
        </is>
      </c>
      <c r="B2" t="inlineStr">
        <is>
          <t>Delivery</t>
        </is>
      </c>
      <c r="C2" s="12">
        <f>COUNTIF(Raw_Shifts!$B$2:$B$121,$A2)</f>
        <v/>
      </c>
      <c r="D2" s="15">
        <f>SUMIF(Raw_Shifts!$B$2:$B$121,$A2,Raw_Shifts!$E$2:$E$121)</f>
        <v/>
      </c>
      <c r="E2" s="15">
        <f>SUMIF(Raw_Shifts!$B$2:$B$121,$A2,Raw_Shifts!$F$2:$F$121)</f>
        <v/>
      </c>
      <c r="F2" s="15">
        <f>SUMIF(Raw_Shifts!$B$2:$B$121,$A2,Raw_Shifts!$G$2:$G$121)</f>
        <v/>
      </c>
      <c r="G2" s="16">
        <f>IF($D2=0,0,$E2/$D2)</f>
        <v/>
      </c>
      <c r="H2">
        <f>IF($F2&gt;10,"Review","OK")</f>
        <v/>
      </c>
    </row>
    <row r="3">
      <c r="A3" t="inlineStr">
        <is>
          <t>Priya Nair</t>
        </is>
      </c>
      <c r="B3" t="inlineStr">
        <is>
          <t>Packing</t>
        </is>
      </c>
      <c r="C3" s="12">
        <f>COUNTIF(Raw_Shifts!$B$2:$B$121,$A3)</f>
        <v/>
      </c>
      <c r="D3" s="15">
        <f>SUMIF(Raw_Shifts!$B$2:$B$121,$A3,Raw_Shifts!$E$2:$E$121)</f>
        <v/>
      </c>
      <c r="E3" s="15">
        <f>SUMIF(Raw_Shifts!$B$2:$B$121,$A3,Raw_Shifts!$F$2:$F$121)</f>
        <v/>
      </c>
      <c r="F3" s="15">
        <f>SUMIF(Raw_Shifts!$B$2:$B$121,$A3,Raw_Shifts!$G$2:$G$121)</f>
        <v/>
      </c>
      <c r="G3" s="16">
        <f>IF($D3=0,0,$E3/$D3)</f>
        <v/>
      </c>
      <c r="H3">
        <f>IF($F3&gt;10,"Review","OK")</f>
        <v/>
      </c>
    </row>
    <row r="4">
      <c r="A4" t="inlineStr">
        <is>
          <t>Sanjay Yadav</t>
        </is>
      </c>
      <c r="B4" t="inlineStr">
        <is>
          <t>Packing</t>
        </is>
      </c>
      <c r="C4" s="12">
        <f>COUNTIF(Raw_Shifts!$B$2:$B$121,$A4)</f>
        <v/>
      </c>
      <c r="D4" s="15">
        <f>SUMIF(Raw_Shifts!$B$2:$B$121,$A4,Raw_Shifts!$E$2:$E$121)</f>
        <v/>
      </c>
      <c r="E4" s="15">
        <f>SUMIF(Raw_Shifts!$B$2:$B$121,$A4,Raw_Shifts!$F$2:$F$121)</f>
        <v/>
      </c>
      <c r="F4" s="15">
        <f>SUMIF(Raw_Shifts!$B$2:$B$121,$A4,Raw_Shifts!$G$2:$G$121)</f>
        <v/>
      </c>
      <c r="G4" s="16">
        <f>IF($D4=0,0,$E4/$D4)</f>
        <v/>
      </c>
      <c r="H4">
        <f>IF($F4&gt;10,"Review","OK")</f>
        <v/>
      </c>
    </row>
    <row r="5">
      <c r="A5" t="inlineStr">
        <is>
          <t>Imran Khan</t>
        </is>
      </c>
      <c r="B5" t="inlineStr">
        <is>
          <t>Warehouse</t>
        </is>
      </c>
      <c r="C5" s="12">
        <f>COUNTIF(Raw_Shifts!$B$2:$B$121,$A5)</f>
        <v/>
      </c>
      <c r="D5" s="15">
        <f>SUMIF(Raw_Shifts!$B$2:$B$121,$A5,Raw_Shifts!$E$2:$E$121)</f>
        <v/>
      </c>
      <c r="E5" s="15">
        <f>SUMIF(Raw_Shifts!$B$2:$B$121,$A5,Raw_Shifts!$F$2:$F$121)</f>
        <v/>
      </c>
      <c r="F5" s="15">
        <f>SUMIF(Raw_Shifts!$B$2:$B$121,$A5,Raw_Shifts!$G$2:$G$121)</f>
        <v/>
      </c>
      <c r="G5" s="16">
        <f>IF($D5=0,0,$E5/$D5)</f>
        <v/>
      </c>
      <c r="H5">
        <f>IF($F5&gt;10,"Review","OK")</f>
        <v/>
      </c>
    </row>
    <row r="6">
      <c r="A6" t="inlineStr">
        <is>
          <t>Vikram Rao</t>
        </is>
      </c>
      <c r="B6" t="inlineStr">
        <is>
          <t>Delivery</t>
        </is>
      </c>
      <c r="C6" s="12">
        <f>COUNTIF(Raw_Shifts!$B$2:$B$121,$A6)</f>
        <v/>
      </c>
      <c r="D6" s="15">
        <f>SUMIF(Raw_Shifts!$B$2:$B$121,$A6,Raw_Shifts!$E$2:$E$121)</f>
        <v/>
      </c>
      <c r="E6" s="15">
        <f>SUMIF(Raw_Shifts!$B$2:$B$121,$A6,Raw_Shifts!$F$2:$F$121)</f>
        <v/>
      </c>
      <c r="F6" s="15">
        <f>SUMIF(Raw_Shifts!$B$2:$B$121,$A6,Raw_Shifts!$G$2:$G$121)</f>
        <v/>
      </c>
      <c r="G6" s="16">
        <f>IF($D6=0,0,$E6/$D6)</f>
        <v/>
      </c>
      <c r="H6">
        <f>IF($F6&gt;10,"Review","OK")</f>
        <v/>
      </c>
    </row>
    <row r="7">
      <c r="A7" t="inlineStr">
        <is>
          <t>Asha Verma</t>
        </is>
      </c>
      <c r="B7" t="inlineStr">
        <is>
          <t>Warehouse</t>
        </is>
      </c>
      <c r="C7" s="12">
        <f>COUNTIF(Raw_Shifts!$B$2:$B$121,$A7)</f>
        <v/>
      </c>
      <c r="D7" s="15">
        <f>SUMIF(Raw_Shifts!$B$2:$B$121,$A7,Raw_Shifts!$E$2:$E$121)</f>
        <v/>
      </c>
      <c r="E7" s="15">
        <f>SUMIF(Raw_Shifts!$B$2:$B$121,$A7,Raw_Shifts!$F$2:$F$121)</f>
        <v/>
      </c>
      <c r="F7" s="15">
        <f>SUMIF(Raw_Shifts!$B$2:$B$121,$A7,Raw_Shifts!$G$2:$G$121)</f>
        <v/>
      </c>
      <c r="G7" s="16">
        <f>IF($D7=0,0,$E7/$D7)</f>
        <v/>
      </c>
      <c r="H7">
        <f>IF($F7&gt;10,"Review","OK")</f>
        <v/>
      </c>
    </row>
    <row r="8">
      <c r="A8" t="inlineStr">
        <is>
          <t>Kiran Patel</t>
        </is>
      </c>
      <c r="B8" t="inlineStr">
        <is>
          <t>Delivery</t>
        </is>
      </c>
      <c r="C8" s="12">
        <f>COUNTIF(Raw_Shifts!$B$2:$B$121,$A8)</f>
        <v/>
      </c>
      <c r="D8" s="15">
        <f>SUMIF(Raw_Shifts!$B$2:$B$121,$A8,Raw_Shifts!$E$2:$E$121)</f>
        <v/>
      </c>
      <c r="E8" s="15">
        <f>SUMIF(Raw_Shifts!$B$2:$B$121,$A8,Raw_Shifts!$F$2:$F$121)</f>
        <v/>
      </c>
      <c r="F8" s="15">
        <f>SUMIF(Raw_Shifts!$B$2:$B$121,$A8,Raw_Shifts!$G$2:$G$121)</f>
        <v/>
      </c>
      <c r="G8" s="16">
        <f>IF($D8=0,0,$E8/$D8)</f>
        <v/>
      </c>
      <c r="H8">
        <f>IF($F8&gt;10,"Review","OK")</f>
        <v/>
      </c>
    </row>
    <row r="9">
      <c r="A9" t="inlineStr">
        <is>
          <t>Meera Joshi</t>
        </is>
      </c>
      <c r="B9" t="inlineStr">
        <is>
          <t>Packing</t>
        </is>
      </c>
      <c r="C9" s="12">
        <f>COUNTIF(Raw_Shifts!$B$2:$B$121,$A9)</f>
        <v/>
      </c>
      <c r="D9" s="15">
        <f>SUMIF(Raw_Shifts!$B$2:$B$121,$A9,Raw_Shifts!$E$2:$E$121)</f>
        <v/>
      </c>
      <c r="E9" s="15">
        <f>SUMIF(Raw_Shifts!$B$2:$B$121,$A9,Raw_Shifts!$F$2:$F$121)</f>
        <v/>
      </c>
      <c r="F9" s="15">
        <f>SUMIF(Raw_Shifts!$B$2:$B$121,$A9,Raw_Shifts!$G$2:$G$121)</f>
        <v/>
      </c>
      <c r="G9" s="16">
        <f>IF($D9=0,0,$E9/$D9)</f>
        <v/>
      </c>
      <c r="H9">
        <f>IF($F9&gt;10,"Review","OK")</f>
        <v/>
      </c>
    </row>
    <row r="10">
      <c r="A10" t="inlineStr">
        <is>
          <t>Rahul Singh</t>
        </is>
      </c>
      <c r="B10" t="inlineStr">
        <is>
          <t>Warehouse</t>
        </is>
      </c>
      <c r="C10" s="12">
        <f>COUNTIF(Raw_Shifts!$B$2:$B$121,$A10)</f>
        <v/>
      </c>
      <c r="D10" s="15">
        <f>SUMIF(Raw_Shifts!$B$2:$B$121,$A10,Raw_Shifts!$E$2:$E$121)</f>
        <v/>
      </c>
      <c r="E10" s="15">
        <f>SUMIF(Raw_Shifts!$B$2:$B$121,$A10,Raw_Shifts!$F$2:$F$121)</f>
        <v/>
      </c>
      <c r="F10" s="15">
        <f>SUMIF(Raw_Shifts!$B$2:$B$121,$A10,Raw_Shifts!$G$2:$G$121)</f>
        <v/>
      </c>
      <c r="G10" s="16">
        <f>IF($D10=0,0,$E10/$D10)</f>
        <v/>
      </c>
      <c r="H10">
        <f>IF($F10&gt;10,"Review","OK")</f>
        <v/>
      </c>
    </row>
    <row r="11">
      <c r="A11" t="inlineStr">
        <is>
          <t>Neha Gupta</t>
        </is>
      </c>
      <c r="B11" t="inlineStr">
        <is>
          <t>Admin</t>
        </is>
      </c>
      <c r="C11" s="12">
        <f>COUNTIF(Raw_Shifts!$B$2:$B$121,$A11)</f>
        <v/>
      </c>
      <c r="D11" s="15">
        <f>SUMIF(Raw_Shifts!$B$2:$B$121,$A11,Raw_Shifts!$E$2:$E$121)</f>
        <v/>
      </c>
      <c r="E11" s="15">
        <f>SUMIF(Raw_Shifts!$B$2:$B$121,$A11,Raw_Shifts!$F$2:$F$121)</f>
        <v/>
      </c>
      <c r="F11" s="15">
        <f>SUMIF(Raw_Shifts!$B$2:$B$121,$A11,Raw_Shifts!$G$2:$G$121)</f>
        <v/>
      </c>
      <c r="G11" s="16">
        <f>IF($D11=0,0,$E11/$D11)</f>
        <v/>
      </c>
      <c r="H11">
        <f>IF($F11&gt;10,"Review","OK")</f>
        <v/>
      </c>
    </row>
    <row r="12">
      <c r="A12" s="5" t="inlineStr">
        <is>
          <t>TOTAL</t>
        </is>
      </c>
      <c r="C12" s="13">
        <f>SUM($C$2:$C$11)</f>
        <v/>
      </c>
      <c r="D12" s="17">
        <f>SUM($D$2:$D$11)</f>
        <v/>
      </c>
      <c r="E12" s="17">
        <f>SUM($E$2:$E$11)</f>
        <v/>
      </c>
      <c r="F12" s="17">
        <f>SUM($F$2:$F$11)</f>
        <v/>
      </c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9" customWidth="1" min="4" max="4"/>
    <col width="14" customWidth="1" min="5" max="5"/>
    <col width="15" customWidth="1" min="6" max="6"/>
    <col width="11" customWidth="1" min="7" max="7"/>
    <col width="15" customWidth="1" min="8" max="8"/>
    <col width="12" customWidth="1" min="9" max="9"/>
    <col width="8" customWidth="1" min="10" max="10"/>
  </cols>
  <sheetData>
    <row r="1">
      <c r="A1" s="11" t="inlineStr">
        <is>
          <t>OrderID</t>
        </is>
      </c>
      <c r="B1" s="11" t="inlineStr">
        <is>
          <t>OrderDate</t>
        </is>
      </c>
      <c r="C1" s="11" t="inlineStr">
        <is>
          <t>ProductID</t>
        </is>
      </c>
      <c r="D1" s="11" t="inlineStr">
        <is>
          <t>Quantity</t>
        </is>
      </c>
      <c r="E1" s="11" t="inlineStr">
        <is>
          <t>UnitPrice (Rs)</t>
        </is>
      </c>
      <c r="F1" s="11" t="inlineStr">
        <is>
          <t>OrderValue (Rs)</t>
        </is>
      </c>
      <c r="G1" s="11" t="inlineStr">
        <is>
          <t>ShipDate</t>
        </is>
      </c>
      <c r="H1" s="11" t="inlineStr">
        <is>
          <t>FulfilmentDays</t>
        </is>
      </c>
      <c r="I1" s="11" t="inlineStr">
        <is>
          <t>WeekStart</t>
        </is>
      </c>
      <c r="J1" s="11" t="inlineStr">
        <is>
          <t>OnTime</t>
        </is>
      </c>
    </row>
    <row r="2">
      <c r="A2" t="inlineStr">
        <is>
          <t>O028</t>
        </is>
      </c>
      <c r="B2" s="14" t="n">
        <v>46273</v>
      </c>
      <c r="C2" t="inlineStr">
        <is>
          <t>P17</t>
        </is>
      </c>
      <c r="D2" s="12" t="n">
        <v>9</v>
      </c>
      <c r="E2" s="12" t="n">
        <v>1323</v>
      </c>
      <c r="F2" s="12">
        <f>$D2*$E2</f>
        <v/>
      </c>
      <c r="G2" s="14" t="n">
        <v>46274</v>
      </c>
      <c r="H2" s="18">
        <f>$G2-$B2</f>
        <v/>
      </c>
      <c r="I2" s="14" t="n">
        <v>46272</v>
      </c>
      <c r="J2">
        <f>IF($H2&lt;=Assumptions!$B$3,"Yes","No")</f>
        <v/>
      </c>
    </row>
    <row r="3">
      <c r="A3" t="inlineStr">
        <is>
          <t>O038</t>
        </is>
      </c>
      <c r="B3" s="14" t="n">
        <v>46274</v>
      </c>
      <c r="C3" t="inlineStr">
        <is>
          <t>P14</t>
        </is>
      </c>
      <c r="D3" s="12" t="n">
        <v>18</v>
      </c>
      <c r="E3" s="12" t="n">
        <v>1202</v>
      </c>
      <c r="F3" s="12">
        <f>$D3*$E3</f>
        <v/>
      </c>
      <c r="G3" s="14" t="n">
        <v>46279</v>
      </c>
      <c r="H3" s="18">
        <f>$G3-$B3</f>
        <v/>
      </c>
      <c r="I3" s="14" t="n">
        <v>46272</v>
      </c>
      <c r="J3">
        <f>IF($H3&lt;=Assumptions!$B$3,"Yes","No")</f>
        <v/>
      </c>
    </row>
    <row r="4">
      <c r="A4" t="inlineStr">
        <is>
          <t>O055</t>
        </is>
      </c>
      <c r="B4" s="14" t="n">
        <v>46275</v>
      </c>
      <c r="C4" t="inlineStr">
        <is>
          <t>P18</t>
        </is>
      </c>
      <c r="D4" s="12" t="n">
        <v>18</v>
      </c>
      <c r="E4" s="12" t="n">
        <v>526</v>
      </c>
      <c r="F4" s="12">
        <f>$D4*$E4</f>
        <v/>
      </c>
      <c r="G4" s="14" t="n">
        <v>46278</v>
      </c>
      <c r="H4" s="18">
        <f>$G4-$B4</f>
        <v/>
      </c>
      <c r="I4" s="14" t="n">
        <v>46272</v>
      </c>
      <c r="J4">
        <f>IF($H4&lt;=Assumptions!$B$3,"Yes","No")</f>
        <v/>
      </c>
    </row>
    <row r="5">
      <c r="A5" t="inlineStr">
        <is>
          <t>O039</t>
        </is>
      </c>
      <c r="B5" s="14" t="n">
        <v>46276</v>
      </c>
      <c r="C5" t="inlineStr">
        <is>
          <t>P02</t>
        </is>
      </c>
      <c r="D5" s="12" t="n">
        <v>9</v>
      </c>
      <c r="E5" s="12" t="n">
        <v>223</v>
      </c>
      <c r="F5" s="12">
        <f>$D5*$E5</f>
        <v/>
      </c>
      <c r="G5" s="14" t="n">
        <v>46278</v>
      </c>
      <c r="H5" s="18">
        <f>$G5-$B5</f>
        <v/>
      </c>
      <c r="I5" s="14" t="n">
        <v>46272</v>
      </c>
      <c r="J5">
        <f>IF($H5&lt;=Assumptions!$B$3,"Yes","No")</f>
        <v/>
      </c>
    </row>
    <row r="6">
      <c r="A6" t="inlineStr">
        <is>
          <t>O085</t>
        </is>
      </c>
      <c r="B6" s="14" t="n">
        <v>46276</v>
      </c>
      <c r="C6" t="inlineStr">
        <is>
          <t>P17</t>
        </is>
      </c>
      <c r="D6" s="12" t="n">
        <v>16</v>
      </c>
      <c r="E6" s="12" t="n">
        <v>1323</v>
      </c>
      <c r="F6" s="12">
        <f>$D6*$E6</f>
        <v/>
      </c>
      <c r="G6" s="14" t="n">
        <v>46278</v>
      </c>
      <c r="H6" s="18">
        <f>$G6-$B6</f>
        <v/>
      </c>
      <c r="I6" s="14" t="n">
        <v>46272</v>
      </c>
      <c r="J6">
        <f>IF($H6&lt;=Assumptions!$B$3,"Yes","No")</f>
        <v/>
      </c>
    </row>
    <row r="7">
      <c r="A7" t="inlineStr">
        <is>
          <t>O095</t>
        </is>
      </c>
      <c r="B7" s="14" t="n">
        <v>46276</v>
      </c>
      <c r="C7" t="inlineStr">
        <is>
          <t>P18</t>
        </is>
      </c>
      <c r="D7" s="12" t="n">
        <v>12</v>
      </c>
      <c r="E7" s="12" t="n">
        <v>526</v>
      </c>
      <c r="F7" s="12">
        <f>$D7*$E7</f>
        <v/>
      </c>
      <c r="G7" s="14" t="n">
        <v>46280</v>
      </c>
      <c r="H7" s="18">
        <f>$G7-$B7</f>
        <v/>
      </c>
      <c r="I7" s="14" t="n">
        <v>46272</v>
      </c>
      <c r="J7">
        <f>IF($H7&lt;=Assumptions!$B$3,"Yes","No")</f>
        <v/>
      </c>
    </row>
    <row r="8">
      <c r="A8" t="inlineStr">
        <is>
          <t>O018</t>
        </is>
      </c>
      <c r="B8" s="14" t="n">
        <v>46278</v>
      </c>
      <c r="C8" t="inlineStr">
        <is>
          <t>P14</t>
        </is>
      </c>
      <c r="D8" s="12" t="n">
        <v>12</v>
      </c>
      <c r="E8" s="12" t="n">
        <v>1202</v>
      </c>
      <c r="F8" s="12">
        <f>$D8*$E8</f>
        <v/>
      </c>
      <c r="G8" s="14" t="n">
        <v>46282</v>
      </c>
      <c r="H8" s="18">
        <f>$G8-$B8</f>
        <v/>
      </c>
      <c r="I8" s="14" t="n">
        <v>46272</v>
      </c>
      <c r="J8">
        <f>IF($H8&lt;=Assumptions!$B$3,"Yes","No")</f>
        <v/>
      </c>
    </row>
    <row r="9">
      <c r="A9" t="inlineStr">
        <is>
          <t>O068</t>
        </is>
      </c>
      <c r="B9" s="14" t="n">
        <v>46279</v>
      </c>
      <c r="C9" t="inlineStr">
        <is>
          <t>P08</t>
        </is>
      </c>
      <c r="D9" s="12" t="n">
        <v>10</v>
      </c>
      <c r="E9" s="12" t="n">
        <v>459</v>
      </c>
      <c r="F9" s="12">
        <f>$D9*$E9</f>
        <v/>
      </c>
      <c r="G9" s="14" t="n">
        <v>46280</v>
      </c>
      <c r="H9" s="18">
        <f>$G9-$B9</f>
        <v/>
      </c>
      <c r="I9" s="14" t="n">
        <v>46279</v>
      </c>
      <c r="J9">
        <f>IF($H9&lt;=Assumptions!$B$3,"Yes","No")</f>
        <v/>
      </c>
    </row>
    <row r="10">
      <c r="A10" t="inlineStr">
        <is>
          <t>O075</t>
        </is>
      </c>
      <c r="B10" s="14" t="n">
        <v>46279</v>
      </c>
      <c r="C10" t="inlineStr">
        <is>
          <t>P17</t>
        </is>
      </c>
      <c r="D10" s="12" t="n">
        <v>4</v>
      </c>
      <c r="E10" s="12" t="n">
        <v>1323</v>
      </c>
      <c r="F10" s="12">
        <f>$D10*$E10</f>
        <v/>
      </c>
      <c r="G10" s="14" t="n">
        <v>46284</v>
      </c>
      <c r="H10" s="18">
        <f>$G10-$B10</f>
        <v/>
      </c>
      <c r="I10" s="14" t="n">
        <v>46279</v>
      </c>
      <c r="J10">
        <f>IF($H10&lt;=Assumptions!$B$3,"Yes","No")</f>
        <v/>
      </c>
    </row>
    <row r="11">
      <c r="A11" t="inlineStr">
        <is>
          <t>O090</t>
        </is>
      </c>
      <c r="B11" s="14" t="n">
        <v>46279</v>
      </c>
      <c r="C11" t="inlineStr">
        <is>
          <t>P21</t>
        </is>
      </c>
      <c r="D11" s="12" t="n">
        <v>13</v>
      </c>
      <c r="E11" s="12" t="n">
        <v>432</v>
      </c>
      <c r="F11" s="12">
        <f>$D11*$E11</f>
        <v/>
      </c>
      <c r="G11" s="14" t="n">
        <v>46284</v>
      </c>
      <c r="H11" s="18">
        <f>$G11-$B11</f>
        <v/>
      </c>
      <c r="I11" s="14" t="n">
        <v>46279</v>
      </c>
      <c r="J11">
        <f>IF($H11&lt;=Assumptions!$B$3,"Yes","No")</f>
        <v/>
      </c>
    </row>
    <row r="12">
      <c r="A12" t="inlineStr">
        <is>
          <t>O058</t>
        </is>
      </c>
      <c r="B12" s="14" t="n">
        <v>46280</v>
      </c>
      <c r="C12" t="inlineStr">
        <is>
          <t>P11</t>
        </is>
      </c>
      <c r="D12" s="12" t="n">
        <v>16</v>
      </c>
      <c r="E12" s="12" t="n">
        <v>3848</v>
      </c>
      <c r="F12" s="12">
        <f>$D12*$E12</f>
        <v/>
      </c>
      <c r="G12" s="14" t="n">
        <v>46284</v>
      </c>
      <c r="H12" s="18">
        <f>$G12-$B12</f>
        <v/>
      </c>
      <c r="I12" s="14" t="n">
        <v>46279</v>
      </c>
      <c r="J12">
        <f>IF($H12&lt;=Assumptions!$B$3,"Yes","No")</f>
        <v/>
      </c>
    </row>
    <row r="13">
      <c r="A13" t="inlineStr">
        <is>
          <t>O048</t>
        </is>
      </c>
      <c r="B13" s="14" t="n">
        <v>46281</v>
      </c>
      <c r="C13" t="inlineStr">
        <is>
          <t>P18</t>
        </is>
      </c>
      <c r="D13" s="12" t="n">
        <v>8</v>
      </c>
      <c r="E13" s="12" t="n">
        <v>526</v>
      </c>
      <c r="F13" s="12">
        <f>$D13*$E13</f>
        <v/>
      </c>
      <c r="G13" s="14" t="n">
        <v>46286</v>
      </c>
      <c r="H13" s="18">
        <f>$G13-$B13</f>
        <v/>
      </c>
      <c r="I13" s="14" t="n">
        <v>46279</v>
      </c>
      <c r="J13">
        <f>IF($H13&lt;=Assumptions!$B$3,"Yes","No")</f>
        <v/>
      </c>
    </row>
    <row r="14">
      <c r="A14" t="inlineStr">
        <is>
          <t>O074</t>
        </is>
      </c>
      <c r="B14" s="14" t="n">
        <v>46281</v>
      </c>
      <c r="C14" t="inlineStr">
        <is>
          <t>P18</t>
        </is>
      </c>
      <c r="D14" s="12" t="n">
        <v>10</v>
      </c>
      <c r="E14" s="12" t="n">
        <v>526</v>
      </c>
      <c r="F14" s="12">
        <f>$D14*$E14</f>
        <v/>
      </c>
      <c r="G14" s="14" t="n">
        <v>46285</v>
      </c>
      <c r="H14" s="18">
        <f>$G14-$B14</f>
        <v/>
      </c>
      <c r="I14" s="14" t="n">
        <v>46279</v>
      </c>
      <c r="J14">
        <f>IF($H14&lt;=Assumptions!$B$3,"Yes","No")</f>
        <v/>
      </c>
    </row>
    <row r="15">
      <c r="A15" t="inlineStr">
        <is>
          <t>O007</t>
        </is>
      </c>
      <c r="B15" s="14" t="n">
        <v>46283</v>
      </c>
      <c r="C15" t="inlineStr">
        <is>
          <t>P19</t>
        </is>
      </c>
      <c r="D15" s="12" t="n">
        <v>10</v>
      </c>
      <c r="E15" s="12" t="n">
        <v>2228</v>
      </c>
      <c r="F15" s="12">
        <f>$D15*$E15</f>
        <v/>
      </c>
      <c r="G15" s="14" t="n">
        <v>46286</v>
      </c>
      <c r="H15" s="18">
        <f>$G15-$B15</f>
        <v/>
      </c>
      <c r="I15" s="14" t="n">
        <v>46279</v>
      </c>
      <c r="J15">
        <f>IF($H15&lt;=Assumptions!$B$3,"Yes","No")</f>
        <v/>
      </c>
    </row>
    <row r="16">
      <c r="A16" t="inlineStr">
        <is>
          <t>O022</t>
        </is>
      </c>
      <c r="B16" s="14" t="n">
        <v>46283</v>
      </c>
      <c r="C16" t="inlineStr">
        <is>
          <t>P03</t>
        </is>
      </c>
      <c r="D16" s="12" t="n">
        <v>8</v>
      </c>
      <c r="E16" s="12" t="n">
        <v>513</v>
      </c>
      <c r="F16" s="12">
        <f>$D16*$E16</f>
        <v/>
      </c>
      <c r="G16" s="14" t="n">
        <v>46287</v>
      </c>
      <c r="H16" s="18">
        <f>$G16-$B16</f>
        <v/>
      </c>
      <c r="I16" s="14" t="n">
        <v>46279</v>
      </c>
      <c r="J16">
        <f>IF($H16&lt;=Assumptions!$B$3,"Yes","No")</f>
        <v/>
      </c>
    </row>
    <row r="17">
      <c r="A17" t="inlineStr">
        <is>
          <t>O013</t>
        </is>
      </c>
      <c r="B17" s="14" t="n">
        <v>46284</v>
      </c>
      <c r="C17" t="inlineStr">
        <is>
          <t>P07</t>
        </is>
      </c>
      <c r="D17" s="12" t="n">
        <v>16</v>
      </c>
      <c r="E17" s="12" t="n">
        <v>128</v>
      </c>
      <c r="F17" s="12">
        <f>$D17*$E17</f>
        <v/>
      </c>
      <c r="G17" s="14" t="n">
        <v>46287</v>
      </c>
      <c r="H17" s="18">
        <f>$G17-$B17</f>
        <v/>
      </c>
      <c r="I17" s="14" t="n">
        <v>46279</v>
      </c>
      <c r="J17">
        <f>IF($H17&lt;=Assumptions!$B$3,"Yes","No")</f>
        <v/>
      </c>
    </row>
    <row r="18">
      <c r="A18" t="inlineStr">
        <is>
          <t>O029</t>
        </is>
      </c>
      <c r="B18" s="14" t="n">
        <v>46285</v>
      </c>
      <c r="C18" t="inlineStr">
        <is>
          <t>P21</t>
        </is>
      </c>
      <c r="D18" s="12" t="n">
        <v>7</v>
      </c>
      <c r="E18" s="12" t="n">
        <v>432</v>
      </c>
      <c r="F18" s="12">
        <f>$D18*$E18</f>
        <v/>
      </c>
      <c r="G18" s="14" t="n">
        <v>46288</v>
      </c>
      <c r="H18" s="18">
        <f>$G18-$B18</f>
        <v/>
      </c>
      <c r="I18" s="14" t="n">
        <v>46279</v>
      </c>
      <c r="J18">
        <f>IF($H18&lt;=Assumptions!$B$3,"Yes","No")</f>
        <v/>
      </c>
    </row>
    <row r="19">
      <c r="A19" t="inlineStr">
        <is>
          <t>O069</t>
        </is>
      </c>
      <c r="B19" s="14" t="n">
        <v>46285</v>
      </c>
      <c r="C19" t="inlineStr">
        <is>
          <t>P09</t>
        </is>
      </c>
      <c r="D19" s="12" t="n">
        <v>3</v>
      </c>
      <c r="E19" s="12" t="n">
        <v>115</v>
      </c>
      <c r="F19" s="12">
        <f>$D19*$E19</f>
        <v/>
      </c>
      <c r="G19" s="14" t="n">
        <v>46289</v>
      </c>
      <c r="H19" s="18">
        <f>$G19-$B19</f>
        <v/>
      </c>
      <c r="I19" s="14" t="n">
        <v>46279</v>
      </c>
      <c r="J19">
        <f>IF($H19&lt;=Assumptions!$B$3,"Yes","No")</f>
        <v/>
      </c>
    </row>
    <row r="20">
      <c r="A20" t="inlineStr">
        <is>
          <t>O045</t>
        </is>
      </c>
      <c r="B20" s="14" t="n">
        <v>46286</v>
      </c>
      <c r="C20" t="inlineStr">
        <is>
          <t>P22</t>
        </is>
      </c>
      <c r="D20" s="12" t="n">
        <v>10</v>
      </c>
      <c r="E20" s="12" t="n">
        <v>196</v>
      </c>
      <c r="F20" s="12">
        <f>$D20*$E20</f>
        <v/>
      </c>
      <c r="G20" s="14" t="n">
        <v>46291</v>
      </c>
      <c r="H20" s="18">
        <f>$G20-$B20</f>
        <v/>
      </c>
      <c r="I20" s="14" t="n">
        <v>46286</v>
      </c>
      <c r="J20">
        <f>IF($H20&lt;=Assumptions!$B$3,"Yes","No")</f>
        <v/>
      </c>
    </row>
    <row r="21">
      <c r="A21" t="inlineStr">
        <is>
          <t>O033</t>
        </is>
      </c>
      <c r="B21" s="14" t="n">
        <v>46287</v>
      </c>
      <c r="C21" t="inlineStr">
        <is>
          <t>P07</t>
        </is>
      </c>
      <c r="D21" s="12" t="n">
        <v>13</v>
      </c>
      <c r="E21" s="12" t="n">
        <v>128</v>
      </c>
      <c r="F21" s="12">
        <f>$D21*$E21</f>
        <v/>
      </c>
      <c r="G21" s="14" t="n">
        <v>46289</v>
      </c>
      <c r="H21" s="18">
        <f>$G21-$B21</f>
        <v/>
      </c>
      <c r="I21" s="14" t="n">
        <v>46286</v>
      </c>
      <c r="J21">
        <f>IF($H21&lt;=Assumptions!$B$3,"Yes","No")</f>
        <v/>
      </c>
    </row>
    <row r="22">
      <c r="A22" t="inlineStr">
        <is>
          <t>O053</t>
        </is>
      </c>
      <c r="B22" s="14" t="n">
        <v>46288</v>
      </c>
      <c r="C22" t="inlineStr">
        <is>
          <t>P15</t>
        </is>
      </c>
      <c r="D22" s="12" t="n">
        <v>13</v>
      </c>
      <c r="E22" s="12" t="n">
        <v>621</v>
      </c>
      <c r="F22" s="12">
        <f>$D22*$E22</f>
        <v/>
      </c>
      <c r="G22" s="14" t="n">
        <v>46293</v>
      </c>
      <c r="H22" s="18">
        <f>$G22-$B22</f>
        <v/>
      </c>
      <c r="I22" s="14" t="n">
        <v>46286</v>
      </c>
      <c r="J22">
        <f>IF($H22&lt;=Assumptions!$B$3,"Yes","No")</f>
        <v/>
      </c>
    </row>
    <row r="23">
      <c r="A23" t="inlineStr">
        <is>
          <t>O012</t>
        </is>
      </c>
      <c r="B23" s="14" t="n">
        <v>46289</v>
      </c>
      <c r="C23" t="inlineStr">
        <is>
          <t>P07</t>
        </is>
      </c>
      <c r="D23" s="12" t="n">
        <v>16</v>
      </c>
      <c r="E23" s="12" t="n">
        <v>128</v>
      </c>
      <c r="F23" s="12">
        <f>$D23*$E23</f>
        <v/>
      </c>
      <c r="G23" s="14" t="n">
        <v>46290</v>
      </c>
      <c r="H23" s="18">
        <f>$G23-$B23</f>
        <v/>
      </c>
      <c r="I23" s="14" t="n">
        <v>46286</v>
      </c>
      <c r="J23">
        <f>IF($H23&lt;=Assumptions!$B$3,"Yes","No")</f>
        <v/>
      </c>
    </row>
    <row r="24">
      <c r="A24" t="inlineStr">
        <is>
          <t>O014</t>
        </is>
      </c>
      <c r="B24" s="14" t="n">
        <v>46289</v>
      </c>
      <c r="C24" t="inlineStr">
        <is>
          <t>P09</t>
        </is>
      </c>
      <c r="D24" s="12" t="n">
        <v>4</v>
      </c>
      <c r="E24" s="12" t="n">
        <v>115</v>
      </c>
      <c r="F24" s="12">
        <f>$D24*$E24</f>
        <v/>
      </c>
      <c r="G24" s="14" t="n">
        <v>46294</v>
      </c>
      <c r="H24" s="18">
        <f>$G24-$B24</f>
        <v/>
      </c>
      <c r="I24" s="14" t="n">
        <v>46286</v>
      </c>
      <c r="J24">
        <f>IF($H24&lt;=Assumptions!$B$3,"Yes","No")</f>
        <v/>
      </c>
    </row>
    <row r="25">
      <c r="A25" t="inlineStr">
        <is>
          <t>O024</t>
        </is>
      </c>
      <c r="B25" s="14" t="n">
        <v>46289</v>
      </c>
      <c r="C25" t="inlineStr">
        <is>
          <t>P19</t>
        </is>
      </c>
      <c r="D25" s="12" t="n">
        <v>11</v>
      </c>
      <c r="E25" s="12" t="n">
        <v>2228</v>
      </c>
      <c r="F25" s="12">
        <f>$D25*$E25</f>
        <v/>
      </c>
      <c r="G25" s="14" t="n">
        <v>46290</v>
      </c>
      <c r="H25" s="18">
        <f>$G25-$B25</f>
        <v/>
      </c>
      <c r="I25" s="14" t="n">
        <v>46286</v>
      </c>
      <c r="J25">
        <f>IF($H25&lt;=Assumptions!$B$3,"Yes","No")</f>
        <v/>
      </c>
    </row>
    <row r="26">
      <c r="A26" t="inlineStr">
        <is>
          <t>O049</t>
        </is>
      </c>
      <c r="B26" s="14" t="n">
        <v>46289</v>
      </c>
      <c r="C26" t="inlineStr">
        <is>
          <t>P15</t>
        </is>
      </c>
      <c r="D26" s="12" t="n">
        <v>14</v>
      </c>
      <c r="E26" s="12" t="n">
        <v>621</v>
      </c>
      <c r="F26" s="12">
        <f>$D26*$E26</f>
        <v/>
      </c>
      <c r="G26" s="14" t="n">
        <v>46291</v>
      </c>
      <c r="H26" s="18">
        <f>$G26-$B26</f>
        <v/>
      </c>
      <c r="I26" s="14" t="n">
        <v>46286</v>
      </c>
      <c r="J26">
        <f>IF($H26&lt;=Assumptions!$B$3,"Yes","No")</f>
        <v/>
      </c>
    </row>
    <row r="27">
      <c r="A27" t="inlineStr">
        <is>
          <t>O059</t>
        </is>
      </c>
      <c r="B27" s="14" t="n">
        <v>46289</v>
      </c>
      <c r="C27" t="inlineStr">
        <is>
          <t>P15</t>
        </is>
      </c>
      <c r="D27" s="12" t="n">
        <v>10</v>
      </c>
      <c r="E27" s="12" t="n">
        <v>621</v>
      </c>
      <c r="F27" s="12">
        <f>$D27*$E27</f>
        <v/>
      </c>
      <c r="G27" s="14" t="n">
        <v>46294</v>
      </c>
      <c r="H27" s="18">
        <f>$G27-$B27</f>
        <v/>
      </c>
      <c r="I27" s="14" t="n">
        <v>46286</v>
      </c>
      <c r="J27">
        <f>IF($H27&lt;=Assumptions!$B$3,"Yes","No")</f>
        <v/>
      </c>
    </row>
    <row r="28">
      <c r="A28" t="inlineStr">
        <is>
          <t>O064</t>
        </is>
      </c>
      <c r="B28" s="14" t="n">
        <v>46289</v>
      </c>
      <c r="C28" t="inlineStr">
        <is>
          <t>P18</t>
        </is>
      </c>
      <c r="D28" s="12" t="n">
        <v>12</v>
      </c>
      <c r="E28" s="12" t="n">
        <v>526</v>
      </c>
      <c r="F28" s="12">
        <f>$D28*$E28</f>
        <v/>
      </c>
      <c r="G28" s="14" t="n">
        <v>46291</v>
      </c>
      <c r="H28" s="18">
        <f>$G28-$B28</f>
        <v/>
      </c>
      <c r="I28" s="14" t="n">
        <v>46286</v>
      </c>
      <c r="J28">
        <f>IF($H28&lt;=Assumptions!$B$3,"Yes","No")</f>
        <v/>
      </c>
    </row>
    <row r="29">
      <c r="A29" t="inlineStr">
        <is>
          <t>O070</t>
        </is>
      </c>
      <c r="B29" s="14" t="n">
        <v>46290</v>
      </c>
      <c r="C29" t="inlineStr">
        <is>
          <t>P08</t>
        </is>
      </c>
      <c r="D29" s="12" t="n">
        <v>3</v>
      </c>
      <c r="E29" s="12" t="n">
        <v>459</v>
      </c>
      <c r="F29" s="12">
        <f>$D29*$E29</f>
        <v/>
      </c>
      <c r="G29" s="14" t="n">
        <v>46292</v>
      </c>
      <c r="H29" s="18">
        <f>$G29-$B29</f>
        <v/>
      </c>
      <c r="I29" s="14" t="n">
        <v>46286</v>
      </c>
      <c r="J29">
        <f>IF($H29&lt;=Assumptions!$B$3,"Yes","No")</f>
        <v/>
      </c>
    </row>
    <row r="30">
      <c r="A30" t="inlineStr">
        <is>
          <t>O078</t>
        </is>
      </c>
      <c r="B30" s="14" t="n">
        <v>46291</v>
      </c>
      <c r="C30" t="inlineStr">
        <is>
          <t>P12</t>
        </is>
      </c>
      <c r="D30" s="12" t="n">
        <v>6</v>
      </c>
      <c r="E30" s="12" t="n">
        <v>1593</v>
      </c>
      <c r="F30" s="12">
        <f>$D30*$E30</f>
        <v/>
      </c>
      <c r="G30" s="14" t="n">
        <v>46295</v>
      </c>
      <c r="H30" s="18">
        <f>$G30-$B30</f>
        <v/>
      </c>
      <c r="I30" s="14" t="n">
        <v>46286</v>
      </c>
      <c r="J30">
        <f>IF($H30&lt;=Assumptions!$B$3,"Yes","No")</f>
        <v/>
      </c>
    </row>
    <row r="31">
      <c r="A31" t="inlineStr">
        <is>
          <t>O080</t>
        </is>
      </c>
      <c r="B31" s="14" t="n">
        <v>46291</v>
      </c>
      <c r="C31" t="inlineStr">
        <is>
          <t>P16</t>
        </is>
      </c>
      <c r="D31" s="12" t="n">
        <v>18</v>
      </c>
      <c r="E31" s="12" t="n">
        <v>999</v>
      </c>
      <c r="F31" s="12">
        <f>$D31*$E31</f>
        <v/>
      </c>
      <c r="G31" s="14" t="n">
        <v>46292</v>
      </c>
      <c r="H31" s="18">
        <f>$G31-$B31</f>
        <v/>
      </c>
      <c r="I31" s="14" t="n">
        <v>46286</v>
      </c>
      <c r="J31">
        <f>IF($H31&lt;=Assumptions!$B$3,"Yes","No")</f>
        <v/>
      </c>
    </row>
    <row r="32">
      <c r="A32" t="inlineStr">
        <is>
          <t>O001</t>
        </is>
      </c>
      <c r="B32" s="14" t="n">
        <v>46292</v>
      </c>
      <c r="C32" t="inlineStr">
        <is>
          <t>P16</t>
        </is>
      </c>
      <c r="D32" s="12" t="n">
        <v>4</v>
      </c>
      <c r="E32" s="12" t="n">
        <v>999</v>
      </c>
      <c r="F32" s="12">
        <f>$D32*$E32</f>
        <v/>
      </c>
      <c r="G32" s="14" t="n">
        <v>46294</v>
      </c>
      <c r="H32" s="18">
        <f>$G32-$B32</f>
        <v/>
      </c>
      <c r="I32" s="14" t="n">
        <v>46286</v>
      </c>
      <c r="J32">
        <f>IF($H32&lt;=Assumptions!$B$3,"Yes","No")</f>
        <v/>
      </c>
    </row>
    <row r="33">
      <c r="A33" t="inlineStr">
        <is>
          <t>O004</t>
        </is>
      </c>
      <c r="B33" s="14" t="n">
        <v>46292</v>
      </c>
      <c r="C33" t="inlineStr">
        <is>
          <t>P21</t>
        </is>
      </c>
      <c r="D33" s="12" t="n">
        <v>14</v>
      </c>
      <c r="E33" s="12" t="n">
        <v>432</v>
      </c>
      <c r="F33" s="12">
        <f>$D33*$E33</f>
        <v/>
      </c>
      <c r="G33" s="14" t="n">
        <v>46294</v>
      </c>
      <c r="H33" s="18">
        <f>$G33-$B33</f>
        <v/>
      </c>
      <c r="I33" s="14" t="n">
        <v>46286</v>
      </c>
      <c r="J33">
        <f>IF($H33&lt;=Assumptions!$B$3,"Yes","No")</f>
        <v/>
      </c>
    </row>
    <row r="34">
      <c r="A34" t="inlineStr">
        <is>
          <t>O016</t>
        </is>
      </c>
      <c r="B34" s="14" t="n">
        <v>46292</v>
      </c>
      <c r="C34" t="inlineStr">
        <is>
          <t>P06</t>
        </is>
      </c>
      <c r="D34" s="12" t="n">
        <v>12</v>
      </c>
      <c r="E34" s="12" t="n">
        <v>385</v>
      </c>
      <c r="F34" s="12">
        <f>$D34*$E34</f>
        <v/>
      </c>
      <c r="G34" s="14" t="n">
        <v>46295</v>
      </c>
      <c r="H34" s="18">
        <f>$G34-$B34</f>
        <v/>
      </c>
      <c r="I34" s="14" t="n">
        <v>46286</v>
      </c>
      <c r="J34">
        <f>IF($H34&lt;=Assumptions!$B$3,"Yes","No")</f>
        <v/>
      </c>
    </row>
    <row r="35">
      <c r="A35" t="inlineStr">
        <is>
          <t>O044</t>
        </is>
      </c>
      <c r="B35" s="14" t="n">
        <v>46292</v>
      </c>
      <c r="C35" t="inlineStr">
        <is>
          <t>P17</t>
        </is>
      </c>
      <c r="D35" s="12" t="n">
        <v>2</v>
      </c>
      <c r="E35" s="12" t="n">
        <v>1323</v>
      </c>
      <c r="F35" s="12">
        <f>$D35*$E35</f>
        <v/>
      </c>
      <c r="G35" s="14" t="n">
        <v>46295</v>
      </c>
      <c r="H35" s="18">
        <f>$G35-$B35</f>
        <v/>
      </c>
      <c r="I35" s="14" t="n">
        <v>46286</v>
      </c>
      <c r="J35">
        <f>IF($H35&lt;=Assumptions!$B$3,"Yes","No")</f>
        <v/>
      </c>
    </row>
    <row r="36">
      <c r="A36" t="inlineStr">
        <is>
          <t>O015</t>
        </is>
      </c>
      <c r="B36" s="14" t="n">
        <v>46293</v>
      </c>
      <c r="C36" t="inlineStr">
        <is>
          <t>P03</t>
        </is>
      </c>
      <c r="D36" s="12" t="n">
        <v>16</v>
      </c>
      <c r="E36" s="12" t="n">
        <v>513</v>
      </c>
      <c r="F36" s="12">
        <f>$D36*$E36</f>
        <v/>
      </c>
      <c r="G36" s="14" t="n">
        <v>46296</v>
      </c>
      <c r="H36" s="18">
        <f>$G36-$B36</f>
        <v/>
      </c>
      <c r="I36" s="14" t="n">
        <v>46293</v>
      </c>
      <c r="J36">
        <f>IF($H36&lt;=Assumptions!$B$3,"Yes","No")</f>
        <v/>
      </c>
    </row>
    <row r="37">
      <c r="A37" t="inlineStr">
        <is>
          <t>O025</t>
        </is>
      </c>
      <c r="B37" s="14" t="n">
        <v>46293</v>
      </c>
      <c r="C37" t="inlineStr">
        <is>
          <t>P14</t>
        </is>
      </c>
      <c r="D37" s="12" t="n">
        <v>15</v>
      </c>
      <c r="E37" s="12" t="n">
        <v>1202</v>
      </c>
      <c r="F37" s="12">
        <f>$D37*$E37</f>
        <v/>
      </c>
      <c r="G37" s="14" t="n">
        <v>46298</v>
      </c>
      <c r="H37" s="18">
        <f>$G37-$B37</f>
        <v/>
      </c>
      <c r="I37" s="14" t="n">
        <v>46293</v>
      </c>
      <c r="J37">
        <f>IF($H37&lt;=Assumptions!$B$3,"Yes","No")</f>
        <v/>
      </c>
    </row>
    <row r="38">
      <c r="A38" t="inlineStr">
        <is>
          <t>O067</t>
        </is>
      </c>
      <c r="B38" s="14" t="n">
        <v>46294</v>
      </c>
      <c r="C38" t="inlineStr">
        <is>
          <t>P09</t>
        </is>
      </c>
      <c r="D38" s="12" t="n">
        <v>5</v>
      </c>
      <c r="E38" s="12" t="n">
        <v>115</v>
      </c>
      <c r="F38" s="12">
        <f>$D38*$E38</f>
        <v/>
      </c>
      <c r="G38" s="14" t="n">
        <v>46296</v>
      </c>
      <c r="H38" s="18">
        <f>$G38-$B38</f>
        <v/>
      </c>
      <c r="I38" s="14" t="n">
        <v>46293</v>
      </c>
      <c r="J38">
        <f>IF($H38&lt;=Assumptions!$B$3,"Yes","No")</f>
        <v/>
      </c>
    </row>
    <row r="39">
      <c r="A39" t="inlineStr">
        <is>
          <t>O060</t>
        </is>
      </c>
      <c r="B39" s="14" t="n">
        <v>46295</v>
      </c>
      <c r="C39" t="inlineStr">
        <is>
          <t>P18</t>
        </is>
      </c>
      <c r="D39" s="12" t="n">
        <v>11</v>
      </c>
      <c r="E39" s="12" t="n">
        <v>526</v>
      </c>
      <c r="F39" s="12">
        <f>$D39*$E39</f>
        <v/>
      </c>
      <c r="G39" s="14" t="n">
        <v>46300</v>
      </c>
      <c r="H39" s="18">
        <f>$G39-$B39</f>
        <v/>
      </c>
      <c r="I39" s="14" t="n">
        <v>46293</v>
      </c>
      <c r="J39">
        <f>IF($H39&lt;=Assumptions!$B$3,"Yes","No")</f>
        <v/>
      </c>
    </row>
    <row r="40">
      <c r="A40" t="inlineStr">
        <is>
          <t>O065</t>
        </is>
      </c>
      <c r="B40" s="14" t="n">
        <v>46295</v>
      </c>
      <c r="C40" t="inlineStr">
        <is>
          <t>P08</t>
        </is>
      </c>
      <c r="D40" s="12" t="n">
        <v>15</v>
      </c>
      <c r="E40" s="12" t="n">
        <v>459</v>
      </c>
      <c r="F40" s="12">
        <f>$D40*$E40</f>
        <v/>
      </c>
      <c r="G40" s="14" t="n">
        <v>46296</v>
      </c>
      <c r="H40" s="18">
        <f>$G40-$B40</f>
        <v/>
      </c>
      <c r="I40" s="14" t="n">
        <v>46293</v>
      </c>
      <c r="J40">
        <f>IF($H40&lt;=Assumptions!$B$3,"Yes","No")</f>
        <v/>
      </c>
    </row>
    <row r="41">
      <c r="A41" t="inlineStr">
        <is>
          <t>O017</t>
        </is>
      </c>
      <c r="B41" s="14" t="n">
        <v>46296</v>
      </c>
      <c r="C41" t="inlineStr">
        <is>
          <t>P05</t>
        </is>
      </c>
      <c r="D41" s="12" t="n">
        <v>15</v>
      </c>
      <c r="E41" s="12" t="n">
        <v>418</v>
      </c>
      <c r="F41" s="12">
        <f>$D41*$E41</f>
        <v/>
      </c>
      <c r="G41" s="14" t="n">
        <v>46301</v>
      </c>
      <c r="H41" s="18">
        <f>$G41-$B41</f>
        <v/>
      </c>
      <c r="I41" s="14" t="n">
        <v>46293</v>
      </c>
      <c r="J41">
        <f>IF($H41&lt;=Assumptions!$B$3,"Yes","No")</f>
        <v/>
      </c>
    </row>
    <row r="42">
      <c r="A42" t="inlineStr">
        <is>
          <t>O082</t>
        </is>
      </c>
      <c r="B42" s="14" t="n">
        <v>46296</v>
      </c>
      <c r="C42" t="inlineStr">
        <is>
          <t>P21</t>
        </is>
      </c>
      <c r="D42" s="12" t="n">
        <v>18</v>
      </c>
      <c r="E42" s="12" t="n">
        <v>432</v>
      </c>
      <c r="F42" s="12">
        <f>$D42*$E42</f>
        <v/>
      </c>
      <c r="G42" s="14" t="n">
        <v>46299</v>
      </c>
      <c r="H42" s="18">
        <f>$G42-$B42</f>
        <v/>
      </c>
      <c r="I42" s="14" t="n">
        <v>46293</v>
      </c>
      <c r="J42">
        <f>IF($H42&lt;=Assumptions!$B$3,"Yes","No")</f>
        <v/>
      </c>
    </row>
    <row r="43">
      <c r="A43" t="inlineStr">
        <is>
          <t>O084</t>
        </is>
      </c>
      <c r="B43" s="14" t="n">
        <v>46296</v>
      </c>
      <c r="C43" t="inlineStr">
        <is>
          <t>P07</t>
        </is>
      </c>
      <c r="D43" s="12" t="n">
        <v>17</v>
      </c>
      <c r="E43" s="12" t="n">
        <v>128</v>
      </c>
      <c r="F43" s="12">
        <f>$D43*$E43</f>
        <v/>
      </c>
      <c r="G43" s="14" t="n">
        <v>46299</v>
      </c>
      <c r="H43" s="18">
        <f>$G43-$B43</f>
        <v/>
      </c>
      <c r="I43" s="14" t="n">
        <v>46293</v>
      </c>
      <c r="J43">
        <f>IF($H43&lt;=Assumptions!$B$3,"Yes","No")</f>
        <v/>
      </c>
    </row>
    <row r="44">
      <c r="A44" t="inlineStr">
        <is>
          <t>O093</t>
        </is>
      </c>
      <c r="B44" s="14" t="n">
        <v>46296</v>
      </c>
      <c r="C44" t="inlineStr">
        <is>
          <t>P23</t>
        </is>
      </c>
      <c r="D44" s="12" t="n">
        <v>9</v>
      </c>
      <c r="E44" s="12" t="n">
        <v>162</v>
      </c>
      <c r="F44" s="12">
        <f>$D44*$E44</f>
        <v/>
      </c>
      <c r="G44" s="14" t="n">
        <v>46298</v>
      </c>
      <c r="H44" s="18">
        <f>$G44-$B44</f>
        <v/>
      </c>
      <c r="I44" s="14" t="n">
        <v>46293</v>
      </c>
      <c r="J44">
        <f>IF($H44&lt;=Assumptions!$B$3,"Yes","No")</f>
        <v/>
      </c>
    </row>
    <row r="45">
      <c r="A45" t="inlineStr">
        <is>
          <t>O023</t>
        </is>
      </c>
      <c r="B45" s="14" t="n">
        <v>46297</v>
      </c>
      <c r="C45" t="inlineStr">
        <is>
          <t>P04</t>
        </is>
      </c>
      <c r="D45" s="12" t="n">
        <v>14</v>
      </c>
      <c r="E45" s="12" t="n">
        <v>310</v>
      </c>
      <c r="F45" s="12">
        <f>$D45*$E45</f>
        <v/>
      </c>
      <c r="G45" s="14" t="n">
        <v>46300</v>
      </c>
      <c r="H45" s="18">
        <f>$G45-$B45</f>
        <v/>
      </c>
      <c r="I45" s="14" t="n">
        <v>46293</v>
      </c>
      <c r="J45">
        <f>IF($H45&lt;=Assumptions!$B$3,"Yes","No")</f>
        <v/>
      </c>
    </row>
    <row r="46">
      <c r="A46" t="inlineStr">
        <is>
          <t>O046</t>
        </is>
      </c>
      <c r="B46" s="14" t="n">
        <v>46297</v>
      </c>
      <c r="C46" t="inlineStr">
        <is>
          <t>P16</t>
        </is>
      </c>
      <c r="D46" s="12" t="n">
        <v>13</v>
      </c>
      <c r="E46" s="12" t="n">
        <v>999</v>
      </c>
      <c r="F46" s="12">
        <f>$D46*$E46</f>
        <v/>
      </c>
      <c r="G46" s="14" t="n">
        <v>46299</v>
      </c>
      <c r="H46" s="18">
        <f>$G46-$B46</f>
        <v/>
      </c>
      <c r="I46" s="14" t="n">
        <v>46293</v>
      </c>
      <c r="J46">
        <f>IF($H46&lt;=Assumptions!$B$3,"Yes","No")</f>
        <v/>
      </c>
    </row>
    <row r="47">
      <c r="A47" t="inlineStr">
        <is>
          <t>O086</t>
        </is>
      </c>
      <c r="B47" s="14" t="n">
        <v>46297</v>
      </c>
      <c r="C47" t="inlineStr">
        <is>
          <t>P01</t>
        </is>
      </c>
      <c r="D47" s="12" t="n">
        <v>4</v>
      </c>
      <c r="E47" s="12" t="n">
        <v>567</v>
      </c>
      <c r="F47" s="12">
        <f>$D47*$E47</f>
        <v/>
      </c>
      <c r="G47" s="14" t="n">
        <v>46299</v>
      </c>
      <c r="H47" s="18">
        <f>$G47-$B47</f>
        <v/>
      </c>
      <c r="I47" s="14" t="n">
        <v>46293</v>
      </c>
      <c r="J47">
        <f>IF($H47&lt;=Assumptions!$B$3,"Yes","No")</f>
        <v/>
      </c>
    </row>
    <row r="48">
      <c r="A48" t="inlineStr">
        <is>
          <t>O034</t>
        </is>
      </c>
      <c r="B48" s="14" t="n">
        <v>46298</v>
      </c>
      <c r="C48" t="inlineStr">
        <is>
          <t>P18</t>
        </is>
      </c>
      <c r="D48" s="12" t="n">
        <v>11</v>
      </c>
      <c r="E48" s="12" t="n">
        <v>526</v>
      </c>
      <c r="F48" s="12">
        <f>$D48*$E48</f>
        <v/>
      </c>
      <c r="G48" s="14" t="n">
        <v>46299</v>
      </c>
      <c r="H48" s="18">
        <f>$G48-$B48</f>
        <v/>
      </c>
      <c r="I48" s="14" t="n">
        <v>46293</v>
      </c>
      <c r="J48">
        <f>IF($H48&lt;=Assumptions!$B$3,"Yes","No")</f>
        <v/>
      </c>
    </row>
    <row r="49">
      <c r="A49" t="inlineStr">
        <is>
          <t>O057</t>
        </is>
      </c>
      <c r="B49" s="14" t="n">
        <v>46299</v>
      </c>
      <c r="C49" t="inlineStr">
        <is>
          <t>P05</t>
        </is>
      </c>
      <c r="D49" s="12" t="n">
        <v>5</v>
      </c>
      <c r="E49" s="12" t="n">
        <v>418</v>
      </c>
      <c r="F49" s="12">
        <f>$D49*$E49</f>
        <v/>
      </c>
      <c r="G49" s="14" t="n">
        <v>46302</v>
      </c>
      <c r="H49" s="18">
        <f>$G49-$B49</f>
        <v/>
      </c>
      <c r="I49" s="14" t="n">
        <v>46293</v>
      </c>
      <c r="J49">
        <f>IF($H49&lt;=Assumptions!$B$3,"Yes","No")</f>
        <v/>
      </c>
    </row>
    <row r="50">
      <c r="A50" t="inlineStr">
        <is>
          <t>O073</t>
        </is>
      </c>
      <c r="B50" s="14" t="n">
        <v>46299</v>
      </c>
      <c r="C50" t="inlineStr">
        <is>
          <t>P11</t>
        </is>
      </c>
      <c r="D50" s="12" t="n">
        <v>2</v>
      </c>
      <c r="E50" s="12" t="n">
        <v>3848</v>
      </c>
      <c r="F50" s="12">
        <f>$D50*$E50</f>
        <v/>
      </c>
      <c r="G50" s="14" t="n">
        <v>46300</v>
      </c>
      <c r="H50" s="18">
        <f>$G50-$B50</f>
        <v/>
      </c>
      <c r="I50" s="14" t="n">
        <v>46293</v>
      </c>
      <c r="J50">
        <f>IF($H50&lt;=Assumptions!$B$3,"Yes","No")</f>
        <v/>
      </c>
    </row>
    <row r="51">
      <c r="A51" t="inlineStr">
        <is>
          <t>O041</t>
        </is>
      </c>
      <c r="B51" s="14" t="n">
        <v>46300</v>
      </c>
      <c r="C51" t="inlineStr">
        <is>
          <t>P13</t>
        </is>
      </c>
      <c r="D51" s="12" t="n">
        <v>15</v>
      </c>
      <c r="E51" s="12" t="n">
        <v>702</v>
      </c>
      <c r="F51" s="12">
        <f>$D51*$E51</f>
        <v/>
      </c>
      <c r="G51" s="14" t="n">
        <v>46304</v>
      </c>
      <c r="H51" s="18">
        <f>$G51-$B51</f>
        <v/>
      </c>
      <c r="I51" s="14" t="n">
        <v>46300</v>
      </c>
      <c r="J51">
        <f>IF($H51&lt;=Assumptions!$B$3,"Yes","No")</f>
        <v/>
      </c>
    </row>
    <row r="52">
      <c r="A52" t="inlineStr">
        <is>
          <t>O054</t>
        </is>
      </c>
      <c r="B52" s="14" t="n">
        <v>46300</v>
      </c>
      <c r="C52" t="inlineStr">
        <is>
          <t>P05</t>
        </is>
      </c>
      <c r="D52" s="12" t="n">
        <v>8</v>
      </c>
      <c r="E52" s="12" t="n">
        <v>418</v>
      </c>
      <c r="F52" s="12">
        <f>$D52*$E52</f>
        <v/>
      </c>
      <c r="G52" s="14" t="n">
        <v>46301</v>
      </c>
      <c r="H52" s="18">
        <f>$G52-$B52</f>
        <v/>
      </c>
      <c r="I52" s="14" t="n">
        <v>46300</v>
      </c>
      <c r="J52">
        <f>IF($H52&lt;=Assumptions!$B$3,"Yes","No")</f>
        <v/>
      </c>
    </row>
    <row r="53">
      <c r="A53" t="inlineStr">
        <is>
          <t>O061</t>
        </is>
      </c>
      <c r="B53" s="14" t="n">
        <v>46300</v>
      </c>
      <c r="C53" t="inlineStr">
        <is>
          <t>P07</t>
        </is>
      </c>
      <c r="D53" s="12" t="n">
        <v>16</v>
      </c>
      <c r="E53" s="12" t="n">
        <v>128</v>
      </c>
      <c r="F53" s="12">
        <f>$D53*$E53</f>
        <v/>
      </c>
      <c r="G53" s="14" t="n">
        <v>46301</v>
      </c>
      <c r="H53" s="18">
        <f>$G53-$B53</f>
        <v/>
      </c>
      <c r="I53" s="14" t="n">
        <v>46300</v>
      </c>
      <c r="J53">
        <f>IF($H53&lt;=Assumptions!$B$3,"Yes","No")</f>
        <v/>
      </c>
    </row>
    <row r="54">
      <c r="A54" t="inlineStr">
        <is>
          <t>O092</t>
        </is>
      </c>
      <c r="B54" s="14" t="n">
        <v>46300</v>
      </c>
      <c r="C54" t="inlineStr">
        <is>
          <t>P02</t>
        </is>
      </c>
      <c r="D54" s="12" t="n">
        <v>7</v>
      </c>
      <c r="E54" s="12" t="n">
        <v>223</v>
      </c>
      <c r="F54" s="12">
        <f>$D54*$E54</f>
        <v/>
      </c>
      <c r="G54" s="14" t="n">
        <v>46301</v>
      </c>
      <c r="H54" s="18">
        <f>$G54-$B54</f>
        <v/>
      </c>
      <c r="I54" s="14" t="n">
        <v>46300</v>
      </c>
      <c r="J54">
        <f>IF($H54&lt;=Assumptions!$B$3,"Yes","No")</f>
        <v/>
      </c>
    </row>
    <row r="55">
      <c r="A55" t="inlineStr">
        <is>
          <t>O031</t>
        </is>
      </c>
      <c r="B55" s="14" t="n">
        <v>46302</v>
      </c>
      <c r="C55" t="inlineStr">
        <is>
          <t>P22</t>
        </is>
      </c>
      <c r="D55" s="12" t="n">
        <v>18</v>
      </c>
      <c r="E55" s="12" t="n">
        <v>196</v>
      </c>
      <c r="F55" s="12">
        <f>$D55*$E55</f>
        <v/>
      </c>
      <c r="G55" s="14" t="n">
        <v>46307</v>
      </c>
      <c r="H55" s="18">
        <f>$G55-$B55</f>
        <v/>
      </c>
      <c r="I55" s="14" t="n">
        <v>46300</v>
      </c>
      <c r="J55">
        <f>IF($H55&lt;=Assumptions!$B$3,"Yes","No")</f>
        <v/>
      </c>
    </row>
    <row r="56">
      <c r="A56" t="inlineStr">
        <is>
          <t>O047</t>
        </is>
      </c>
      <c r="B56" s="14" t="n">
        <v>46302</v>
      </c>
      <c r="C56" t="inlineStr">
        <is>
          <t>P16</t>
        </is>
      </c>
      <c r="D56" s="12" t="n">
        <v>5</v>
      </c>
      <c r="E56" s="12" t="n">
        <v>999</v>
      </c>
      <c r="F56" s="12">
        <f>$D56*$E56</f>
        <v/>
      </c>
      <c r="G56" s="14" t="n">
        <v>46305</v>
      </c>
      <c r="H56" s="18">
        <f>$G56-$B56</f>
        <v/>
      </c>
      <c r="I56" s="14" t="n">
        <v>46300</v>
      </c>
      <c r="J56">
        <f>IF($H56&lt;=Assumptions!$B$3,"Yes","No")</f>
        <v/>
      </c>
    </row>
    <row r="57">
      <c r="A57" t="inlineStr">
        <is>
          <t>O071</t>
        </is>
      </c>
      <c r="B57" s="14" t="n">
        <v>46302</v>
      </c>
      <c r="C57" t="inlineStr">
        <is>
          <t>P10</t>
        </is>
      </c>
      <c r="D57" s="12" t="n">
        <v>2</v>
      </c>
      <c r="E57" s="12" t="n">
        <v>1958</v>
      </c>
      <c r="F57" s="12">
        <f>$D57*$E57</f>
        <v/>
      </c>
      <c r="G57" s="14" t="n">
        <v>46307</v>
      </c>
      <c r="H57" s="18">
        <f>$G57-$B57</f>
        <v/>
      </c>
      <c r="I57" s="14" t="n">
        <v>46300</v>
      </c>
      <c r="J57">
        <f>IF($H57&lt;=Assumptions!$B$3,"Yes","No")</f>
        <v/>
      </c>
    </row>
    <row r="58">
      <c r="A58" t="inlineStr">
        <is>
          <t>O088</t>
        </is>
      </c>
      <c r="B58" s="14" t="n">
        <v>46302</v>
      </c>
      <c r="C58" t="inlineStr">
        <is>
          <t>P17</t>
        </is>
      </c>
      <c r="D58" s="12" t="n">
        <v>15</v>
      </c>
      <c r="E58" s="12" t="n">
        <v>1323</v>
      </c>
      <c r="F58" s="12">
        <f>$D58*$E58</f>
        <v/>
      </c>
      <c r="G58" s="14" t="n">
        <v>46306</v>
      </c>
      <c r="H58" s="18">
        <f>$G58-$B58</f>
        <v/>
      </c>
      <c r="I58" s="14" t="n">
        <v>46300</v>
      </c>
      <c r="J58">
        <f>IF($H58&lt;=Assumptions!$B$3,"Yes","No")</f>
        <v/>
      </c>
    </row>
    <row r="59">
      <c r="A59" t="inlineStr">
        <is>
          <t>O096</t>
        </is>
      </c>
      <c r="B59" s="14" t="n">
        <v>46303</v>
      </c>
      <c r="C59" t="inlineStr">
        <is>
          <t>P01</t>
        </is>
      </c>
      <c r="D59" s="12" t="n">
        <v>10</v>
      </c>
      <c r="E59" s="12" t="n">
        <v>567</v>
      </c>
      <c r="F59" s="12">
        <f>$D59*$E59</f>
        <v/>
      </c>
      <c r="G59" s="14" t="n">
        <v>46306</v>
      </c>
      <c r="H59" s="18">
        <f>$G59-$B59</f>
        <v/>
      </c>
      <c r="I59" s="14" t="n">
        <v>46300</v>
      </c>
      <c r="J59">
        <f>IF($H59&lt;=Assumptions!$B$3,"Yes","No")</f>
        <v/>
      </c>
    </row>
    <row r="60">
      <c r="A60" t="inlineStr">
        <is>
          <t>O030</t>
        </is>
      </c>
      <c r="B60" s="14" t="n">
        <v>46304</v>
      </c>
      <c r="C60" t="inlineStr">
        <is>
          <t>P11</t>
        </is>
      </c>
      <c r="D60" s="12" t="n">
        <v>17</v>
      </c>
      <c r="E60" s="12" t="n">
        <v>3848</v>
      </c>
      <c r="F60" s="12">
        <f>$D60*$E60</f>
        <v/>
      </c>
      <c r="G60" s="14" t="n">
        <v>46306</v>
      </c>
      <c r="H60" s="18">
        <f>$G60-$B60</f>
        <v/>
      </c>
      <c r="I60" s="14" t="n">
        <v>46300</v>
      </c>
      <c r="J60">
        <f>IF($H60&lt;=Assumptions!$B$3,"Yes","No")</f>
        <v/>
      </c>
    </row>
    <row r="61">
      <c r="A61" t="inlineStr">
        <is>
          <t>O050</t>
        </is>
      </c>
      <c r="B61" s="14" t="n">
        <v>46304</v>
      </c>
      <c r="C61" t="inlineStr">
        <is>
          <t>P16</t>
        </is>
      </c>
      <c r="D61" s="12" t="n">
        <v>4</v>
      </c>
      <c r="E61" s="12" t="n">
        <v>999</v>
      </c>
      <c r="F61" s="12">
        <f>$D61*$E61</f>
        <v/>
      </c>
      <c r="G61" s="14" t="n">
        <v>46308</v>
      </c>
      <c r="H61" s="18">
        <f>$G61-$B61</f>
        <v/>
      </c>
      <c r="I61" s="14" t="n">
        <v>46300</v>
      </c>
      <c r="J61">
        <f>IF($H61&lt;=Assumptions!$B$3,"Yes","No")</f>
        <v/>
      </c>
    </row>
    <row r="62">
      <c r="A62" t="inlineStr">
        <is>
          <t>O032</t>
        </is>
      </c>
      <c r="B62" s="14" t="n">
        <v>46305</v>
      </c>
      <c r="C62" t="inlineStr">
        <is>
          <t>P07</t>
        </is>
      </c>
      <c r="D62" s="12" t="n">
        <v>15</v>
      </c>
      <c r="E62" s="12" t="n">
        <v>128</v>
      </c>
      <c r="F62" s="12">
        <f>$D62*$E62</f>
        <v/>
      </c>
      <c r="G62" s="14" t="n">
        <v>46309</v>
      </c>
      <c r="H62" s="18">
        <f>$G62-$B62</f>
        <v/>
      </c>
      <c r="I62" s="14" t="n">
        <v>46300</v>
      </c>
      <c r="J62">
        <f>IF($H62&lt;=Assumptions!$B$3,"Yes","No")</f>
        <v/>
      </c>
    </row>
    <row r="63">
      <c r="A63" t="inlineStr">
        <is>
          <t>O066</t>
        </is>
      </c>
      <c r="B63" s="14" t="n">
        <v>46305</v>
      </c>
      <c r="C63" t="inlineStr">
        <is>
          <t>P07</t>
        </is>
      </c>
      <c r="D63" s="12" t="n">
        <v>8</v>
      </c>
      <c r="E63" s="12" t="n">
        <v>128</v>
      </c>
      <c r="F63" s="12">
        <f>$D63*$E63</f>
        <v/>
      </c>
      <c r="G63" s="14" t="n">
        <v>46307</v>
      </c>
      <c r="H63" s="18">
        <f>$G63-$B63</f>
        <v/>
      </c>
      <c r="I63" s="14" t="n">
        <v>46300</v>
      </c>
      <c r="J63">
        <f>IF($H63&lt;=Assumptions!$B$3,"Yes","No")</f>
        <v/>
      </c>
    </row>
    <row r="64">
      <c r="A64" t="inlineStr">
        <is>
          <t>O019</t>
        </is>
      </c>
      <c r="B64" s="14" t="n">
        <v>46306</v>
      </c>
      <c r="C64" t="inlineStr">
        <is>
          <t>P24</t>
        </is>
      </c>
      <c r="D64" s="12" t="n">
        <v>12</v>
      </c>
      <c r="E64" s="12" t="n">
        <v>284</v>
      </c>
      <c r="F64" s="12">
        <f>$D64*$E64</f>
        <v/>
      </c>
      <c r="G64" s="14" t="n">
        <v>46310</v>
      </c>
      <c r="H64" s="18">
        <f>$G64-$B64</f>
        <v/>
      </c>
      <c r="I64" s="14" t="n">
        <v>46300</v>
      </c>
      <c r="J64">
        <f>IF($H64&lt;=Assumptions!$B$3,"Yes","No")</f>
        <v/>
      </c>
    </row>
    <row r="65">
      <c r="A65" t="inlineStr">
        <is>
          <t>O021</t>
        </is>
      </c>
      <c r="B65" s="14" t="n">
        <v>46306</v>
      </c>
      <c r="C65" t="inlineStr">
        <is>
          <t>P04</t>
        </is>
      </c>
      <c r="D65" s="12" t="n">
        <v>18</v>
      </c>
      <c r="E65" s="12" t="n">
        <v>310</v>
      </c>
      <c r="F65" s="12">
        <f>$D65*$E65</f>
        <v/>
      </c>
      <c r="G65" s="14" t="n">
        <v>46307</v>
      </c>
      <c r="H65" s="18">
        <f>$G65-$B65</f>
        <v/>
      </c>
      <c r="I65" s="14" t="n">
        <v>46300</v>
      </c>
      <c r="J65">
        <f>IF($H65&lt;=Assumptions!$B$3,"Yes","No")</f>
        <v/>
      </c>
    </row>
    <row r="66">
      <c r="A66" t="inlineStr">
        <is>
          <t>O087</t>
        </is>
      </c>
      <c r="B66" s="14" t="n">
        <v>46306</v>
      </c>
      <c r="C66" t="inlineStr">
        <is>
          <t>P24</t>
        </is>
      </c>
      <c r="D66" s="12" t="n">
        <v>6</v>
      </c>
      <c r="E66" s="12" t="n">
        <v>284</v>
      </c>
      <c r="F66" s="12">
        <f>$D66*$E66</f>
        <v/>
      </c>
      <c r="G66" s="14" t="n">
        <v>46307</v>
      </c>
      <c r="H66" s="18">
        <f>$G66-$B66</f>
        <v/>
      </c>
      <c r="I66" s="14" t="n">
        <v>46300</v>
      </c>
      <c r="J66">
        <f>IF($H66&lt;=Assumptions!$B$3,"Yes","No")</f>
        <v/>
      </c>
    </row>
    <row r="67">
      <c r="A67" t="inlineStr">
        <is>
          <t>O009</t>
        </is>
      </c>
      <c r="B67" s="14" t="n">
        <v>46307</v>
      </c>
      <c r="C67" t="inlineStr">
        <is>
          <t>P05</t>
        </is>
      </c>
      <c r="D67" s="12" t="n">
        <v>2</v>
      </c>
      <c r="E67" s="12" t="n">
        <v>418</v>
      </c>
      <c r="F67" s="12">
        <f>$D67*$E67</f>
        <v/>
      </c>
      <c r="G67" s="14" t="n">
        <v>46310</v>
      </c>
      <c r="H67" s="18">
        <f>$G67-$B67</f>
        <v/>
      </c>
      <c r="I67" s="14" t="n">
        <v>46307</v>
      </c>
      <c r="J67">
        <f>IF($H67&lt;=Assumptions!$B$3,"Yes","No")</f>
        <v/>
      </c>
    </row>
    <row r="68">
      <c r="A68" t="inlineStr">
        <is>
          <t>O010</t>
        </is>
      </c>
      <c r="B68" s="14" t="n">
        <v>46307</v>
      </c>
      <c r="C68" t="inlineStr">
        <is>
          <t>P07</t>
        </is>
      </c>
      <c r="D68" s="12" t="n">
        <v>17</v>
      </c>
      <c r="E68" s="12" t="n">
        <v>128</v>
      </c>
      <c r="F68" s="12">
        <f>$D68*$E68</f>
        <v/>
      </c>
      <c r="G68" s="14" t="n">
        <v>46312</v>
      </c>
      <c r="H68" s="18">
        <f>$G68-$B68</f>
        <v/>
      </c>
      <c r="I68" s="14" t="n">
        <v>46307</v>
      </c>
      <c r="J68">
        <f>IF($H68&lt;=Assumptions!$B$3,"Yes","No")</f>
        <v/>
      </c>
    </row>
    <row r="69">
      <c r="A69" t="inlineStr">
        <is>
          <t>O036</t>
        </is>
      </c>
      <c r="B69" s="14" t="n">
        <v>46308</v>
      </c>
      <c r="C69" t="inlineStr">
        <is>
          <t>P12</t>
        </is>
      </c>
      <c r="D69" s="12" t="n">
        <v>16</v>
      </c>
      <c r="E69" s="12" t="n">
        <v>1593</v>
      </c>
      <c r="F69" s="12">
        <f>$D69*$E69</f>
        <v/>
      </c>
      <c r="G69" s="14" t="n">
        <v>46310</v>
      </c>
      <c r="H69" s="18">
        <f>$G69-$B69</f>
        <v/>
      </c>
      <c r="I69" s="14" t="n">
        <v>46307</v>
      </c>
      <c r="J69">
        <f>IF($H69&lt;=Assumptions!$B$3,"Yes","No")</f>
        <v/>
      </c>
    </row>
    <row r="70">
      <c r="A70" t="inlineStr">
        <is>
          <t>O077</t>
        </is>
      </c>
      <c r="B70" s="14" t="n">
        <v>46308</v>
      </c>
      <c r="C70" t="inlineStr">
        <is>
          <t>P19</t>
        </is>
      </c>
      <c r="D70" s="12" t="n">
        <v>17</v>
      </c>
      <c r="E70" s="12" t="n">
        <v>2228</v>
      </c>
      <c r="F70" s="12">
        <f>$D70*$E70</f>
        <v/>
      </c>
      <c r="G70" s="14" t="n">
        <v>46310</v>
      </c>
      <c r="H70" s="18">
        <f>$G70-$B70</f>
        <v/>
      </c>
      <c r="I70" s="14" t="n">
        <v>46307</v>
      </c>
      <c r="J70">
        <f>IF($H70&lt;=Assumptions!$B$3,"Yes","No")</f>
        <v/>
      </c>
    </row>
    <row r="71">
      <c r="A71" t="inlineStr">
        <is>
          <t>O011</t>
        </is>
      </c>
      <c r="B71" s="14" t="n">
        <v>46309</v>
      </c>
      <c r="C71" t="inlineStr">
        <is>
          <t>P05</t>
        </is>
      </c>
      <c r="D71" s="12" t="n">
        <v>9</v>
      </c>
      <c r="E71" s="12" t="n">
        <v>418</v>
      </c>
      <c r="F71" s="12">
        <f>$D71*$E71</f>
        <v/>
      </c>
      <c r="G71" s="14" t="n">
        <v>46314</v>
      </c>
      <c r="H71" s="18">
        <f>$G71-$B71</f>
        <v/>
      </c>
      <c r="I71" s="14" t="n">
        <v>46307</v>
      </c>
      <c r="J71">
        <f>IF($H71&lt;=Assumptions!$B$3,"Yes","No")</f>
        <v/>
      </c>
    </row>
    <row r="72">
      <c r="A72" t="inlineStr">
        <is>
          <t>O072</t>
        </is>
      </c>
      <c r="B72" s="14" t="n">
        <v>46309</v>
      </c>
      <c r="C72" t="inlineStr">
        <is>
          <t>P05</t>
        </is>
      </c>
      <c r="D72" s="12" t="n">
        <v>3</v>
      </c>
      <c r="E72" s="12" t="n">
        <v>418</v>
      </c>
      <c r="F72" s="12">
        <f>$D72*$E72</f>
        <v/>
      </c>
      <c r="G72" s="14" t="n">
        <v>46312</v>
      </c>
      <c r="H72" s="18">
        <f>$G72-$B72</f>
        <v/>
      </c>
      <c r="I72" s="14" t="n">
        <v>46307</v>
      </c>
      <c r="J72">
        <f>IF($H72&lt;=Assumptions!$B$3,"Yes","No")</f>
        <v/>
      </c>
    </row>
    <row r="73">
      <c r="A73" t="inlineStr">
        <is>
          <t>O002</t>
        </is>
      </c>
      <c r="B73" s="14" t="n">
        <v>46311</v>
      </c>
      <c r="C73" t="inlineStr">
        <is>
          <t>P21</t>
        </is>
      </c>
      <c r="D73" s="12" t="n">
        <v>15</v>
      </c>
      <c r="E73" s="12" t="n">
        <v>432</v>
      </c>
      <c r="F73" s="12">
        <f>$D73*$E73</f>
        <v/>
      </c>
      <c r="G73" s="14" t="n">
        <v>46314</v>
      </c>
      <c r="H73" s="18">
        <f>$G73-$B73</f>
        <v/>
      </c>
      <c r="I73" s="14" t="n">
        <v>46307</v>
      </c>
      <c r="J73">
        <f>IF($H73&lt;=Assumptions!$B$3,"Yes","No")</f>
        <v/>
      </c>
    </row>
    <row r="74">
      <c r="A74" t="inlineStr">
        <is>
          <t>O006</t>
        </is>
      </c>
      <c r="B74" s="14" t="n">
        <v>46311</v>
      </c>
      <c r="C74" t="inlineStr">
        <is>
          <t>P19</t>
        </is>
      </c>
      <c r="D74" s="12" t="n">
        <v>12</v>
      </c>
      <c r="E74" s="12" t="n">
        <v>2228</v>
      </c>
      <c r="F74" s="12">
        <f>$D74*$E74</f>
        <v/>
      </c>
      <c r="G74" s="14" t="n">
        <v>46313</v>
      </c>
      <c r="H74" s="18">
        <f>$G74-$B74</f>
        <v/>
      </c>
      <c r="I74" s="14" t="n">
        <v>46307</v>
      </c>
      <c r="J74">
        <f>IF($H74&lt;=Assumptions!$B$3,"Yes","No")</f>
        <v/>
      </c>
    </row>
    <row r="75">
      <c r="A75" t="inlineStr">
        <is>
          <t>O052</t>
        </is>
      </c>
      <c r="B75" s="14" t="n">
        <v>46311</v>
      </c>
      <c r="C75" t="inlineStr">
        <is>
          <t>P01</t>
        </is>
      </c>
      <c r="D75" s="12" t="n">
        <v>10</v>
      </c>
      <c r="E75" s="12" t="n">
        <v>567</v>
      </c>
      <c r="F75" s="12">
        <f>$D75*$E75</f>
        <v/>
      </c>
      <c r="G75" s="14" t="n">
        <v>46315</v>
      </c>
      <c r="H75" s="18">
        <f>$G75-$B75</f>
        <v/>
      </c>
      <c r="I75" s="14" t="n">
        <v>46307</v>
      </c>
      <c r="J75">
        <f>IF($H75&lt;=Assumptions!$B$3,"Yes","No")</f>
        <v/>
      </c>
    </row>
    <row r="76">
      <c r="A76" t="inlineStr">
        <is>
          <t>O027</t>
        </is>
      </c>
      <c r="B76" s="14" t="n">
        <v>46312</v>
      </c>
      <c r="C76" t="inlineStr">
        <is>
          <t>P16</t>
        </is>
      </c>
      <c r="D76" s="12" t="n">
        <v>11</v>
      </c>
      <c r="E76" s="12" t="n">
        <v>999</v>
      </c>
      <c r="F76" s="12">
        <f>$D76*$E76</f>
        <v/>
      </c>
      <c r="G76" s="14" t="n">
        <v>46316</v>
      </c>
      <c r="H76" s="18">
        <f>$G76-$B76</f>
        <v/>
      </c>
      <c r="I76" s="14" t="n">
        <v>46307</v>
      </c>
      <c r="J76">
        <f>IF($H76&lt;=Assumptions!$B$3,"Yes","No")</f>
        <v/>
      </c>
    </row>
    <row r="77">
      <c r="A77" t="inlineStr">
        <is>
          <t>O042</t>
        </is>
      </c>
      <c r="B77" s="14" t="n">
        <v>46312</v>
      </c>
      <c r="C77" t="inlineStr">
        <is>
          <t>P07</t>
        </is>
      </c>
      <c r="D77" s="12" t="n">
        <v>17</v>
      </c>
      <c r="E77" s="12" t="n">
        <v>128</v>
      </c>
      <c r="F77" s="12">
        <f>$D77*$E77</f>
        <v/>
      </c>
      <c r="G77" s="14" t="n">
        <v>46315</v>
      </c>
      <c r="H77" s="18">
        <f>$G77-$B77</f>
        <v/>
      </c>
      <c r="I77" s="14" t="n">
        <v>46307</v>
      </c>
      <c r="J77">
        <f>IF($H77&lt;=Assumptions!$B$3,"Yes","No")</f>
        <v/>
      </c>
    </row>
    <row r="78">
      <c r="A78" t="inlineStr">
        <is>
          <t>O081</t>
        </is>
      </c>
      <c r="B78" s="14" t="n">
        <v>46312</v>
      </c>
      <c r="C78" t="inlineStr">
        <is>
          <t>P04</t>
        </is>
      </c>
      <c r="D78" s="12" t="n">
        <v>6</v>
      </c>
      <c r="E78" s="12" t="n">
        <v>310</v>
      </c>
      <c r="F78" s="12">
        <f>$D78*$E78</f>
        <v/>
      </c>
      <c r="G78" s="14" t="n">
        <v>46313</v>
      </c>
      <c r="H78" s="18">
        <f>$G78-$B78</f>
        <v/>
      </c>
      <c r="I78" s="14" t="n">
        <v>46307</v>
      </c>
      <c r="J78">
        <f>IF($H78&lt;=Assumptions!$B$3,"Yes","No")</f>
        <v/>
      </c>
    </row>
    <row r="79">
      <c r="A79" t="inlineStr">
        <is>
          <t>O035</t>
        </is>
      </c>
      <c r="B79" s="14" t="n">
        <v>46313</v>
      </c>
      <c r="C79" t="inlineStr">
        <is>
          <t>P12</t>
        </is>
      </c>
      <c r="D79" s="12" t="n">
        <v>11</v>
      </c>
      <c r="E79" s="12" t="n">
        <v>1593</v>
      </c>
      <c r="F79" s="12">
        <f>$D79*$E79</f>
        <v/>
      </c>
      <c r="G79" s="14" t="n">
        <v>46315</v>
      </c>
      <c r="H79" s="18">
        <f>$G79-$B79</f>
        <v/>
      </c>
      <c r="I79" s="14" t="n">
        <v>46307</v>
      </c>
      <c r="J79">
        <f>IF($H79&lt;=Assumptions!$B$3,"Yes","No")</f>
        <v/>
      </c>
    </row>
    <row r="80">
      <c r="A80" t="inlineStr">
        <is>
          <t>O037</t>
        </is>
      </c>
      <c r="B80" s="14" t="n">
        <v>46313</v>
      </c>
      <c r="C80" t="inlineStr">
        <is>
          <t>P22</t>
        </is>
      </c>
      <c r="D80" s="12" t="n">
        <v>6</v>
      </c>
      <c r="E80" s="12" t="n">
        <v>196</v>
      </c>
      <c r="F80" s="12">
        <f>$D80*$E80</f>
        <v/>
      </c>
      <c r="G80" s="14" t="n">
        <v>46318</v>
      </c>
      <c r="H80" s="18">
        <f>$G80-$B80</f>
        <v/>
      </c>
      <c r="I80" s="14" t="n">
        <v>46307</v>
      </c>
      <c r="J80">
        <f>IF($H80&lt;=Assumptions!$B$3,"Yes","No")</f>
        <v/>
      </c>
    </row>
    <row r="81">
      <c r="A81" t="inlineStr">
        <is>
          <t>O003</t>
        </is>
      </c>
      <c r="B81" s="14" t="n">
        <v>46315</v>
      </c>
      <c r="C81" t="inlineStr">
        <is>
          <t>P11</t>
        </is>
      </c>
      <c r="D81" s="12" t="n">
        <v>9</v>
      </c>
      <c r="E81" s="12" t="n">
        <v>3848</v>
      </c>
      <c r="F81" s="12">
        <f>$D81*$E81</f>
        <v/>
      </c>
      <c r="G81" s="14" t="n">
        <v>46320</v>
      </c>
      <c r="H81" s="18">
        <f>$G81-$B81</f>
        <v/>
      </c>
      <c r="I81" s="14" t="n">
        <v>46314</v>
      </c>
      <c r="J81">
        <f>IF($H81&lt;=Assumptions!$B$3,"Yes","No")</f>
        <v/>
      </c>
    </row>
    <row r="82">
      <c r="A82" t="inlineStr">
        <is>
          <t>O076</t>
        </is>
      </c>
      <c r="B82" s="14" t="n">
        <v>46315</v>
      </c>
      <c r="C82" t="inlineStr">
        <is>
          <t>P17</t>
        </is>
      </c>
      <c r="D82" s="12" t="n">
        <v>13</v>
      </c>
      <c r="E82" s="12" t="n">
        <v>1323</v>
      </c>
      <c r="F82" s="12">
        <f>$D82*$E82</f>
        <v/>
      </c>
      <c r="G82" s="14" t="n">
        <v>46318</v>
      </c>
      <c r="H82" s="18">
        <f>$G82-$B82</f>
        <v/>
      </c>
      <c r="I82" s="14" t="n">
        <v>46314</v>
      </c>
      <c r="J82">
        <f>IF($H82&lt;=Assumptions!$B$3,"Yes","No")</f>
        <v/>
      </c>
    </row>
    <row r="83">
      <c r="A83" t="inlineStr">
        <is>
          <t>O091</t>
        </is>
      </c>
      <c r="B83" s="14" t="n">
        <v>46316</v>
      </c>
      <c r="C83" t="inlineStr">
        <is>
          <t>P09</t>
        </is>
      </c>
      <c r="D83" s="12" t="n">
        <v>9</v>
      </c>
      <c r="E83" s="12" t="n">
        <v>115</v>
      </c>
      <c r="F83" s="12">
        <f>$D83*$E83</f>
        <v/>
      </c>
      <c r="G83" s="14" t="n">
        <v>46320</v>
      </c>
      <c r="H83" s="18">
        <f>$G83-$B83</f>
        <v/>
      </c>
      <c r="I83" s="14" t="n">
        <v>46314</v>
      </c>
      <c r="J83">
        <f>IF($H83&lt;=Assumptions!$B$3,"Yes","No")</f>
        <v/>
      </c>
    </row>
    <row r="84">
      <c r="A84" t="inlineStr">
        <is>
          <t>O056</t>
        </is>
      </c>
      <c r="B84" s="14" t="n">
        <v>46317</v>
      </c>
      <c r="C84" t="inlineStr">
        <is>
          <t>P19</t>
        </is>
      </c>
      <c r="D84" s="12" t="n">
        <v>10</v>
      </c>
      <c r="E84" s="12" t="n">
        <v>2228</v>
      </c>
      <c r="F84" s="12">
        <f>$D84*$E84</f>
        <v/>
      </c>
      <c r="G84" s="14" t="n">
        <v>46322</v>
      </c>
      <c r="H84" s="18">
        <f>$G84-$B84</f>
        <v/>
      </c>
      <c r="I84" s="14" t="n">
        <v>46314</v>
      </c>
      <c r="J84">
        <f>IF($H84&lt;=Assumptions!$B$3,"Yes","No")</f>
        <v/>
      </c>
    </row>
    <row r="85">
      <c r="A85" t="inlineStr">
        <is>
          <t>O062</t>
        </is>
      </c>
      <c r="B85" s="14" t="n">
        <v>46317</v>
      </c>
      <c r="C85" t="inlineStr">
        <is>
          <t>P20</t>
        </is>
      </c>
      <c r="D85" s="12" t="n">
        <v>14</v>
      </c>
      <c r="E85" s="12" t="n">
        <v>1512</v>
      </c>
      <c r="F85" s="12">
        <f>$D85*$E85</f>
        <v/>
      </c>
      <c r="G85" s="14" t="n">
        <v>46321</v>
      </c>
      <c r="H85" s="18">
        <f>$G85-$B85</f>
        <v/>
      </c>
      <c r="I85" s="14" t="n">
        <v>46314</v>
      </c>
      <c r="J85">
        <f>IF($H85&lt;=Assumptions!$B$3,"Yes","No")</f>
        <v/>
      </c>
    </row>
    <row r="86">
      <c r="A86" t="inlineStr">
        <is>
          <t>O079</t>
        </is>
      </c>
      <c r="B86" s="14" t="n">
        <v>46317</v>
      </c>
      <c r="C86" t="inlineStr">
        <is>
          <t>P05</t>
        </is>
      </c>
      <c r="D86" s="12" t="n">
        <v>11</v>
      </c>
      <c r="E86" s="12" t="n">
        <v>418</v>
      </c>
      <c r="F86" s="12">
        <f>$D86*$E86</f>
        <v/>
      </c>
      <c r="G86" s="14" t="n">
        <v>46320</v>
      </c>
      <c r="H86" s="18">
        <f>$G86-$B86</f>
        <v/>
      </c>
      <c r="I86" s="14" t="n">
        <v>46314</v>
      </c>
      <c r="J86">
        <f>IF($H86&lt;=Assumptions!$B$3,"Yes","No")</f>
        <v/>
      </c>
    </row>
    <row r="87">
      <c r="A87" t="inlineStr">
        <is>
          <t>O089</t>
        </is>
      </c>
      <c r="B87" s="14" t="n">
        <v>46317</v>
      </c>
      <c r="C87" t="inlineStr">
        <is>
          <t>P11</t>
        </is>
      </c>
      <c r="D87" s="12" t="n">
        <v>5</v>
      </c>
      <c r="E87" s="12" t="n">
        <v>3848</v>
      </c>
      <c r="F87" s="12">
        <f>$D87*$E87</f>
        <v/>
      </c>
      <c r="G87" s="14" t="n">
        <v>46318</v>
      </c>
      <c r="H87" s="18">
        <f>$G87-$B87</f>
        <v/>
      </c>
      <c r="I87" s="14" t="n">
        <v>46314</v>
      </c>
      <c r="J87">
        <f>IF($H87&lt;=Assumptions!$B$3,"Yes","No")</f>
        <v/>
      </c>
    </row>
    <row r="88">
      <c r="A88" t="inlineStr">
        <is>
          <t>O083</t>
        </is>
      </c>
      <c r="B88" s="14" t="n">
        <v>46318</v>
      </c>
      <c r="C88" t="inlineStr">
        <is>
          <t>P24</t>
        </is>
      </c>
      <c r="D88" s="12" t="n">
        <v>17</v>
      </c>
      <c r="E88" s="12" t="n">
        <v>284</v>
      </c>
      <c r="F88" s="12">
        <f>$D88*$E88</f>
        <v/>
      </c>
      <c r="G88" s="14" t="n">
        <v>46320</v>
      </c>
      <c r="H88" s="18">
        <f>$G88-$B88</f>
        <v/>
      </c>
      <c r="I88" s="14" t="n">
        <v>46314</v>
      </c>
      <c r="J88">
        <f>IF($H88&lt;=Assumptions!$B$3,"Yes","No")</f>
        <v/>
      </c>
    </row>
    <row r="89">
      <c r="A89" t="inlineStr">
        <is>
          <t>O040</t>
        </is>
      </c>
      <c r="B89" s="14" t="n">
        <v>46319</v>
      </c>
      <c r="C89" t="inlineStr">
        <is>
          <t>P18</t>
        </is>
      </c>
      <c r="D89" s="12" t="n">
        <v>7</v>
      </c>
      <c r="E89" s="12" t="n">
        <v>526</v>
      </c>
      <c r="F89" s="12">
        <f>$D89*$E89</f>
        <v/>
      </c>
      <c r="G89" s="14" t="n">
        <v>46321</v>
      </c>
      <c r="H89" s="18">
        <f>$G89-$B89</f>
        <v/>
      </c>
      <c r="I89" s="14" t="n">
        <v>46314</v>
      </c>
      <c r="J89">
        <f>IF($H89&lt;=Assumptions!$B$3,"Yes","No")</f>
        <v/>
      </c>
    </row>
    <row r="90">
      <c r="A90" t="inlineStr">
        <is>
          <t>O043</t>
        </is>
      </c>
      <c r="B90" s="14" t="n">
        <v>46319</v>
      </c>
      <c r="C90" t="inlineStr">
        <is>
          <t>P17</t>
        </is>
      </c>
      <c r="D90" s="12" t="n">
        <v>13</v>
      </c>
      <c r="E90" s="12" t="n">
        <v>1323</v>
      </c>
      <c r="F90" s="12">
        <f>$D90*$E90</f>
        <v/>
      </c>
      <c r="G90" s="14" t="n">
        <v>46320</v>
      </c>
      <c r="H90" s="18">
        <f>$G90-$B90</f>
        <v/>
      </c>
      <c r="I90" s="14" t="n">
        <v>46314</v>
      </c>
      <c r="J90">
        <f>IF($H90&lt;=Assumptions!$B$3,"Yes","No")</f>
        <v/>
      </c>
    </row>
    <row r="91">
      <c r="A91" t="inlineStr">
        <is>
          <t>O005</t>
        </is>
      </c>
      <c r="B91" s="14" t="n">
        <v>46320</v>
      </c>
      <c r="C91" t="inlineStr">
        <is>
          <t>P10</t>
        </is>
      </c>
      <c r="D91" s="12" t="n">
        <v>17</v>
      </c>
      <c r="E91" s="12" t="n">
        <v>1958</v>
      </c>
      <c r="F91" s="12">
        <f>$D91*$E91</f>
        <v/>
      </c>
      <c r="G91" s="14" t="n">
        <v>46325</v>
      </c>
      <c r="H91" s="18">
        <f>$G91-$B91</f>
        <v/>
      </c>
      <c r="I91" s="14" t="n">
        <v>46314</v>
      </c>
      <c r="J91">
        <f>IF($H91&lt;=Assumptions!$B$3,"Yes","No")</f>
        <v/>
      </c>
    </row>
    <row r="92">
      <c r="A92" t="inlineStr">
        <is>
          <t>O008</t>
        </is>
      </c>
      <c r="B92" s="14" t="n">
        <v>46320</v>
      </c>
      <c r="C92" t="inlineStr">
        <is>
          <t>P08</t>
        </is>
      </c>
      <c r="D92" s="12" t="n">
        <v>16</v>
      </c>
      <c r="E92" s="12" t="n">
        <v>459</v>
      </c>
      <c r="F92" s="12">
        <f>$D92*$E92</f>
        <v/>
      </c>
      <c r="G92" s="14" t="n">
        <v>46321</v>
      </c>
      <c r="H92" s="18">
        <f>$G92-$B92</f>
        <v/>
      </c>
      <c r="I92" s="14" t="n">
        <v>46314</v>
      </c>
      <c r="J92">
        <f>IF($H92&lt;=Assumptions!$B$3,"Yes","No")</f>
        <v/>
      </c>
    </row>
    <row r="93">
      <c r="A93" t="inlineStr">
        <is>
          <t>O026</t>
        </is>
      </c>
      <c r="B93" s="14" t="n">
        <v>46320</v>
      </c>
      <c r="C93" t="inlineStr">
        <is>
          <t>P24</t>
        </is>
      </c>
      <c r="D93" s="12" t="n">
        <v>15</v>
      </c>
      <c r="E93" s="12" t="n">
        <v>284</v>
      </c>
      <c r="F93" s="12">
        <f>$D93*$E93</f>
        <v/>
      </c>
      <c r="G93" s="14" t="n">
        <v>46324</v>
      </c>
      <c r="H93" s="18">
        <f>$G93-$B93</f>
        <v/>
      </c>
      <c r="I93" s="14" t="n">
        <v>46314</v>
      </c>
      <c r="J93">
        <f>IF($H93&lt;=Assumptions!$B$3,"Yes","No")</f>
        <v/>
      </c>
    </row>
    <row r="94">
      <c r="A94" t="inlineStr">
        <is>
          <t>O063</t>
        </is>
      </c>
      <c r="B94" s="14" t="n">
        <v>46320</v>
      </c>
      <c r="C94" t="inlineStr">
        <is>
          <t>P21</t>
        </is>
      </c>
      <c r="D94" s="12" t="n">
        <v>2</v>
      </c>
      <c r="E94" s="12" t="n">
        <v>432</v>
      </c>
      <c r="F94" s="12">
        <f>$D94*$E94</f>
        <v/>
      </c>
      <c r="G94" s="14" t="n">
        <v>46322</v>
      </c>
      <c r="H94" s="18">
        <f>$G94-$B94</f>
        <v/>
      </c>
      <c r="I94" s="14" t="n">
        <v>46314</v>
      </c>
      <c r="J94">
        <f>IF($H94&lt;=Assumptions!$B$3,"Yes","No")</f>
        <v/>
      </c>
    </row>
    <row r="95">
      <c r="A95" t="inlineStr">
        <is>
          <t>O020</t>
        </is>
      </c>
      <c r="B95" s="14" t="n">
        <v>46321</v>
      </c>
      <c r="C95" t="inlineStr">
        <is>
          <t>P15</t>
        </is>
      </c>
      <c r="D95" s="12" t="n">
        <v>3</v>
      </c>
      <c r="E95" s="12" t="n">
        <v>621</v>
      </c>
      <c r="F95" s="12">
        <f>$D95*$E95</f>
        <v/>
      </c>
      <c r="G95" s="14" t="n">
        <v>46323</v>
      </c>
      <c r="H95" s="18">
        <f>$G95-$B95</f>
        <v/>
      </c>
      <c r="I95" s="14" t="n">
        <v>46321</v>
      </c>
      <c r="J95">
        <f>IF($H95&lt;=Assumptions!$B$3,"Yes","No")</f>
        <v/>
      </c>
    </row>
    <row r="96">
      <c r="A96" t="inlineStr">
        <is>
          <t>O051</t>
        </is>
      </c>
      <c r="B96" s="14" t="n">
        <v>46322</v>
      </c>
      <c r="C96" t="inlineStr">
        <is>
          <t>P20</t>
        </is>
      </c>
      <c r="D96" s="12" t="n">
        <v>8</v>
      </c>
      <c r="E96" s="12" t="n">
        <v>1512</v>
      </c>
      <c r="F96" s="12">
        <f>$D96*$E96</f>
        <v/>
      </c>
      <c r="G96" s="14" t="n">
        <v>46326</v>
      </c>
      <c r="H96" s="18">
        <f>$G96-$B96</f>
        <v/>
      </c>
      <c r="I96" s="14" t="n">
        <v>46321</v>
      </c>
      <c r="J96">
        <f>IF($H96&lt;=Assumptions!$B$3,"Yes","No")</f>
        <v/>
      </c>
    </row>
    <row r="97">
      <c r="A97" t="inlineStr">
        <is>
          <t>O094</t>
        </is>
      </c>
      <c r="B97" s="14" t="n">
        <v>46322</v>
      </c>
      <c r="C97" t="inlineStr">
        <is>
          <t>P23</t>
        </is>
      </c>
      <c r="D97" s="12" t="n">
        <v>18</v>
      </c>
      <c r="E97" s="12" t="n">
        <v>162</v>
      </c>
      <c r="F97" s="12">
        <f>$D97*$E97</f>
        <v/>
      </c>
      <c r="G97" s="14" t="n">
        <v>46323</v>
      </c>
      <c r="H97" s="18">
        <f>$G97-$B97</f>
        <v/>
      </c>
      <c r="I97" s="14" t="n">
        <v>46321</v>
      </c>
      <c r="J97">
        <f>IF($H97&lt;=Assumptions!$B$3,"Yes","No")</f>
        <v/>
      </c>
    </row>
    <row r="98">
      <c r="A98" s="5" t="inlineStr">
        <is>
          <t>TOTAL</t>
        </is>
      </c>
      <c r="D98" s="13">
        <f>SUM($D$2:$D$97)</f>
        <v/>
      </c>
      <c r="F98" s="13">
        <f>SUM($F$2:$F$97)</f>
        <v/>
      </c>
    </row>
  </sheetData>
  <autoFilter ref="A1:J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3" customWidth="1" min="4" max="4"/>
    <col width="11" customWidth="1" min="5" max="5"/>
    <col width="17" customWidth="1" min="6" max="6"/>
    <col width="12" customWidth="1" min="7" max="7"/>
    <col width="9" customWidth="1" min="8" max="8"/>
    <col width="14" customWidth="1" min="9" max="9"/>
  </cols>
  <sheetData>
    <row r="1">
      <c r="A1" s="11" t="inlineStr">
        <is>
          <t>WeekStart</t>
        </is>
      </c>
      <c r="B1" s="11" t="inlineStr">
        <is>
          <t>Orders</t>
        </is>
      </c>
      <c r="C1" s="11" t="inlineStr">
        <is>
          <t>OrderValue (Rs)</t>
        </is>
      </c>
      <c r="D1" s="11" t="inlineStr">
        <is>
          <t>OnTimeOrders</t>
        </is>
      </c>
      <c r="E1" s="11" t="inlineStr">
        <is>
          <t>OnTimePct</t>
        </is>
      </c>
      <c r="F1" s="11" t="inlineStr">
        <is>
          <t>AvgFulfilmentDays</t>
        </is>
      </c>
      <c r="G1" s="11" t="inlineStr">
        <is>
          <t>ReceiptQty</t>
        </is>
      </c>
      <c r="H1" s="11" t="inlineStr">
        <is>
          <t>SaleQty</t>
        </is>
      </c>
      <c r="I1" s="11" t="inlineStr">
        <is>
          <t>OvertimeHours</t>
        </is>
      </c>
    </row>
    <row r="2">
      <c r="A2" s="14" t="n">
        <v>46272</v>
      </c>
      <c r="B2" s="12">
        <f>COUNTIF(Orders!$I$2:$I$97,$A2)</f>
        <v/>
      </c>
      <c r="C2" s="12">
        <f>SUMIF(Orders!$I$2:$I$97,$A2,Orders!$F$2:$F$97)</f>
        <v/>
      </c>
      <c r="D2" s="12">
        <f>COUNTIFS(Orders!$I$2:$I$97,$A2,Orders!$J$2:$J$97,"Yes")</f>
        <v/>
      </c>
      <c r="E2" s="16">
        <f>IF($B2=0,0,$D2/$B2)</f>
        <v/>
      </c>
      <c r="F2" s="19">
        <f>AVERAGEIF(Orders!$I$2:$I$97,$A2,Orders!$H$2:$H$97)</f>
        <v/>
      </c>
      <c r="G2" s="12">
        <f>SUMIFS(Movements!$E$2:$E$169,Movements!$D$2:$D$169,$A2,Movements!$C$2:$C$169,"Receipt")</f>
        <v/>
      </c>
      <c r="H2" s="12">
        <f>SUMIFS(Movements!$E$2:$E$169,Movements!$D$2:$D$169,$A2,Movements!$C$2:$C$169,"Sale")</f>
        <v/>
      </c>
      <c r="I2" s="15">
        <f>SUMIF(Raw_Shifts!$D$2:$D$121,$A2,Raw_Shifts!$G$2:$G$121)</f>
        <v/>
      </c>
    </row>
    <row r="3">
      <c r="A3" s="14" t="n">
        <v>46279</v>
      </c>
      <c r="B3" s="12">
        <f>COUNTIF(Orders!$I$2:$I$97,$A3)</f>
        <v/>
      </c>
      <c r="C3" s="12">
        <f>SUMIF(Orders!$I$2:$I$97,$A3,Orders!$F$2:$F$97)</f>
        <v/>
      </c>
      <c r="D3" s="12">
        <f>COUNTIFS(Orders!$I$2:$I$97,$A3,Orders!$J$2:$J$97,"Yes")</f>
        <v/>
      </c>
      <c r="E3" s="16">
        <f>IF($B3=0,0,$D3/$B3)</f>
        <v/>
      </c>
      <c r="F3" s="19">
        <f>AVERAGEIF(Orders!$I$2:$I$97,$A3,Orders!$H$2:$H$97)</f>
        <v/>
      </c>
      <c r="G3" s="12">
        <f>SUMIFS(Movements!$E$2:$E$169,Movements!$D$2:$D$169,$A3,Movements!$C$2:$C$169,"Receipt")</f>
        <v/>
      </c>
      <c r="H3" s="12">
        <f>SUMIFS(Movements!$E$2:$E$169,Movements!$D$2:$D$169,$A3,Movements!$C$2:$C$169,"Sale")</f>
        <v/>
      </c>
      <c r="I3" s="15">
        <f>SUMIF(Raw_Shifts!$D$2:$D$121,$A3,Raw_Shifts!$G$2:$G$121)</f>
        <v/>
      </c>
    </row>
    <row r="4">
      <c r="A4" s="14" t="n">
        <v>46286</v>
      </c>
      <c r="B4" s="12">
        <f>COUNTIF(Orders!$I$2:$I$97,$A4)</f>
        <v/>
      </c>
      <c r="C4" s="12">
        <f>SUMIF(Orders!$I$2:$I$97,$A4,Orders!$F$2:$F$97)</f>
        <v/>
      </c>
      <c r="D4" s="12">
        <f>COUNTIFS(Orders!$I$2:$I$97,$A4,Orders!$J$2:$J$97,"Yes")</f>
        <v/>
      </c>
      <c r="E4" s="16">
        <f>IF($B4=0,0,$D4/$B4)</f>
        <v/>
      </c>
      <c r="F4" s="19">
        <f>AVERAGEIF(Orders!$I$2:$I$97,$A4,Orders!$H$2:$H$97)</f>
        <v/>
      </c>
      <c r="G4" s="12">
        <f>SUMIFS(Movements!$E$2:$E$169,Movements!$D$2:$D$169,$A4,Movements!$C$2:$C$169,"Receipt")</f>
        <v/>
      </c>
      <c r="H4" s="12">
        <f>SUMIFS(Movements!$E$2:$E$169,Movements!$D$2:$D$169,$A4,Movements!$C$2:$C$169,"Sale")</f>
        <v/>
      </c>
      <c r="I4" s="15">
        <f>SUMIF(Raw_Shifts!$D$2:$D$121,$A4,Raw_Shifts!$G$2:$G$121)</f>
        <v/>
      </c>
    </row>
    <row r="5">
      <c r="A5" s="14" t="n">
        <v>46293</v>
      </c>
      <c r="B5" s="12">
        <f>COUNTIF(Orders!$I$2:$I$97,$A5)</f>
        <v/>
      </c>
      <c r="C5" s="12">
        <f>SUMIF(Orders!$I$2:$I$97,$A5,Orders!$F$2:$F$97)</f>
        <v/>
      </c>
      <c r="D5" s="12">
        <f>COUNTIFS(Orders!$I$2:$I$97,$A5,Orders!$J$2:$J$97,"Yes")</f>
        <v/>
      </c>
      <c r="E5" s="16">
        <f>IF($B5=0,0,$D5/$B5)</f>
        <v/>
      </c>
      <c r="F5" s="19">
        <f>AVERAGEIF(Orders!$I$2:$I$97,$A5,Orders!$H$2:$H$97)</f>
        <v/>
      </c>
      <c r="G5" s="12">
        <f>SUMIFS(Movements!$E$2:$E$169,Movements!$D$2:$D$169,$A5,Movements!$C$2:$C$169,"Receipt")</f>
        <v/>
      </c>
      <c r="H5" s="12">
        <f>SUMIFS(Movements!$E$2:$E$169,Movements!$D$2:$D$169,$A5,Movements!$C$2:$C$169,"Sale")</f>
        <v/>
      </c>
      <c r="I5" s="15">
        <f>SUMIF(Raw_Shifts!$D$2:$D$121,$A5,Raw_Shifts!$G$2:$G$121)</f>
        <v/>
      </c>
    </row>
    <row r="6">
      <c r="A6" s="14" t="n">
        <v>46300</v>
      </c>
      <c r="B6" s="12">
        <f>COUNTIF(Orders!$I$2:$I$97,$A6)</f>
        <v/>
      </c>
      <c r="C6" s="12">
        <f>SUMIF(Orders!$I$2:$I$97,$A6,Orders!$F$2:$F$97)</f>
        <v/>
      </c>
      <c r="D6" s="12">
        <f>COUNTIFS(Orders!$I$2:$I$97,$A6,Orders!$J$2:$J$97,"Yes")</f>
        <v/>
      </c>
      <c r="E6" s="16">
        <f>IF($B6=0,0,$D6/$B6)</f>
        <v/>
      </c>
      <c r="F6" s="19">
        <f>AVERAGEIF(Orders!$I$2:$I$97,$A6,Orders!$H$2:$H$97)</f>
        <v/>
      </c>
      <c r="G6" s="12">
        <f>SUMIFS(Movements!$E$2:$E$169,Movements!$D$2:$D$169,$A6,Movements!$C$2:$C$169,"Receipt")</f>
        <v/>
      </c>
      <c r="H6" s="12">
        <f>SUMIFS(Movements!$E$2:$E$169,Movements!$D$2:$D$169,$A6,Movements!$C$2:$C$169,"Sale")</f>
        <v/>
      </c>
      <c r="I6" s="15">
        <f>SUMIF(Raw_Shifts!$D$2:$D$121,$A6,Raw_Shifts!$G$2:$G$121)</f>
        <v/>
      </c>
    </row>
    <row r="7">
      <c r="A7" s="14" t="n">
        <v>46307</v>
      </c>
      <c r="B7" s="12">
        <f>COUNTIF(Orders!$I$2:$I$97,$A7)</f>
        <v/>
      </c>
      <c r="C7" s="12">
        <f>SUMIF(Orders!$I$2:$I$97,$A7,Orders!$F$2:$F$97)</f>
        <v/>
      </c>
      <c r="D7" s="12">
        <f>COUNTIFS(Orders!$I$2:$I$97,$A7,Orders!$J$2:$J$97,"Yes")</f>
        <v/>
      </c>
      <c r="E7" s="16">
        <f>IF($B7=0,0,$D7/$B7)</f>
        <v/>
      </c>
      <c r="F7" s="19">
        <f>AVERAGEIF(Orders!$I$2:$I$97,$A7,Orders!$H$2:$H$97)</f>
        <v/>
      </c>
      <c r="G7" s="12">
        <f>SUMIFS(Movements!$E$2:$E$169,Movements!$D$2:$D$169,$A7,Movements!$C$2:$C$169,"Receipt")</f>
        <v/>
      </c>
      <c r="H7" s="12">
        <f>SUMIFS(Movements!$E$2:$E$169,Movements!$D$2:$D$169,$A7,Movements!$C$2:$C$169,"Sale")</f>
        <v/>
      </c>
      <c r="I7" s="15">
        <f>SUMIF(Raw_Shifts!$D$2:$D$121,$A7,Raw_Shifts!$G$2:$G$121)</f>
        <v/>
      </c>
    </row>
    <row r="8">
      <c r="A8" s="14" t="n">
        <v>46314</v>
      </c>
      <c r="B8" s="12">
        <f>COUNTIF(Orders!$I$2:$I$97,$A8)</f>
        <v/>
      </c>
      <c r="C8" s="12">
        <f>SUMIF(Orders!$I$2:$I$97,$A8,Orders!$F$2:$F$97)</f>
        <v/>
      </c>
      <c r="D8" s="12">
        <f>COUNTIFS(Orders!$I$2:$I$97,$A8,Orders!$J$2:$J$97,"Yes")</f>
        <v/>
      </c>
      <c r="E8" s="16">
        <f>IF($B8=0,0,$D8/$B8)</f>
        <v/>
      </c>
      <c r="F8" s="19">
        <f>AVERAGEIF(Orders!$I$2:$I$97,$A8,Orders!$H$2:$H$97)</f>
        <v/>
      </c>
      <c r="G8" s="12">
        <f>SUMIFS(Movements!$E$2:$E$169,Movements!$D$2:$D$169,$A8,Movements!$C$2:$C$169,"Receipt")</f>
        <v/>
      </c>
      <c r="H8" s="12">
        <f>SUMIFS(Movements!$E$2:$E$169,Movements!$D$2:$D$169,$A8,Movements!$C$2:$C$169,"Sale")</f>
        <v/>
      </c>
      <c r="I8" s="15">
        <f>SUMIF(Raw_Shifts!$D$2:$D$121,$A8,Raw_Shifts!$G$2:$G$121)</f>
        <v/>
      </c>
    </row>
    <row r="9">
      <c r="A9" s="14" t="n">
        <v>46321</v>
      </c>
      <c r="B9" s="12">
        <f>COUNTIF(Orders!$I$2:$I$97,$A9)</f>
        <v/>
      </c>
      <c r="C9" s="12">
        <f>SUMIF(Orders!$I$2:$I$97,$A9,Orders!$F$2:$F$97)</f>
        <v/>
      </c>
      <c r="D9" s="12">
        <f>COUNTIFS(Orders!$I$2:$I$97,$A9,Orders!$J$2:$J$97,"Yes")</f>
        <v/>
      </c>
      <c r="E9" s="16">
        <f>IF($B9=0,0,$D9/$B9)</f>
        <v/>
      </c>
      <c r="F9" s="19">
        <f>AVERAGEIF(Orders!$I$2:$I$97,$A9,Orders!$H$2:$H$97)</f>
        <v/>
      </c>
      <c r="G9" s="12">
        <f>SUMIFS(Movements!$E$2:$E$169,Movements!$D$2:$D$169,$A9,Movements!$C$2:$C$169,"Receipt")</f>
        <v/>
      </c>
      <c r="H9" s="12">
        <f>SUMIFS(Movements!$E$2:$E$169,Movements!$D$2:$D$169,$A9,Movements!$C$2:$C$169,"Sale")</f>
        <v/>
      </c>
      <c r="I9" s="15">
        <f>SUMIF(Raw_Shifts!$D$2:$D$121,$A9,Raw_Shifts!$G$2:$G$121)</f>
        <v/>
      </c>
    </row>
    <row r="10">
      <c r="A10" s="5" t="inlineStr">
        <is>
          <t>TOTAL</t>
        </is>
      </c>
      <c r="B10" s="13">
        <f>SUM($B$2:$B$9)</f>
        <v/>
      </c>
      <c r="C10" s="13">
        <f>SUM($C$2:$C$9)</f>
        <v/>
      </c>
      <c r="D10" s="13">
        <f>SUM($D$2:$D$9)</f>
        <v/>
      </c>
      <c r="E10" s="20">
        <f>IF($B$10=0,0,$D$10/$B$10)</f>
        <v/>
      </c>
      <c r="F10" s="21">
        <f>AVERAGE(Orders!$H$2:$H$97)</f>
        <v/>
      </c>
      <c r="G10" s="13">
        <f>SUM($G$2:$G$9)</f>
        <v/>
      </c>
      <c r="H10" s="13">
        <f>SUM($H$2:$H$9)</f>
        <v/>
      </c>
      <c r="I10" s="17">
        <f>SUM($I$2:$I$9)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</cols>
  <sheetData>
    <row r="1">
      <c r="A1" s="1" t="inlineStr">
        <is>
          <t>Assumptions</t>
        </is>
      </c>
    </row>
    <row r="2">
      <c r="A2" s="5" t="inlineStr">
        <is>
          <t>Standard shift (hours)</t>
        </is>
      </c>
      <c r="B2" s="15" t="n">
        <v>8</v>
      </c>
    </row>
    <row r="3">
      <c r="A3" s="5" t="inlineStr">
        <is>
          <t>On-time target (days)</t>
        </is>
      </c>
      <c r="B3" s="18" t="n">
        <v>3</v>
      </c>
    </row>
    <row r="4">
      <c r="A4" s="5" t="inlineStr">
        <is>
          <t>As-of date</t>
        </is>
      </c>
      <c r="B4" s="14" t="n">
        <v>46326</v>
      </c>
    </row>
    <row r="5">
      <c r="A5" s="5" t="inlineStr">
        <is>
          <t>Reporting period</t>
        </is>
      </c>
      <c r="B5" t="inlineStr">
        <is>
          <t>2026-09-07 to 2026-10-31 (8 weeks)</t>
        </is>
      </c>
    </row>
    <row r="6">
      <c r="A6" s="5" t="inlineStr">
        <is>
          <t>Weeks in period</t>
        </is>
      </c>
      <c r="B6" t="n">
        <v>8</v>
      </c>
    </row>
    <row r="7">
      <c r="A7" s="5" t="inlineStr">
        <is>
          <t>Currency</t>
        </is>
      </c>
      <c r="B7" t="inlineStr">
        <is>
          <t>INR (Rs)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2" customWidth="1" min="4" max="4"/>
    <col width="10" customWidth="1" min="5" max="5"/>
  </cols>
  <sheetData>
    <row r="1">
      <c r="A1" s="11" t="inlineStr">
        <is>
          <t>Check</t>
        </is>
      </c>
      <c r="B1" s="11" t="inlineStr">
        <is>
          <t>Expected</t>
        </is>
      </c>
      <c r="C1" s="11" t="inlineStr">
        <is>
          <t>Got</t>
        </is>
      </c>
      <c r="D1" s="11" t="inlineStr">
        <is>
          <t>Diff</t>
        </is>
      </c>
      <c r="E1" s="11" t="inlineStr">
        <is>
          <t>Status</t>
        </is>
      </c>
    </row>
    <row r="2">
      <c r="A2" t="inlineStr">
        <is>
          <t>SKU count</t>
        </is>
      </c>
      <c r="B2" s="22" t="n">
        <v>24</v>
      </c>
      <c r="C2" s="22">
        <f>COUNTA(Inventory!$A$2:$A$25)</f>
        <v/>
      </c>
      <c r="D2" s="22">
        <f>$C2-$B2</f>
        <v/>
      </c>
      <c r="E2">
        <f>IF(ABS($D2)&lt;=0,"PASS","FAIL")</f>
        <v/>
      </c>
    </row>
    <row r="3">
      <c r="A3" t="inlineStr">
        <is>
          <t>Dashboard stock value ties to Inventory</t>
        </is>
      </c>
      <c r="B3" s="22">
        <f>SUM(Inventory!$K$2:$K$25)</f>
        <v/>
      </c>
      <c r="C3" s="22">
        <f>Dashboard!$B$5</f>
        <v/>
      </c>
      <c r="D3" s="22">
        <f>$C3-$B3</f>
        <v/>
      </c>
      <c r="E3">
        <f>IF(ABS($D3)&lt;=0.01,"PASS","FAIL")</f>
        <v/>
      </c>
    </row>
    <row r="4">
      <c r="A4" t="inlineStr">
        <is>
          <t>Dashboard reorder count ties to Inventory</t>
        </is>
      </c>
      <c r="B4" s="22">
        <f>COUNTIF(Inventory!$M$2:$M$25,"REORDER")</f>
        <v/>
      </c>
      <c r="C4" s="22">
        <f>Dashboard!$B$4</f>
        <v/>
      </c>
      <c r="D4" s="22">
        <f>$C4-$B4</f>
        <v/>
      </c>
      <c r="E4">
        <f>IF(ABS($D4)&lt;=0,"PASS","FAIL")</f>
        <v/>
      </c>
    </row>
    <row r="5">
      <c r="A5" t="inlineStr">
        <is>
          <t>Dashboard order count ties to Orders</t>
        </is>
      </c>
      <c r="B5" s="22">
        <f>COUNTA(Orders!$A$2:$A$97)</f>
        <v/>
      </c>
      <c r="C5" s="22">
        <f>Dashboard!$B$7</f>
        <v/>
      </c>
      <c r="D5" s="22">
        <f>$C5-$B5</f>
        <v/>
      </c>
      <c r="E5">
        <f>IF(ABS($D5)&lt;=0,"PASS","FAIL")</f>
        <v/>
      </c>
    </row>
    <row r="6">
      <c r="A6" t="inlineStr">
        <is>
          <t>Dashboard order value ties to Weekly</t>
        </is>
      </c>
      <c r="B6" s="22">
        <f>SUM(Weekly!$C$2:$C$9)</f>
        <v/>
      </c>
      <c r="C6" s="22">
        <f>Dashboard!$B$8</f>
        <v/>
      </c>
      <c r="D6" s="22">
        <f>$C6-$B6</f>
        <v/>
      </c>
      <c r="E6">
        <f>IF(ABS($D6)&lt;=0.01,"PASS","FAIL")</f>
        <v/>
      </c>
    </row>
    <row r="7">
      <c r="A7" t="inlineStr">
        <is>
          <t>Weekly on-time total ties to Orders</t>
        </is>
      </c>
      <c r="B7" s="22">
        <f>SUM(Weekly!$D$2:$D$9)</f>
        <v/>
      </c>
      <c r="C7" s="22">
        <f>COUNTIF(Orders!$J$2:$J$97,"Yes")</f>
        <v/>
      </c>
      <c r="D7" s="22">
        <f>$C7-$B7</f>
        <v/>
      </c>
      <c r="E7">
        <f>IF(ABS($D7)&lt;=0,"PASS","FAIL")</f>
        <v/>
      </c>
    </row>
    <row r="8">
      <c r="A8" t="inlineStr">
        <is>
          <t>Net movements tie to stock change</t>
        </is>
      </c>
      <c r="B8" s="22">
        <f>SUM(Inventory!$I$2:$I$25)-SUM(Inventory!$E$2:$E$25)</f>
        <v/>
      </c>
      <c r="C8" s="22">
        <f>SUM(Movements!$F$2:$F$169)</f>
        <v/>
      </c>
      <c r="D8" s="22">
        <f>$C8-$B8</f>
        <v/>
      </c>
      <c r="E8">
        <f>IF(ABS($D8)&lt;=0.01,"PASS","FAIL")</f>
        <v/>
      </c>
    </row>
    <row r="9">
      <c r="A9" t="inlineStr">
        <is>
          <t>Weekly overtime ties to Staff</t>
        </is>
      </c>
      <c r="B9" s="22">
        <f>SUM(Staff!$F$2:$F$11)</f>
        <v/>
      </c>
      <c r="C9" s="22">
        <f>SUM(Weekly!$I$2:$I$9)</f>
        <v/>
      </c>
      <c r="D9" s="22">
        <f>$C9-$B9</f>
        <v/>
      </c>
      <c r="E9">
        <f>IF(ABS($D9)&lt;=0.01,"PASS","FAIL")</f>
        <v/>
      </c>
    </row>
    <row r="10">
      <c r="A10" t="inlineStr">
        <is>
          <t>Products with negative stock</t>
        </is>
      </c>
      <c r="B10" s="22" t="n">
        <v>0</v>
      </c>
      <c r="C10" s="22">
        <f>COUNTIF(Inventory!$I$2:$I$25,"&lt;0")</f>
        <v/>
      </c>
      <c r="D10" s="22">
        <f>$C10-$B10</f>
        <v/>
      </c>
      <c r="E10">
        <f>IF(ABS($D10)&lt;=0,"PASS","FAIL")</f>
        <v/>
      </c>
    </row>
    <row r="11">
      <c r="A11" t="inlineStr">
        <is>
          <t>Orders with blank ship date</t>
        </is>
      </c>
      <c r="B11" s="22" t="n">
        <v>0</v>
      </c>
      <c r="C11" s="22">
        <f>COUNTBLANK(Orders!$G$2:$G$97)</f>
        <v/>
      </c>
      <c r="D11" s="22">
        <f>$C11-$B11</f>
        <v/>
      </c>
      <c r="E11">
        <f>IF(ABS($D11)&lt;=0,"PASS","FAIL")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2026-10-31T02:28:53+00:00Z</dcterms:created>
  <dcterms:modified xmlns:dcterms="http://purl.org/dc/terms/" xmlns:xsi="http://www.w3.org/2001/XMLSchema-instance" xsi:type="dcterms:W3CDTF">2026-10-31T02:28:53+00:00Z</dcterms:modified>
</cp:coreProperties>
</file>