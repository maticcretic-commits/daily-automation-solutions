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Raw_Bank" sheetId="2" state="visible" r:id="rId2"/>
    <sheet xmlns:r="http://schemas.openxmlformats.org/officeDocument/2006/relationships" name="Raw_Book" sheetId="3" state="visible" r:id="rId3"/>
    <sheet xmlns:r="http://schemas.openxmlformats.org/officeDocument/2006/relationships" name="Recon" sheetId="4" state="visible" r:id="rId4"/>
    <sheet xmlns:r="http://schemas.openxmlformats.org/officeDocument/2006/relationships" name="Unmatched" sheetId="5" state="visible" r:id="rId5"/>
    <sheet xmlns:r="http://schemas.openxmlformats.org/officeDocument/2006/relationships" name="Daily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Checks" sheetId="9" state="visible" r:id="rId9"/>
  </sheets>
  <definedNames>
    <definedName name="_xlnm._FilterDatabase" localSheetId="1" hidden="1">'Raw_Bank'!$A$1:$F$129</definedName>
    <definedName name="_xlnm._FilterDatabase" localSheetId="2" hidden="1">'Raw_Book'!$A$1:$I$128</definedName>
    <definedName name="_xlnm._FilterDatabase" localSheetId="3" hidden="1">'Recon'!$A$1:$N$129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₹&quot;#,##0.0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b val="1"/>
      <color rgb="00FFFFFF"/>
      <sz val="11"/>
    </font>
    <font>
      <b val="1"/>
    </font>
    <font>
      <b val="1"/>
      <sz val="11"/>
    </font>
    <font>
      <b val="1"/>
      <color rgb="001F4E79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5" fontId="4" fillId="0" borderId="1" pivotButton="0" quotePrefix="0" xfId="0"/>
    <xf numFmtId="166" fontId="0" fillId="0" borderId="1" pivotButton="0" quotePrefix="0" xfId="0"/>
    <xf numFmtId="0" fontId="5" fillId="0" borderId="1" pivotButton="0" quotePrefix="0" xfId="0"/>
    <xf numFmtId="166" fontId="6" fillId="0" borderId="1" pivotButton="0" quotePrefix="0" xfId="0"/>
    <xf numFmtId="165" fontId="6" fillId="0" borderId="1" pivotButton="0" quotePrefix="0" xfId="0"/>
    <xf numFmtId="0" fontId="6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Bank lines: matched vs unmatched</a:t>
            </a:r>
          </a:p>
        </rich>
      </tx>
    </title>
    <plotArea>
      <pieChart>
        <varyColors val="1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'Dashboard'!$A$10:$A$11</f>
            </numRef>
          </cat>
          <val>
            <numRef>
              <f>'Dashboard'!$B$10:$B$11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Unmatched value by reason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'Dashboard'!$A$14:$A$18</f>
            </numRef>
          </cat>
          <val>
            <numRef>
              <f>'Dashboard'!$B$14:$B$18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closing balance — bank vs books</a:t>
            </a:r>
          </a:p>
        </rich>
      </tx>
    </title>
    <plotArea>
      <lineChart>
        <grouping val="standard"/>
        <ser>
          <idx val="0"/>
          <order val="0"/>
          <tx>
            <strRef>
              <f>'Daily'!B1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'Daily'!$A$2:$A$22</f>
            </numRef>
          </cat>
          <val>
            <numRef>
              <f>'Daily'!$B$2:$B$22</f>
            </numRef>
          </val>
        </ser>
        <ser>
          <idx val="1"/>
          <order val="1"/>
          <tx>
            <strRef>
              <f>'Daily'!C1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'Daily'!$A$2:$A$22</f>
            </numRef>
          </cat>
          <val>
            <numRef>
              <f>'Daily'!$C$2:$C$22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79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ReconPulse — Bank Reconciliation Workbench</t>
        </is>
      </c>
    </row>
    <row r="3" ht="36" customHeight="1">
      <c r="A3" s="2" t="inlineStr">
        <is>
          <t>What this is</t>
        </is>
      </c>
      <c r="B3" s="3" t="inlineStr">
        <is>
          <t>A formula-driven bank reconciliation for Mehta Trading Co., Ludhiana (fictional demo data, 1–21 Oct 2026): every bank-statement line is auto-matched to the book ledger by amount + side, with a ±3-day clearing window.</t>
        </is>
      </c>
    </row>
    <row r="4" ht="36" customHeight="1">
      <c r="A4" s="2" t="inlineStr">
        <is>
          <t>Inputs (yellow)</t>
        </is>
      </c>
      <c r="B4" s="3" t="inlineStr">
        <is>
          <t>Summary!B2 opening balance, Summary!B3 as-of date. Paste a fresh statement into Raw_Bank and the ledger into Raw_Book; extend the formula ranges on Recon/Unmatched/Daily/Summary/Checks.</t>
        </is>
      </c>
    </row>
    <row r="5" ht="36" customHeight="1">
      <c r="A5" s="2" t="inlineStr">
        <is>
          <t>How matching works</t>
        </is>
      </c>
      <c r="B5" s="3" t="inlineStr">
        <is>
          <t>Recon!F builds a key amount|side (R=receipt, P=payment); Recon!G finds the key in the ledger; Recon!K marks MATCHED only when the booked date is within 3 days of the bank date.</t>
        </is>
      </c>
    </row>
    <row r="6" ht="36" customHeight="1">
      <c r="A6" s="2" t="inlineStr">
        <is>
          <t>Unmatched items</t>
        </is>
      </c>
      <c r="B6" s="3" t="inlineStr">
        <is>
          <t>Bank-only items (charges, interest, unidentified deposits) and book-only items (unpresented cheques, deposits in transit) are extracted with a suggested action and days outstanding.</t>
        </is>
      </c>
    </row>
    <row r="7" ht="36" customHeight="1">
      <c r="A7" s="2" t="inlineStr">
        <is>
          <t>Reconciliation</t>
        </is>
      </c>
      <c r="B7" s="3" t="inlineStr">
        <is>
          <t>Summary walks both sides to one adjusted balance; Checks!B1:B8 must all read TRUE and the recon difference must be zero.</t>
        </is>
      </c>
    </row>
    <row r="8" ht="36" customHeight="1">
      <c r="A8" s="2" t="inlineStr">
        <is>
          <t>Demo state</t>
        </is>
      </c>
      <c r="B8" s="3" t="inlineStr">
        <is>
          <t>128 bank lines, 127 book lines; 4 bank-only and 3 book-only items deliberately unmatched.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6" customWidth="1" min="3" max="3"/>
    <col width="15" customWidth="1" min="4" max="4"/>
    <col width="15" customWidth="1" min="5" max="5"/>
    <col width="17" customWidth="1" min="6" max="6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Ref</t>
        </is>
      </c>
      <c r="D1" s="4" t="inlineStr">
        <is>
          <t>Debit</t>
        </is>
      </c>
      <c r="E1" s="4" t="inlineStr">
        <is>
          <t>Credit</t>
        </is>
      </c>
      <c r="F1" s="4" t="inlineStr">
        <is>
          <t>Balance</t>
        </is>
      </c>
    </row>
    <row r="2">
      <c r="A2" s="5" t="n">
        <v>46296</v>
      </c>
      <c r="B2" s="6" t="inlineStr">
        <is>
          <t>Insurance premium</t>
        </is>
      </c>
      <c r="C2" s="6" t="inlineStr">
        <is>
          <t>UTR643943</t>
        </is>
      </c>
      <c r="D2" s="7" t="n">
        <v>31500</v>
      </c>
      <c r="E2" s="7" t="n">
        <v>0</v>
      </c>
      <c r="F2" s="7">
        <f>Summary!$B$2+E2-D2</f>
        <v/>
      </c>
    </row>
    <row r="3">
      <c r="A3" s="5" t="n">
        <v>46297</v>
      </c>
      <c r="B3" s="6" t="inlineStr">
        <is>
          <t>Audit fee advance</t>
        </is>
      </c>
      <c r="C3" s="6" t="inlineStr">
        <is>
          <t>UTR825369</t>
        </is>
      </c>
      <c r="D3" s="7" t="n">
        <v>5500</v>
      </c>
      <c r="E3" s="7" t="n">
        <v>0</v>
      </c>
      <c r="F3" s="7">
        <f>F2+E3-D3</f>
        <v/>
      </c>
    </row>
    <row r="4">
      <c r="A4" s="5" t="n">
        <v>46297</v>
      </c>
      <c r="B4" s="6" t="inlineStr">
        <is>
          <t>NEFT - Sharma Retail Store (inv 1074)</t>
        </is>
      </c>
      <c r="C4" s="6" t="inlineStr">
        <is>
          <t>UTR200560</t>
        </is>
      </c>
      <c r="D4" s="7" t="n">
        <v>0</v>
      </c>
      <c r="E4" s="7" t="n">
        <v>57500</v>
      </c>
      <c r="F4" s="7">
        <f>F3+E4-D4</f>
        <v/>
      </c>
    </row>
    <row r="5">
      <c r="A5" s="5" t="n">
        <v>46297</v>
      </c>
      <c r="B5" s="6" t="inlineStr">
        <is>
          <t>RTGS - Kumar &amp; Sons (inv 1143)</t>
        </is>
      </c>
      <c r="C5" s="6" t="inlineStr">
        <is>
          <t>UTR891119</t>
        </is>
      </c>
      <c r="D5" s="7" t="n">
        <v>0</v>
      </c>
      <c r="E5" s="7" t="n">
        <v>8500</v>
      </c>
      <c r="F5" s="7">
        <f>F4+E5-D5</f>
        <v/>
      </c>
    </row>
    <row r="6">
      <c r="A6" s="5" t="n">
        <v>46297</v>
      </c>
      <c r="B6" s="6" t="inlineStr">
        <is>
          <t>RTGS - Mishra Mart (inv 1072)</t>
        </is>
      </c>
      <c r="C6" s="6" t="inlineStr">
        <is>
          <t>UTR716990</t>
        </is>
      </c>
      <c r="D6" s="7" t="n">
        <v>0</v>
      </c>
      <c r="E6" s="7" t="n">
        <v>33500</v>
      </c>
      <c r="F6" s="7">
        <f>F5+E6-D6</f>
        <v/>
      </c>
    </row>
    <row r="7">
      <c r="A7" s="5" t="n">
        <v>46297</v>
      </c>
      <c r="B7" s="6" t="inlineStr">
        <is>
          <t>RTGS - Verma Traders (inv 1099)</t>
        </is>
      </c>
      <c r="C7" s="6" t="inlineStr">
        <is>
          <t>UTR785402</t>
        </is>
      </c>
      <c r="D7" s="7" t="n">
        <v>0</v>
      </c>
      <c r="E7" s="7" t="n">
        <v>50500</v>
      </c>
      <c r="F7" s="7">
        <f>F6+E7-D7</f>
        <v/>
      </c>
    </row>
    <row r="8">
      <c r="A8" s="5" t="n">
        <v>46297</v>
      </c>
      <c r="B8" s="6" t="inlineStr">
        <is>
          <t>UPI - retail counter sales 1-Oct</t>
        </is>
      </c>
      <c r="C8" s="6" t="inlineStr">
        <is>
          <t>UTR831042</t>
        </is>
      </c>
      <c r="D8" s="7" t="n">
        <v>0</v>
      </c>
      <c r="E8" s="7" t="n">
        <v>6744</v>
      </c>
      <c r="F8" s="7">
        <f>F7+E8-D8</f>
        <v/>
      </c>
    </row>
    <row r="9">
      <c r="A9" s="5" t="n">
        <v>46297</v>
      </c>
      <c r="B9" s="6" t="inlineStr">
        <is>
          <t>UPI - retail counter sales 16-Oct</t>
        </is>
      </c>
      <c r="C9" s="6" t="inlineStr">
        <is>
          <t>UTR915146</t>
        </is>
      </c>
      <c r="D9" s="7" t="n">
        <v>0</v>
      </c>
      <c r="E9" s="7" t="n">
        <v>4594</v>
      </c>
      <c r="F9" s="7">
        <f>F8+E9-D9</f>
        <v/>
      </c>
    </row>
    <row r="10">
      <c r="A10" s="5" t="n">
        <v>46297</v>
      </c>
      <c r="B10" s="6" t="inlineStr">
        <is>
          <t>UPI - retail counter sales 16-Oct</t>
        </is>
      </c>
      <c r="C10" s="6" t="inlineStr">
        <is>
          <t>UTR125519</t>
        </is>
      </c>
      <c r="D10" s="7" t="n">
        <v>0</v>
      </c>
      <c r="E10" s="7" t="n">
        <v>1103</v>
      </c>
      <c r="F10" s="7">
        <f>F9+E10-D10</f>
        <v/>
      </c>
    </row>
    <row r="11">
      <c r="A11" s="5" t="n">
        <v>46297</v>
      </c>
      <c r="B11" s="6" t="inlineStr">
        <is>
          <t>UPI - retail counter sales 3-Oct</t>
        </is>
      </c>
      <c r="C11" s="6" t="inlineStr">
        <is>
          <t>UTR320938</t>
        </is>
      </c>
      <c r="D11" s="7" t="n">
        <v>0</v>
      </c>
      <c r="E11" s="7" t="n">
        <v>6011</v>
      </c>
      <c r="F11" s="7">
        <f>F10+E11-D11</f>
        <v/>
      </c>
    </row>
    <row r="12">
      <c r="A12" s="5" t="n">
        <v>46297</v>
      </c>
      <c r="B12" s="6" t="inlineStr">
        <is>
          <t>UPI - retail counter sales 3-Oct</t>
        </is>
      </c>
      <c r="C12" s="6" t="inlineStr">
        <is>
          <t>UTR518151</t>
        </is>
      </c>
      <c r="D12" s="7" t="n">
        <v>0</v>
      </c>
      <c r="E12" s="7" t="n">
        <v>8292</v>
      </c>
      <c r="F12" s="7">
        <f>F11+E12-D12</f>
        <v/>
      </c>
    </row>
    <row r="13">
      <c r="A13" s="5" t="n">
        <v>46297</v>
      </c>
      <c r="B13" s="6" t="inlineStr">
        <is>
          <t>UPI - retail counter sales 6-Oct</t>
        </is>
      </c>
      <c r="C13" s="6" t="inlineStr">
        <is>
          <t>UTR482125</t>
        </is>
      </c>
      <c r="D13" s="7" t="n">
        <v>0</v>
      </c>
      <c r="E13" s="7" t="n">
        <v>3000</v>
      </c>
      <c r="F13" s="7">
        <f>F12+E13-D13</f>
        <v/>
      </c>
    </row>
    <row r="14">
      <c r="A14" s="5" t="n">
        <v>46298</v>
      </c>
      <c r="B14" s="6" t="inlineStr">
        <is>
          <t>Electricity bill</t>
        </is>
      </c>
      <c r="C14" s="6" t="inlineStr">
        <is>
          <t>UTR315161</t>
        </is>
      </c>
      <c r="D14" s="7" t="n">
        <v>10000</v>
      </c>
      <c r="E14" s="7" t="n">
        <v>0</v>
      </c>
      <c r="F14" s="7">
        <f>F13+E14-D14</f>
        <v/>
      </c>
    </row>
    <row r="15">
      <c r="A15" s="5" t="n">
        <v>46298</v>
      </c>
      <c r="B15" s="6" t="inlineStr">
        <is>
          <t>Godown rent - Oct</t>
        </is>
      </c>
      <c r="C15" s="6" t="inlineStr">
        <is>
          <t>UTR180504</t>
        </is>
      </c>
      <c r="D15" s="7" t="n">
        <v>18000</v>
      </c>
      <c r="E15" s="7" t="n">
        <v>0</v>
      </c>
      <c r="F15" s="7">
        <f>F14+E15-D15</f>
        <v/>
      </c>
    </row>
    <row r="16">
      <c r="A16" s="5" t="n">
        <v>46298</v>
      </c>
      <c r="B16" s="6" t="inlineStr">
        <is>
          <t>NEFT - Chawla Distributors (PO 541)</t>
        </is>
      </c>
      <c r="C16" s="6" t="inlineStr">
        <is>
          <t>UTR235445</t>
        </is>
      </c>
      <c r="D16" s="7" t="n">
        <v>114250</v>
      </c>
      <c r="E16" s="7" t="n">
        <v>0</v>
      </c>
      <c r="F16" s="7">
        <f>F15+E16-D16</f>
        <v/>
      </c>
    </row>
    <row r="17">
      <c r="A17" s="5" t="n">
        <v>46298</v>
      </c>
      <c r="B17" s="6" t="inlineStr">
        <is>
          <t>NEFT - Chawla Distributors (PO 550)</t>
        </is>
      </c>
      <c r="C17" s="6" t="inlineStr">
        <is>
          <t>UTR161408</t>
        </is>
      </c>
      <c r="D17" s="7" t="n">
        <v>162000</v>
      </c>
      <c r="E17" s="7" t="n">
        <v>0</v>
      </c>
      <c r="F17" s="7">
        <f>F16+E17-D17</f>
        <v/>
      </c>
    </row>
    <row r="18">
      <c r="A18" s="5" t="n">
        <v>46298</v>
      </c>
      <c r="B18" s="6" t="inlineStr">
        <is>
          <t>NEFT - Mishra Mart (inv 1107)</t>
        </is>
      </c>
      <c r="C18" s="6" t="inlineStr">
        <is>
          <t>UTR736814</t>
        </is>
      </c>
      <c r="D18" s="7" t="n">
        <v>0</v>
      </c>
      <c r="E18" s="7" t="n">
        <v>31050</v>
      </c>
      <c r="F18" s="7">
        <f>F17+E18-D18</f>
        <v/>
      </c>
    </row>
    <row r="19">
      <c r="A19" s="5" t="n">
        <v>46298</v>
      </c>
      <c r="B19" s="6" t="inlineStr">
        <is>
          <t>RTGS - Patel Daily Needs (inv 1157)</t>
        </is>
      </c>
      <c r="C19" s="6" t="inlineStr">
        <is>
          <t>UTR908729</t>
        </is>
      </c>
      <c r="D19" s="7" t="n">
        <v>0</v>
      </c>
      <c r="E19" s="7" t="n">
        <v>88000</v>
      </c>
      <c r="F19" s="7">
        <f>F18+E19-D19</f>
        <v/>
      </c>
    </row>
    <row r="20">
      <c r="A20" s="5" t="n">
        <v>46298</v>
      </c>
      <c r="B20" s="6" t="inlineStr">
        <is>
          <t>Telephone/internet</t>
        </is>
      </c>
      <c r="C20" s="6" t="inlineStr">
        <is>
          <t>UTR699828</t>
        </is>
      </c>
      <c r="D20" s="7" t="n">
        <v>16500</v>
      </c>
      <c r="E20" s="7" t="n">
        <v>0</v>
      </c>
      <c r="F20" s="7">
        <f>F19+E20-D20</f>
        <v/>
      </c>
    </row>
    <row r="21">
      <c r="A21" s="5" t="n">
        <v>46298</v>
      </c>
      <c r="B21" s="6" t="inlineStr">
        <is>
          <t>UPI - Verma Traders (inv 1160)</t>
        </is>
      </c>
      <c r="C21" s="6" t="inlineStr">
        <is>
          <t>UTR601549</t>
        </is>
      </c>
      <c r="D21" s="7" t="n">
        <v>0</v>
      </c>
      <c r="E21" s="7" t="n">
        <v>53057</v>
      </c>
      <c r="F21" s="7">
        <f>F20+E21-D21</f>
        <v/>
      </c>
    </row>
    <row r="22">
      <c r="A22" s="5" t="n">
        <v>46298</v>
      </c>
      <c r="B22" s="6" t="inlineStr">
        <is>
          <t>cheque - Jain Super Bazaar (inv 1068)</t>
        </is>
      </c>
      <c r="C22" s="6" t="inlineStr">
        <is>
          <t>UTR141301</t>
        </is>
      </c>
      <c r="D22" s="7" t="n">
        <v>0</v>
      </c>
      <c r="E22" s="7" t="n">
        <v>74000</v>
      </c>
      <c r="F22" s="7">
        <f>F21+E22-D22</f>
        <v/>
      </c>
    </row>
    <row r="23">
      <c r="A23" s="5" t="n">
        <v>46298</v>
      </c>
      <c r="B23" s="6" t="inlineStr">
        <is>
          <t>cheque - Patel Daily Needs (inv 1053)</t>
        </is>
      </c>
      <c r="C23" s="6" t="inlineStr">
        <is>
          <t>UTR878833</t>
        </is>
      </c>
      <c r="D23" s="7" t="n">
        <v>0</v>
      </c>
      <c r="E23" s="7" t="n">
        <v>36050</v>
      </c>
      <c r="F23" s="7">
        <f>F22+E23-D23</f>
        <v/>
      </c>
    </row>
    <row r="24">
      <c r="A24" s="5" t="n">
        <v>46299</v>
      </c>
      <c r="B24" s="6" t="inlineStr">
        <is>
          <t>NEFT - Dhillon FMCG (PO 616)</t>
        </is>
      </c>
      <c r="C24" s="6" t="inlineStr">
        <is>
          <t>UTR468539</t>
        </is>
      </c>
      <c r="D24" s="7" t="n">
        <v>66250</v>
      </c>
      <c r="E24" s="7" t="n">
        <v>0</v>
      </c>
      <c r="F24" s="7">
        <f>F23+E24-D24</f>
        <v/>
      </c>
    </row>
    <row r="25">
      <c r="A25" s="5" t="n">
        <v>46299</v>
      </c>
      <c r="B25" s="6" t="inlineStr">
        <is>
          <t>RTGS - Khan Departmental (inv 1097)</t>
        </is>
      </c>
      <c r="C25" s="6" t="inlineStr">
        <is>
          <t>UTR671059</t>
        </is>
      </c>
      <c r="D25" s="7" t="n">
        <v>0</v>
      </c>
      <c r="E25" s="7" t="n">
        <v>42000</v>
      </c>
      <c r="F25" s="7">
        <f>F24+E25-D25</f>
        <v/>
      </c>
    </row>
    <row r="26">
      <c r="A26" s="5" t="n">
        <v>46299</v>
      </c>
      <c r="B26" s="6" t="inlineStr">
        <is>
          <t>UPI - Sharma Retail Store (inv 1111)</t>
        </is>
      </c>
      <c r="C26" s="6" t="inlineStr">
        <is>
          <t>UTR413965</t>
        </is>
      </c>
      <c r="D26" s="7" t="n">
        <v>0</v>
      </c>
      <c r="E26" s="7" t="n">
        <v>21500</v>
      </c>
      <c r="F26" s="7">
        <f>F25+E26-D26</f>
        <v/>
      </c>
    </row>
    <row r="27">
      <c r="A27" s="5" t="n">
        <v>46299</v>
      </c>
      <c r="B27" s="6" t="inlineStr">
        <is>
          <t>UPI - retail counter sales 16-Oct</t>
        </is>
      </c>
      <c r="C27" s="6" t="inlineStr">
        <is>
          <t>UTR481678</t>
        </is>
      </c>
      <c r="D27" s="7" t="n">
        <v>0</v>
      </c>
      <c r="E27" s="7" t="n">
        <v>2772</v>
      </c>
      <c r="F27" s="7">
        <f>F26+E27-D27</f>
        <v/>
      </c>
    </row>
    <row r="28">
      <c r="A28" s="5" t="n">
        <v>46299</v>
      </c>
      <c r="B28" s="6" t="inlineStr">
        <is>
          <t>cheque - Yadav Provision Store (inv 1046)</t>
        </is>
      </c>
      <c r="C28" s="6" t="inlineStr">
        <is>
          <t>UTR696823</t>
        </is>
      </c>
      <c r="D28" s="7" t="n">
        <v>0</v>
      </c>
      <c r="E28" s="7" t="n">
        <v>32000</v>
      </c>
      <c r="F28" s="7">
        <f>F27+E28-D28</f>
        <v/>
      </c>
    </row>
    <row r="29">
      <c r="A29" s="5" t="n">
        <v>46300</v>
      </c>
      <c r="B29" s="6" t="inlineStr">
        <is>
          <t>Audit fee advance</t>
        </is>
      </c>
      <c r="C29" s="6" t="inlineStr">
        <is>
          <t>UTR785512</t>
        </is>
      </c>
      <c r="D29" s="7" t="n">
        <v>27000</v>
      </c>
      <c r="E29" s="7" t="n">
        <v>0</v>
      </c>
      <c r="F29" s="7">
        <f>F28+E29-D29</f>
        <v/>
      </c>
    </row>
    <row r="30">
      <c r="A30" s="5" t="n">
        <v>46300</v>
      </c>
      <c r="B30" s="6" t="inlineStr">
        <is>
          <t>Godown rent - Oct</t>
        </is>
      </c>
      <c r="C30" s="6" t="inlineStr">
        <is>
          <t>UTR499676</t>
        </is>
      </c>
      <c r="D30" s="7" t="n">
        <v>44000</v>
      </c>
      <c r="E30" s="7" t="n">
        <v>0</v>
      </c>
      <c r="F30" s="7">
        <f>F29+E30-D30</f>
        <v/>
      </c>
    </row>
    <row r="31">
      <c r="A31" s="5" t="n">
        <v>46300</v>
      </c>
      <c r="B31" s="6" t="inlineStr">
        <is>
          <t>NEFT - Bansal Agro Products (PO 580)</t>
        </is>
      </c>
      <c r="C31" s="6" t="inlineStr">
        <is>
          <t>UTR695356</t>
        </is>
      </c>
      <c r="D31" s="7" t="n">
        <v>57000</v>
      </c>
      <c r="E31" s="7" t="n">
        <v>0</v>
      </c>
      <c r="F31" s="7">
        <f>F30+E31-D31</f>
        <v/>
      </c>
    </row>
    <row r="32">
      <c r="A32" s="5" t="n">
        <v>46300</v>
      </c>
      <c r="B32" s="6" t="inlineStr">
        <is>
          <t>NEFT salary - staff batch 4 Oct</t>
        </is>
      </c>
      <c r="C32" s="6" t="inlineStr">
        <is>
          <t>UTR139539</t>
        </is>
      </c>
      <c r="D32" s="7" t="n">
        <v>136000</v>
      </c>
      <c r="E32" s="7" t="n">
        <v>0</v>
      </c>
      <c r="F32" s="7">
        <f>F31+E32-D32</f>
        <v/>
      </c>
    </row>
    <row r="33">
      <c r="A33" s="5" t="n">
        <v>46301</v>
      </c>
      <c r="B33" s="6" t="inlineStr">
        <is>
          <t>Godown rent - Oct</t>
        </is>
      </c>
      <c r="C33" s="6" t="inlineStr">
        <is>
          <t>UTR210829</t>
        </is>
      </c>
      <c r="D33" s="7" t="n">
        <v>25000</v>
      </c>
      <c r="E33" s="7" t="n">
        <v>0</v>
      </c>
      <c r="F33" s="7">
        <f>F32+E33-D33</f>
        <v/>
      </c>
    </row>
    <row r="34">
      <c r="A34" s="5" t="n">
        <v>46301</v>
      </c>
      <c r="B34" s="6" t="inlineStr">
        <is>
          <t>NEFT - Eagle Beverages (PO 550)</t>
        </is>
      </c>
      <c r="C34" s="6" t="inlineStr">
        <is>
          <t>UTR754641</t>
        </is>
      </c>
      <c r="D34" s="7" t="n">
        <v>89000</v>
      </c>
      <c r="E34" s="7" t="n">
        <v>0</v>
      </c>
      <c r="F34" s="7">
        <f>F33+E34-D34</f>
        <v/>
      </c>
    </row>
    <row r="35">
      <c r="A35" s="5" t="n">
        <v>46301</v>
      </c>
      <c r="B35" s="6" t="inlineStr">
        <is>
          <t>NEFT - Gupta General Store (inv 1081)</t>
        </is>
      </c>
      <c r="C35" s="6" t="inlineStr">
        <is>
          <t>UTR487628</t>
        </is>
      </c>
      <c r="D35" s="7" t="n">
        <v>0</v>
      </c>
      <c r="E35" s="7" t="n">
        <v>34050</v>
      </c>
      <c r="F35" s="7">
        <f>F34+E35-D35</f>
        <v/>
      </c>
    </row>
    <row r="36">
      <c r="A36" s="5" t="n">
        <v>46301</v>
      </c>
      <c r="B36" s="6" t="inlineStr">
        <is>
          <t>NEFT - Patel Daily Needs (inv 1114)</t>
        </is>
      </c>
      <c r="C36" s="6" t="inlineStr">
        <is>
          <t>UTR890356</t>
        </is>
      </c>
      <c r="D36" s="7" t="n">
        <v>0</v>
      </c>
      <c r="E36" s="7" t="n">
        <v>80507</v>
      </c>
      <c r="F36" s="7">
        <f>F35+E36-D36</f>
        <v/>
      </c>
    </row>
    <row r="37">
      <c r="A37" s="5" t="n">
        <v>46301</v>
      </c>
      <c r="B37" s="6" t="inlineStr">
        <is>
          <t>NEFT salary - staff batch 3 Oct</t>
        </is>
      </c>
      <c r="C37" s="6" t="inlineStr">
        <is>
          <t>UTR258063</t>
        </is>
      </c>
      <c r="D37" s="7" t="n">
        <v>90000</v>
      </c>
      <c r="E37" s="7" t="n">
        <v>0</v>
      </c>
      <c r="F37" s="7">
        <f>F36+E37-D37</f>
        <v/>
      </c>
    </row>
    <row r="38">
      <c r="A38" s="5" t="n">
        <v>46301</v>
      </c>
      <c r="B38" s="6" t="inlineStr">
        <is>
          <t>RTGS - Mishra Mart (inv 1110)</t>
        </is>
      </c>
      <c r="C38" s="6" t="inlineStr">
        <is>
          <t>UTR363146</t>
        </is>
      </c>
      <c r="D38" s="7" t="n">
        <v>0</v>
      </c>
      <c r="E38" s="7" t="n">
        <v>53050</v>
      </c>
      <c r="F38" s="7">
        <f>F37+E38-D38</f>
        <v/>
      </c>
    </row>
    <row r="39">
      <c r="A39" s="5" t="n">
        <v>46302</v>
      </c>
      <c r="B39" s="6" t="inlineStr">
        <is>
          <t>Insurance premium</t>
        </is>
      </c>
      <c r="C39" s="6" t="inlineStr">
        <is>
          <t>UTR630539</t>
        </is>
      </c>
      <c r="D39" s="7" t="n">
        <v>38000</v>
      </c>
      <c r="E39" s="7" t="n">
        <v>0</v>
      </c>
      <c r="F39" s="7">
        <f>F38+E39-D39</f>
        <v/>
      </c>
    </row>
    <row r="40">
      <c r="A40" s="5" t="n">
        <v>46302</v>
      </c>
      <c r="B40" s="6" t="inlineStr">
        <is>
          <t>NEFT - Bansal Agro Products (PO 512)</t>
        </is>
      </c>
      <c r="C40" s="6" t="inlineStr">
        <is>
          <t>UTR174195</t>
        </is>
      </c>
      <c r="D40" s="7" t="n">
        <v>43250</v>
      </c>
      <c r="E40" s="7" t="n">
        <v>0</v>
      </c>
      <c r="F40" s="7">
        <f>F39+E40-D40</f>
        <v/>
      </c>
    </row>
    <row r="41">
      <c r="A41" s="5" t="n">
        <v>46302</v>
      </c>
      <c r="B41" s="6" t="inlineStr">
        <is>
          <t>NEFT - Bansal Agro Products (PO 553)</t>
        </is>
      </c>
      <c r="C41" s="6" t="inlineStr">
        <is>
          <t>UTR182734</t>
        </is>
      </c>
      <c r="D41" s="7" t="n">
        <v>70000</v>
      </c>
      <c r="E41" s="7" t="n">
        <v>0</v>
      </c>
      <c r="F41" s="7">
        <f>F40+E41-D41</f>
        <v/>
      </c>
    </row>
    <row r="42">
      <c r="A42" s="5" t="n">
        <v>46302</v>
      </c>
      <c r="B42" s="6" t="inlineStr">
        <is>
          <t>NEFT - Dhillon FMCG (PO 606)</t>
        </is>
      </c>
      <c r="C42" s="6" t="inlineStr">
        <is>
          <t>UTR135441</t>
        </is>
      </c>
      <c r="D42" s="7" t="n">
        <v>31250</v>
      </c>
      <c r="E42" s="7" t="n">
        <v>0</v>
      </c>
      <c r="F42" s="7">
        <f>F41+E42-D42</f>
        <v/>
      </c>
    </row>
    <row r="43">
      <c r="A43" s="5" t="n">
        <v>46302</v>
      </c>
      <c r="B43" s="6" t="inlineStr">
        <is>
          <t>NEFT salary - staff batch 2 Oct</t>
        </is>
      </c>
      <c r="C43" s="6" t="inlineStr">
        <is>
          <t>UTR631950</t>
        </is>
      </c>
      <c r="D43" s="7" t="n">
        <v>111000</v>
      </c>
      <c r="E43" s="7" t="n">
        <v>0</v>
      </c>
      <c r="F43" s="7">
        <f>F42+E43-D43</f>
        <v/>
      </c>
    </row>
    <row r="44">
      <c r="A44" s="5" t="n">
        <v>46303</v>
      </c>
      <c r="B44" s="6" t="inlineStr">
        <is>
          <t>NEFT - Agrawal Foods Ltd (PO 590)</t>
        </is>
      </c>
      <c r="C44" s="6" t="inlineStr">
        <is>
          <t>UTR708424</t>
        </is>
      </c>
      <c r="D44" s="7" t="n">
        <v>72000</v>
      </c>
      <c r="E44" s="7" t="n">
        <v>0</v>
      </c>
      <c r="F44" s="7">
        <f>F43+E44-D44</f>
        <v/>
      </c>
    </row>
    <row r="45">
      <c r="A45" s="5" t="n">
        <v>46303</v>
      </c>
      <c r="B45" s="6" t="inlineStr">
        <is>
          <t>NEFT - Agrawal Foods Ltd (PO 626)</t>
        </is>
      </c>
      <c r="C45" s="6" t="inlineStr">
        <is>
          <t>UTR656805</t>
        </is>
      </c>
      <c r="D45" s="7" t="n">
        <v>76250</v>
      </c>
      <c r="E45" s="7" t="n">
        <v>0</v>
      </c>
      <c r="F45" s="7">
        <f>F44+E45-D45</f>
        <v/>
      </c>
    </row>
    <row r="46">
      <c r="A46" s="5" t="n">
        <v>46303</v>
      </c>
      <c r="B46" s="6" t="inlineStr">
        <is>
          <t>NEFT salary - staff batch 1 Oct</t>
        </is>
      </c>
      <c r="C46" s="6" t="inlineStr">
        <is>
          <t>UTR971131</t>
        </is>
      </c>
      <c r="D46" s="7" t="n">
        <v>121000</v>
      </c>
      <c r="E46" s="7" t="n">
        <v>0</v>
      </c>
      <c r="F46" s="7">
        <f>F45+E46-D46</f>
        <v/>
      </c>
    </row>
    <row r="47">
      <c r="A47" s="5" t="n">
        <v>46303</v>
      </c>
      <c r="B47" s="6" t="inlineStr">
        <is>
          <t>TDS deposit Q2</t>
        </is>
      </c>
      <c r="C47" s="6" t="inlineStr">
        <is>
          <t>UTR366894</t>
        </is>
      </c>
      <c r="D47" s="7" t="n">
        <v>23780</v>
      </c>
      <c r="E47" s="7" t="n">
        <v>0</v>
      </c>
      <c r="F47" s="7">
        <f>F46+E47-D47</f>
        <v/>
      </c>
    </row>
    <row r="48">
      <c r="A48" s="5" t="n">
        <v>46303</v>
      </c>
      <c r="B48" s="6" t="inlineStr">
        <is>
          <t>UPI - retail counter sales 4-Oct</t>
        </is>
      </c>
      <c r="C48" s="6" t="inlineStr">
        <is>
          <t>UTR261219</t>
        </is>
      </c>
      <c r="D48" s="7" t="n">
        <v>0</v>
      </c>
      <c r="E48" s="7" t="n">
        <v>2633</v>
      </c>
      <c r="F48" s="7">
        <f>F47+E48-D48</f>
        <v/>
      </c>
    </row>
    <row r="49">
      <c r="A49" s="5" t="n">
        <v>46303</v>
      </c>
      <c r="B49" s="6" t="inlineStr">
        <is>
          <t>cheque - Mishra Mart (inv 1033)</t>
        </is>
      </c>
      <c r="C49" s="6" t="inlineStr">
        <is>
          <t>UTR103067</t>
        </is>
      </c>
      <c r="D49" s="7" t="n">
        <v>0</v>
      </c>
      <c r="E49" s="7" t="n">
        <v>44000</v>
      </c>
      <c r="F49" s="7">
        <f>F48+E49-D49</f>
        <v/>
      </c>
    </row>
    <row r="50">
      <c r="A50" s="5" t="n">
        <v>46303</v>
      </c>
      <c r="B50" s="6" t="inlineStr">
        <is>
          <t>cheque - Singh Kirana (inv 1100)</t>
        </is>
      </c>
      <c r="C50" s="6" t="inlineStr">
        <is>
          <t>UTR363762</t>
        </is>
      </c>
      <c r="D50" s="7" t="n">
        <v>0</v>
      </c>
      <c r="E50" s="7" t="n">
        <v>92500</v>
      </c>
      <c r="F50" s="7">
        <f>F49+E50-D50</f>
        <v/>
      </c>
    </row>
    <row r="51">
      <c r="A51" s="5" t="n">
        <v>46304</v>
      </c>
      <c r="B51" s="6" t="inlineStr">
        <is>
          <t>NEFT - Agrawal Foods Ltd (PO 592)</t>
        </is>
      </c>
      <c r="C51" s="6" t="inlineStr">
        <is>
          <t>UTR947792</t>
        </is>
      </c>
      <c r="D51" s="7" t="n">
        <v>17000</v>
      </c>
      <c r="E51" s="7" t="n">
        <v>0</v>
      </c>
      <c r="F51" s="7">
        <f>F50+E51-D51</f>
        <v/>
      </c>
    </row>
    <row r="52">
      <c r="A52" s="5" t="n">
        <v>46304</v>
      </c>
      <c r="B52" s="6" t="inlineStr">
        <is>
          <t>NEFT - Bansal Agro Products (PO 544)</t>
        </is>
      </c>
      <c r="C52" s="6" t="inlineStr">
        <is>
          <t>UTR249994</t>
        </is>
      </c>
      <c r="D52" s="7" t="n">
        <v>130250</v>
      </c>
      <c r="E52" s="7" t="n">
        <v>0</v>
      </c>
      <c r="F52" s="7">
        <f>F51+E52-D52</f>
        <v/>
      </c>
    </row>
    <row r="53">
      <c r="A53" s="5" t="n">
        <v>46304</v>
      </c>
      <c r="B53" s="6" t="inlineStr">
        <is>
          <t>NEFT - Bansal Agro Products (PO 576)</t>
        </is>
      </c>
      <c r="C53" s="6" t="inlineStr">
        <is>
          <t>UTR522789</t>
        </is>
      </c>
      <c r="D53" s="7" t="n">
        <v>93000</v>
      </c>
      <c r="E53" s="7" t="n">
        <v>0</v>
      </c>
      <c r="F53" s="7">
        <f>F52+E53-D53</f>
        <v/>
      </c>
    </row>
    <row r="54">
      <c r="A54" s="5" t="n">
        <v>46304</v>
      </c>
      <c r="B54" s="6" t="inlineStr">
        <is>
          <t>NEFT - Chawla Distributors (PO 538)</t>
        </is>
      </c>
      <c r="C54" s="6" t="inlineStr">
        <is>
          <t>UTR414361</t>
        </is>
      </c>
      <c r="D54" s="7" t="n">
        <v>118000</v>
      </c>
      <c r="E54" s="7" t="n">
        <v>0</v>
      </c>
      <c r="F54" s="7">
        <f>F53+E54-D54</f>
        <v/>
      </c>
    </row>
    <row r="55">
      <c r="A55" s="5" t="n">
        <v>46304</v>
      </c>
      <c r="B55" s="6" t="inlineStr">
        <is>
          <t>UPI - retail counter sales 12-Oct</t>
        </is>
      </c>
      <c r="C55" s="6" t="inlineStr">
        <is>
          <t>UTR717319</t>
        </is>
      </c>
      <c r="D55" s="7" t="n">
        <v>0</v>
      </c>
      <c r="E55" s="7" t="n">
        <v>3662</v>
      </c>
      <c r="F55" s="7">
        <f>F54+E55-D55</f>
        <v/>
      </c>
    </row>
    <row r="56">
      <c r="A56" s="5" t="n">
        <v>46304</v>
      </c>
      <c r="B56" s="6" t="inlineStr">
        <is>
          <t>cheque - Gupta General Store (inv 1060)</t>
        </is>
      </c>
      <c r="C56" s="6" t="inlineStr">
        <is>
          <t>UTR522951</t>
        </is>
      </c>
      <c r="D56" s="7" t="n">
        <v>0</v>
      </c>
      <c r="E56" s="7" t="n">
        <v>85000</v>
      </c>
      <c r="F56" s="7">
        <f>F55+E56-D56</f>
        <v/>
      </c>
    </row>
    <row r="57">
      <c r="A57" s="5" t="n">
        <v>46305</v>
      </c>
      <c r="B57" s="6" t="inlineStr">
        <is>
          <t>Insurance premium</t>
        </is>
      </c>
      <c r="C57" s="6" t="inlineStr">
        <is>
          <t>UTR280474</t>
        </is>
      </c>
      <c r="D57" s="7" t="n">
        <v>14500</v>
      </c>
      <c r="E57" s="7" t="n">
        <v>0</v>
      </c>
      <c r="F57" s="7">
        <f>F56+E57-D57</f>
        <v/>
      </c>
    </row>
    <row r="58">
      <c r="A58" s="5" t="n">
        <v>46305</v>
      </c>
      <c r="B58" s="6" t="inlineStr">
        <is>
          <t>NEFT - Agrawal Foods Ltd (PO 511)</t>
        </is>
      </c>
      <c r="C58" s="6" t="inlineStr">
        <is>
          <t>UTR298774</t>
        </is>
      </c>
      <c r="D58" s="7" t="n">
        <v>152250</v>
      </c>
      <c r="E58" s="7" t="n">
        <v>0</v>
      </c>
      <c r="F58" s="7">
        <f>F57+E58-D58</f>
        <v/>
      </c>
    </row>
    <row r="59">
      <c r="A59" s="5" t="n">
        <v>46305</v>
      </c>
      <c r="B59" s="6" t="inlineStr">
        <is>
          <t>UPI - retail counter sales 18-Oct</t>
        </is>
      </c>
      <c r="C59" s="6" t="inlineStr">
        <is>
          <t>UTR894277</t>
        </is>
      </c>
      <c r="D59" s="7" t="n">
        <v>0</v>
      </c>
      <c r="E59" s="7" t="n">
        <v>7110</v>
      </c>
      <c r="F59" s="7">
        <f>F58+E59-D59</f>
        <v/>
      </c>
    </row>
    <row r="60">
      <c r="A60" s="5" t="n">
        <v>46306</v>
      </c>
      <c r="B60" s="6" t="inlineStr">
        <is>
          <t>NEFT - Agrawal Foods Ltd (PO 570)</t>
        </is>
      </c>
      <c r="C60" s="6" t="inlineStr">
        <is>
          <t>UTR169486</t>
        </is>
      </c>
      <c r="D60" s="7" t="n">
        <v>138000</v>
      </c>
      <c r="E60" s="7" t="n">
        <v>0</v>
      </c>
      <c r="F60" s="7">
        <f>F59+E60-D60</f>
        <v/>
      </c>
    </row>
    <row r="61">
      <c r="A61" s="5" t="n">
        <v>46306</v>
      </c>
      <c r="B61" s="6" t="inlineStr">
        <is>
          <t>NEFT - Eagle Beverages (PO 519)</t>
        </is>
      </c>
      <c r="C61" s="6" t="inlineStr">
        <is>
          <t>UTR102431</t>
        </is>
      </c>
      <c r="D61" s="7" t="n">
        <v>174000</v>
      </c>
      <c r="E61" s="7" t="n">
        <v>0</v>
      </c>
      <c r="F61" s="7">
        <f>F60+E61-D61</f>
        <v/>
      </c>
    </row>
    <row r="62">
      <c r="A62" s="5" t="n">
        <v>46306</v>
      </c>
      <c r="B62" s="6" t="inlineStr">
        <is>
          <t>NEFT - FreshFarms Coop (PO 520)</t>
        </is>
      </c>
      <c r="C62" s="6" t="inlineStr">
        <is>
          <t>UTR701918</t>
        </is>
      </c>
      <c r="D62" s="7" t="n">
        <v>160000</v>
      </c>
      <c r="E62" s="7" t="n">
        <v>0</v>
      </c>
      <c r="F62" s="7">
        <f>F61+E62-D62</f>
        <v/>
      </c>
    </row>
    <row r="63">
      <c r="A63" s="5" t="n">
        <v>46306</v>
      </c>
      <c r="B63" s="6" t="inlineStr">
        <is>
          <t>RTGS - Patel Daily Needs (inv 1122)</t>
        </is>
      </c>
      <c r="C63" s="6" t="inlineStr">
        <is>
          <t>UTR672411</t>
        </is>
      </c>
      <c r="D63" s="7" t="n">
        <v>0</v>
      </c>
      <c r="E63" s="7" t="n">
        <v>62050</v>
      </c>
      <c r="F63" s="7">
        <f>F62+E63-D63</f>
        <v/>
      </c>
    </row>
    <row r="64">
      <c r="A64" s="5" t="n">
        <v>46306</v>
      </c>
      <c r="B64" s="6" t="inlineStr">
        <is>
          <t>UPI - Jain Super Bazaar (inv 1053)</t>
        </is>
      </c>
      <c r="C64" s="6" t="inlineStr">
        <is>
          <t>UTR788896</t>
        </is>
      </c>
      <c r="D64" s="7" t="n">
        <v>0</v>
      </c>
      <c r="E64" s="7" t="n">
        <v>38050</v>
      </c>
      <c r="F64" s="7">
        <f>F63+E64-D64</f>
        <v/>
      </c>
    </row>
    <row r="65">
      <c r="A65" s="5" t="n">
        <v>46306</v>
      </c>
      <c r="B65" s="6" t="inlineStr">
        <is>
          <t>UPI - retail counter sales 2-Oct</t>
        </is>
      </c>
      <c r="C65" s="6" t="inlineStr">
        <is>
          <t>UTR873017</t>
        </is>
      </c>
      <c r="D65" s="7" t="n">
        <v>0</v>
      </c>
      <c r="E65" s="7" t="n">
        <v>1929</v>
      </c>
      <c r="F65" s="7">
        <f>F64+E65-D65</f>
        <v/>
      </c>
    </row>
    <row r="66">
      <c r="A66" s="5" t="n">
        <v>46306</v>
      </c>
      <c r="B66" s="6" t="inlineStr">
        <is>
          <t>UPI - retail counter sales 3-Oct</t>
        </is>
      </c>
      <c r="C66" s="6" t="inlineStr">
        <is>
          <t>UTR156693</t>
        </is>
      </c>
      <c r="D66" s="7" t="n">
        <v>0</v>
      </c>
      <c r="E66" s="7" t="n">
        <v>2986</v>
      </c>
      <c r="F66" s="7">
        <f>F65+E66-D66</f>
        <v/>
      </c>
    </row>
    <row r="67">
      <c r="A67" s="5" t="n">
        <v>46307</v>
      </c>
      <c r="B67" s="6" t="inlineStr">
        <is>
          <t>NEFT - Jain Super Bazaar (inv 1070)</t>
        </is>
      </c>
      <c r="C67" s="6" t="inlineStr">
        <is>
          <t>UTR876132</t>
        </is>
      </c>
      <c r="D67" s="7" t="n">
        <v>0</v>
      </c>
      <c r="E67" s="7" t="n">
        <v>15000</v>
      </c>
      <c r="F67" s="7">
        <f>F66+E67-D67</f>
        <v/>
      </c>
    </row>
    <row r="68">
      <c r="A68" s="5" t="n">
        <v>46307</v>
      </c>
      <c r="B68" s="6" t="inlineStr">
        <is>
          <t>UPI - Verma Traders (inv 1153)</t>
        </is>
      </c>
      <c r="C68" s="6" t="inlineStr">
        <is>
          <t>UTR590921</t>
        </is>
      </c>
      <c r="D68" s="7" t="n">
        <v>0</v>
      </c>
      <c r="E68" s="7" t="n">
        <v>74500</v>
      </c>
      <c r="F68" s="7">
        <f>F67+E68-D68</f>
        <v/>
      </c>
    </row>
    <row r="69">
      <c r="A69" s="5" t="n">
        <v>46307</v>
      </c>
      <c r="B69" s="6" t="inlineStr">
        <is>
          <t>UPI - retail counter sales 11-Oct</t>
        </is>
      </c>
      <c r="C69" s="6" t="inlineStr">
        <is>
          <t>UTR194138</t>
        </is>
      </c>
      <c r="D69" s="7" t="n">
        <v>0</v>
      </c>
      <c r="E69" s="7" t="n">
        <v>7073</v>
      </c>
      <c r="F69" s="7">
        <f>F68+E69-D69</f>
        <v/>
      </c>
    </row>
    <row r="70">
      <c r="A70" s="5" t="n">
        <v>46307</v>
      </c>
      <c r="B70" s="6" t="inlineStr">
        <is>
          <t>UPI - retail counter sales 21-Oct</t>
        </is>
      </c>
      <c r="C70" s="6" t="inlineStr">
        <is>
          <t>UTR264012</t>
        </is>
      </c>
      <c r="D70" s="7" t="n">
        <v>0</v>
      </c>
      <c r="E70" s="7" t="n">
        <v>3700</v>
      </c>
      <c r="F70" s="7">
        <f>F69+E70-D70</f>
        <v/>
      </c>
    </row>
    <row r="71">
      <c r="A71" s="5" t="n">
        <v>46307</v>
      </c>
      <c r="B71" s="6" t="inlineStr">
        <is>
          <t>cheque - Verma Traders (inv 1169)</t>
        </is>
      </c>
      <c r="C71" s="6" t="inlineStr">
        <is>
          <t>UTR678261</t>
        </is>
      </c>
      <c r="D71" s="7" t="n">
        <v>0</v>
      </c>
      <c r="E71" s="7" t="n">
        <v>43500</v>
      </c>
      <c r="F71" s="7">
        <f>F70+E71-D71</f>
        <v/>
      </c>
    </row>
    <row r="72">
      <c r="A72" s="5" t="n">
        <v>46308</v>
      </c>
      <c r="B72" s="6" t="inlineStr">
        <is>
          <t>NEFT - Dhillon FMCG (PO 631)</t>
        </is>
      </c>
      <c r="C72" s="6" t="inlineStr">
        <is>
          <t>UTR348413</t>
        </is>
      </c>
      <c r="D72" s="7" t="n">
        <v>49007</v>
      </c>
      <c r="E72" s="7" t="n">
        <v>0</v>
      </c>
      <c r="F72" s="7">
        <f>F71+E72-D72</f>
        <v/>
      </c>
    </row>
    <row r="73">
      <c r="A73" s="5" t="n">
        <v>46308</v>
      </c>
      <c r="B73" s="6" t="inlineStr">
        <is>
          <t>NEFT - FreshFarms Coop (PO 522)</t>
        </is>
      </c>
      <c r="C73" s="6" t="inlineStr">
        <is>
          <t>UTR196512</t>
        </is>
      </c>
      <c r="D73" s="7" t="n">
        <v>65000</v>
      </c>
      <c r="E73" s="7" t="n">
        <v>0</v>
      </c>
      <c r="F73" s="7">
        <f>F72+E73-D73</f>
        <v/>
      </c>
    </row>
    <row r="74">
      <c r="A74" s="5" t="n">
        <v>46308</v>
      </c>
      <c r="B74" s="6" t="inlineStr">
        <is>
          <t>NEFT - Kumar &amp; Sons (inv 1036)</t>
        </is>
      </c>
      <c r="C74" s="6" t="inlineStr">
        <is>
          <t>UTR371906</t>
        </is>
      </c>
      <c r="D74" s="7" t="n">
        <v>0</v>
      </c>
      <c r="E74" s="7" t="n">
        <v>26000</v>
      </c>
      <c r="F74" s="7">
        <f>F73+E74-D74</f>
        <v/>
      </c>
    </row>
    <row r="75">
      <c r="A75" s="5" t="n">
        <v>46308</v>
      </c>
      <c r="B75" s="6" t="inlineStr">
        <is>
          <t>NEFT - Patel Daily Needs (inv 1051)</t>
        </is>
      </c>
      <c r="C75" s="6" t="inlineStr">
        <is>
          <t>UTR104924</t>
        </is>
      </c>
      <c r="D75" s="7" t="n">
        <v>0</v>
      </c>
      <c r="E75" s="7" t="n">
        <v>45050</v>
      </c>
      <c r="F75" s="7">
        <f>F74+E75-D75</f>
        <v/>
      </c>
    </row>
    <row r="76">
      <c r="A76" s="5" t="n">
        <v>46308</v>
      </c>
      <c r="B76" s="6" t="inlineStr">
        <is>
          <t>NEFT - Sharma Retail Store (inv 1087)</t>
        </is>
      </c>
      <c r="C76" s="6" t="inlineStr">
        <is>
          <t>UTR790960</t>
        </is>
      </c>
      <c r="D76" s="7" t="n">
        <v>0</v>
      </c>
      <c r="E76" s="7" t="n">
        <v>52000</v>
      </c>
      <c r="F76" s="7">
        <f>F75+E76-D76</f>
        <v/>
      </c>
    </row>
    <row r="77">
      <c r="A77" s="5" t="n">
        <v>46308</v>
      </c>
      <c r="B77" s="6" t="inlineStr">
        <is>
          <t>UPI - retail counter sales 2-Oct</t>
        </is>
      </c>
      <c r="C77" s="6" t="inlineStr">
        <is>
          <t>UTR275228</t>
        </is>
      </c>
      <c r="D77" s="7" t="n">
        <v>0</v>
      </c>
      <c r="E77" s="7" t="n">
        <v>3955</v>
      </c>
      <c r="F77" s="7">
        <f>F76+E77-D77</f>
        <v/>
      </c>
    </row>
    <row r="78">
      <c r="A78" s="5" t="n">
        <v>46309</v>
      </c>
      <c r="B78" s="6" t="inlineStr">
        <is>
          <t>NEFT - Agrawal Foods Ltd (PO 599)</t>
        </is>
      </c>
      <c r="C78" s="6" t="inlineStr">
        <is>
          <t>UTR679126</t>
        </is>
      </c>
      <c r="D78" s="7" t="n">
        <v>104250</v>
      </c>
      <c r="E78" s="7" t="n">
        <v>0</v>
      </c>
      <c r="F78" s="7">
        <f>F77+E78-D78</f>
        <v/>
      </c>
    </row>
    <row r="79">
      <c r="A79" s="5" t="n">
        <v>46309</v>
      </c>
      <c r="B79" s="6" t="inlineStr">
        <is>
          <t>NEFT - Eagle Beverages (PO 536)</t>
        </is>
      </c>
      <c r="C79" s="6" t="inlineStr">
        <is>
          <t>UTR774281</t>
        </is>
      </c>
      <c r="D79" s="7" t="n">
        <v>140000</v>
      </c>
      <c r="E79" s="7" t="n">
        <v>0</v>
      </c>
      <c r="F79" s="7">
        <f>F78+E79-D79</f>
        <v/>
      </c>
    </row>
    <row r="80">
      <c r="A80" s="5" t="n">
        <v>46309</v>
      </c>
      <c r="B80" s="6" t="inlineStr">
        <is>
          <t>NEFT - Jain Super Bazaar (inv 1092)</t>
        </is>
      </c>
      <c r="C80" s="6" t="inlineStr">
        <is>
          <t>UTR864705</t>
        </is>
      </c>
      <c r="D80" s="7" t="n">
        <v>0</v>
      </c>
      <c r="E80" s="7" t="n">
        <v>57507</v>
      </c>
      <c r="F80" s="7">
        <f>F79+E80-D80</f>
        <v/>
      </c>
    </row>
    <row r="81">
      <c r="A81" s="5" t="n">
        <v>46309</v>
      </c>
      <c r="B81" s="6" t="inlineStr">
        <is>
          <t>NEFT - Mishra Mart (inv 1178)</t>
        </is>
      </c>
      <c r="C81" s="6" t="inlineStr">
        <is>
          <t>UTR579056</t>
        </is>
      </c>
      <c r="D81" s="7" t="n">
        <v>0</v>
      </c>
      <c r="E81" s="7" t="n">
        <v>30050</v>
      </c>
      <c r="F81" s="7">
        <f>F80+E81-D81</f>
        <v/>
      </c>
    </row>
    <row r="82">
      <c r="A82" s="5" t="n">
        <v>46310</v>
      </c>
      <c r="B82" s="6" t="inlineStr">
        <is>
          <t>NEFT - Agrawal Foods Ltd (PO 539)</t>
        </is>
      </c>
      <c r="C82" s="6" t="inlineStr">
        <is>
          <t>UTR995940</t>
        </is>
      </c>
      <c r="D82" s="7" t="n">
        <v>163257</v>
      </c>
      <c r="E82" s="7" t="n">
        <v>0</v>
      </c>
      <c r="F82" s="7">
        <f>F81+E82-D82</f>
        <v/>
      </c>
    </row>
    <row r="83">
      <c r="A83" s="5" t="n">
        <v>46310</v>
      </c>
      <c r="B83" s="6" t="inlineStr">
        <is>
          <t>NEFT - Singh Kirana (inv 1112)</t>
        </is>
      </c>
      <c r="C83" s="6" t="inlineStr">
        <is>
          <t>UTR582781</t>
        </is>
      </c>
      <c r="D83" s="7" t="n">
        <v>0</v>
      </c>
      <c r="E83" s="7" t="n">
        <v>42500</v>
      </c>
      <c r="F83" s="7">
        <f>F82+E83-D83</f>
        <v/>
      </c>
    </row>
    <row r="84">
      <c r="A84" s="5" t="n">
        <v>46310</v>
      </c>
      <c r="B84" s="6" t="inlineStr">
        <is>
          <t>UPI - retail counter sales 2-Oct</t>
        </is>
      </c>
      <c r="C84" s="6" t="inlineStr">
        <is>
          <t>UTR575745</t>
        </is>
      </c>
      <c r="D84" s="7" t="n">
        <v>0</v>
      </c>
      <c r="E84" s="7" t="n">
        <v>560</v>
      </c>
      <c r="F84" s="7">
        <f>F83+E84-D84</f>
        <v/>
      </c>
    </row>
    <row r="85">
      <c r="A85" s="5" t="n">
        <v>46310</v>
      </c>
      <c r="B85" s="6" t="inlineStr">
        <is>
          <t>UPI - retail counter sales 5-Oct</t>
        </is>
      </c>
      <c r="C85" s="6" t="inlineStr">
        <is>
          <t>UTR434006</t>
        </is>
      </c>
      <c r="D85" s="7" t="n">
        <v>0</v>
      </c>
      <c r="E85" s="7" t="n">
        <v>7945</v>
      </c>
      <c r="F85" s="7">
        <f>F84+E85-D85</f>
        <v/>
      </c>
    </row>
    <row r="86">
      <c r="A86" s="5" t="n">
        <v>46311</v>
      </c>
      <c r="B86" s="6" t="inlineStr">
        <is>
          <t>Audit fee advance</t>
        </is>
      </c>
      <c r="C86" s="6" t="inlineStr">
        <is>
          <t>UTR279449</t>
        </is>
      </c>
      <c r="D86" s="7" t="n">
        <v>20000</v>
      </c>
      <c r="E86" s="7" t="n">
        <v>0</v>
      </c>
      <c r="F86" s="7">
        <f>F85+E86-D86</f>
        <v/>
      </c>
    </row>
    <row r="87">
      <c r="A87" s="5" t="n">
        <v>46311</v>
      </c>
      <c r="B87" s="6" t="inlineStr">
        <is>
          <t>NEFT - Bansal Agro Products (PO 619)</t>
        </is>
      </c>
      <c r="C87" s="6" t="inlineStr">
        <is>
          <t>UTR382383</t>
        </is>
      </c>
      <c r="D87" s="7" t="n">
        <v>20250</v>
      </c>
      <c r="E87" s="7" t="n">
        <v>0</v>
      </c>
      <c r="F87" s="7">
        <f>F86+E87-D87</f>
        <v/>
      </c>
    </row>
    <row r="88">
      <c r="A88" s="5" t="n">
        <v>46311</v>
      </c>
      <c r="B88" s="6" t="inlineStr">
        <is>
          <t>NEFT - Bansal Agro Products (PO 627)</t>
        </is>
      </c>
      <c r="C88" s="6" t="inlineStr">
        <is>
          <t>UTR706406</t>
        </is>
      </c>
      <c r="D88" s="7" t="n">
        <v>49000</v>
      </c>
      <c r="E88" s="7" t="n">
        <v>0</v>
      </c>
      <c r="F88" s="7">
        <f>F87+E88-D88</f>
        <v/>
      </c>
    </row>
    <row r="89">
      <c r="A89" s="5" t="n">
        <v>46311</v>
      </c>
      <c r="B89" s="6" t="inlineStr">
        <is>
          <t>NEFT - Eagle Beverages (PO 602)</t>
        </is>
      </c>
      <c r="C89" s="6" t="inlineStr">
        <is>
          <t>UTR902411</t>
        </is>
      </c>
      <c r="D89" s="7" t="n">
        <v>163250</v>
      </c>
      <c r="E89" s="7" t="n">
        <v>0</v>
      </c>
      <c r="F89" s="7">
        <f>F88+E89-D89</f>
        <v/>
      </c>
    </row>
    <row r="90">
      <c r="A90" s="5" t="n">
        <v>46311</v>
      </c>
      <c r="B90" s="6" t="inlineStr">
        <is>
          <t>NEFT - FreshFarms Coop (PO 627)</t>
        </is>
      </c>
      <c r="C90" s="6" t="inlineStr">
        <is>
          <t>UTR953173</t>
        </is>
      </c>
      <c r="D90" s="7" t="n">
        <v>21000</v>
      </c>
      <c r="E90" s="7" t="n">
        <v>0</v>
      </c>
      <c r="F90" s="7">
        <f>F89+E90-D90</f>
        <v/>
      </c>
    </row>
    <row r="91">
      <c r="A91" s="5" t="n">
        <v>46311</v>
      </c>
      <c r="B91" s="6" t="inlineStr">
        <is>
          <t>NEFT - Jain Super Bazaar (inv 1145)</t>
        </is>
      </c>
      <c r="C91" s="6" t="inlineStr">
        <is>
          <t>UTR259681</t>
        </is>
      </c>
      <c r="D91" s="7" t="n">
        <v>0</v>
      </c>
      <c r="E91" s="7" t="n">
        <v>23500</v>
      </c>
      <c r="F91" s="7">
        <f>F90+E91-D91</f>
        <v/>
      </c>
    </row>
    <row r="92">
      <c r="A92" s="5" t="n">
        <v>46311</v>
      </c>
      <c r="B92" s="6" t="inlineStr">
        <is>
          <t>Staff welfare</t>
        </is>
      </c>
      <c r="C92" s="6" t="inlineStr">
        <is>
          <t>UTR694923</t>
        </is>
      </c>
      <c r="D92" s="7" t="n">
        <v>6500</v>
      </c>
      <c r="E92" s="7" t="n">
        <v>0</v>
      </c>
      <c r="F92" s="7">
        <f>F91+E92-D92</f>
        <v/>
      </c>
    </row>
    <row r="93">
      <c r="A93" s="5" t="n">
        <v>46311</v>
      </c>
      <c r="B93" s="6" t="inlineStr">
        <is>
          <t>UPI - Gupta General Store (inv 1110)</t>
        </is>
      </c>
      <c r="C93" s="6" t="inlineStr">
        <is>
          <t>UTR974219</t>
        </is>
      </c>
      <c r="D93" s="7" t="n">
        <v>0</v>
      </c>
      <c r="E93" s="7" t="n">
        <v>26500</v>
      </c>
      <c r="F93" s="7">
        <f>F92+E93-D93</f>
        <v/>
      </c>
    </row>
    <row r="94">
      <c r="A94" s="5" t="n">
        <v>46311</v>
      </c>
      <c r="B94" s="6" t="inlineStr">
        <is>
          <t>UPI - retail counter sales 8-Oct</t>
        </is>
      </c>
      <c r="C94" s="6" t="inlineStr">
        <is>
          <t>UTR624735</t>
        </is>
      </c>
      <c r="D94" s="7" t="n">
        <v>0</v>
      </c>
      <c r="E94" s="7" t="n">
        <v>524</v>
      </c>
      <c r="F94" s="7">
        <f>F93+E94-D94</f>
        <v/>
      </c>
    </row>
    <row r="95">
      <c r="A95" s="5" t="n">
        <v>46312</v>
      </c>
      <c r="B95" s="6" t="inlineStr">
        <is>
          <t>NEFT - Chawla Distributors (PO 639)</t>
        </is>
      </c>
      <c r="C95" s="6" t="inlineStr">
        <is>
          <t>UTR586194</t>
        </is>
      </c>
      <c r="D95" s="7" t="n">
        <v>168250</v>
      </c>
      <c r="E95" s="7" t="n">
        <v>0</v>
      </c>
      <c r="F95" s="7">
        <f>F94+E95-D95</f>
        <v/>
      </c>
    </row>
    <row r="96">
      <c r="A96" s="5" t="n">
        <v>46312</v>
      </c>
      <c r="B96" s="6" t="inlineStr">
        <is>
          <t>NEFT - Mishra Mart (inv 1059)</t>
        </is>
      </c>
      <c r="C96" s="6" t="inlineStr">
        <is>
          <t>UTR573332</t>
        </is>
      </c>
      <c r="D96" s="7" t="n">
        <v>0</v>
      </c>
      <c r="E96" s="7" t="n">
        <v>27500</v>
      </c>
      <c r="F96" s="7">
        <f>F95+E96-D96</f>
        <v/>
      </c>
    </row>
    <row r="97">
      <c r="A97" s="5" t="n">
        <v>46312</v>
      </c>
      <c r="B97" s="6" t="inlineStr">
        <is>
          <t>UPI - retail counter sales 10-Oct</t>
        </is>
      </c>
      <c r="C97" s="6" t="inlineStr">
        <is>
          <t>UTR517707</t>
        </is>
      </c>
      <c r="D97" s="7" t="n">
        <v>0</v>
      </c>
      <c r="E97" s="7" t="n">
        <v>1813</v>
      </c>
      <c r="F97" s="7">
        <f>F96+E97-D97</f>
        <v/>
      </c>
    </row>
    <row r="98">
      <c r="A98" s="5" t="n">
        <v>46312</v>
      </c>
      <c r="B98" s="6" t="inlineStr">
        <is>
          <t>UPI - retail counter sales 10-Oct</t>
        </is>
      </c>
      <c r="C98" s="6" t="inlineStr">
        <is>
          <t>UTR792825</t>
        </is>
      </c>
      <c r="D98" s="7" t="n">
        <v>0</v>
      </c>
      <c r="E98" s="7" t="n">
        <v>4124</v>
      </c>
      <c r="F98" s="7">
        <f>F97+E98-D98</f>
        <v/>
      </c>
    </row>
    <row r="99">
      <c r="A99" s="5" t="n">
        <v>46312</v>
      </c>
      <c r="B99" s="6" t="inlineStr">
        <is>
          <t>UPI - retail counter sales 19-Oct</t>
        </is>
      </c>
      <c r="C99" s="6" t="inlineStr">
        <is>
          <t>UTR401716</t>
        </is>
      </c>
      <c r="D99" s="7" t="n">
        <v>0</v>
      </c>
      <c r="E99" s="7" t="n">
        <v>3887</v>
      </c>
      <c r="F99" s="7">
        <f>F98+E99-D99</f>
        <v/>
      </c>
    </row>
    <row r="100">
      <c r="A100" s="5" t="n">
        <v>46313</v>
      </c>
      <c r="B100" s="6" t="inlineStr">
        <is>
          <t>GST payment - Sep 2026</t>
        </is>
      </c>
      <c r="C100" s="6" t="inlineStr">
        <is>
          <t>UTR648176</t>
        </is>
      </c>
      <c r="D100" s="7" t="n">
        <v>86450</v>
      </c>
      <c r="E100" s="7" t="n">
        <v>0</v>
      </c>
      <c r="F100" s="7">
        <f>F99+E100-D100</f>
        <v/>
      </c>
    </row>
    <row r="101">
      <c r="A101" s="5" t="n">
        <v>46313</v>
      </c>
      <c r="B101" s="6" t="inlineStr">
        <is>
          <t>NEFT - Agrawal Foods Ltd (PO 538)</t>
        </is>
      </c>
      <c r="C101" s="6" t="inlineStr">
        <is>
          <t>UTR930597</t>
        </is>
      </c>
      <c r="D101" s="7" t="n">
        <v>39250</v>
      </c>
      <c r="E101" s="7" t="n">
        <v>0</v>
      </c>
      <c r="F101" s="7">
        <f>F100+E101-D101</f>
        <v/>
      </c>
    </row>
    <row r="102">
      <c r="A102" s="5" t="n">
        <v>46313</v>
      </c>
      <c r="B102" s="6" t="inlineStr">
        <is>
          <t>NEFT - Dhillon FMCG (PO 601)</t>
        </is>
      </c>
      <c r="C102" s="6" t="inlineStr">
        <is>
          <t>UTR914503</t>
        </is>
      </c>
      <c r="D102" s="7" t="n">
        <v>72250</v>
      </c>
      <c r="E102" s="7" t="n">
        <v>0</v>
      </c>
      <c r="F102" s="7">
        <f>F101+E102-D102</f>
        <v/>
      </c>
    </row>
    <row r="103">
      <c r="A103" s="5" t="n">
        <v>46313</v>
      </c>
      <c r="B103" s="6" t="inlineStr">
        <is>
          <t>UPI - retail counter sales 19-Oct</t>
        </is>
      </c>
      <c r="C103" s="6" t="inlineStr">
        <is>
          <t>UTR542758</t>
        </is>
      </c>
      <c r="D103" s="7" t="n">
        <v>0</v>
      </c>
      <c r="E103" s="7" t="n">
        <v>4019</v>
      </c>
      <c r="F103" s="7">
        <f>F102+E103-D103</f>
        <v/>
      </c>
    </row>
    <row r="104">
      <c r="A104" s="5" t="n">
        <v>46313</v>
      </c>
      <c r="B104" s="6" t="inlineStr">
        <is>
          <t>UPI - retail counter sales 2-Oct</t>
        </is>
      </c>
      <c r="C104" s="6" t="inlineStr">
        <is>
          <t>UTR503979</t>
        </is>
      </c>
      <c r="D104" s="7" t="n">
        <v>0</v>
      </c>
      <c r="E104" s="7" t="n">
        <v>8788</v>
      </c>
      <c r="F104" s="7">
        <f>F103+E104-D104</f>
        <v/>
      </c>
    </row>
    <row r="105">
      <c r="A105" s="5" t="n">
        <v>46313</v>
      </c>
      <c r="B105" s="6" t="inlineStr">
        <is>
          <t>cheque - Yadav Provision Store (inv 1065)</t>
        </is>
      </c>
      <c r="C105" s="6" t="inlineStr">
        <is>
          <t>UTR924396</t>
        </is>
      </c>
      <c r="D105" s="7" t="n">
        <v>0</v>
      </c>
      <c r="E105" s="7" t="n">
        <v>79500</v>
      </c>
      <c r="F105" s="7">
        <f>F104+E105-D105</f>
        <v/>
      </c>
    </row>
    <row r="106">
      <c r="A106" s="5" t="n">
        <v>46314</v>
      </c>
      <c r="B106" s="6" t="inlineStr">
        <is>
          <t>NEFT - Bansal Agro Products (PO 515)</t>
        </is>
      </c>
      <c r="C106" s="6" t="inlineStr">
        <is>
          <t>UTR118621</t>
        </is>
      </c>
      <c r="D106" s="7" t="n">
        <v>141250</v>
      </c>
      <c r="E106" s="7" t="n">
        <v>0</v>
      </c>
      <c r="F106" s="7">
        <f>F105+E106-D106</f>
        <v/>
      </c>
    </row>
    <row r="107">
      <c r="A107" s="5" t="n">
        <v>46314</v>
      </c>
      <c r="B107" s="6" t="inlineStr">
        <is>
          <t>NEFT - Gupta General Store (inv 1130)</t>
        </is>
      </c>
      <c r="C107" s="6" t="inlineStr">
        <is>
          <t>UTR573079</t>
        </is>
      </c>
      <c r="D107" s="7" t="n">
        <v>0</v>
      </c>
      <c r="E107" s="7" t="n">
        <v>86000</v>
      </c>
      <c r="F107" s="7">
        <f>F106+E107-D107</f>
        <v/>
      </c>
    </row>
    <row r="108">
      <c r="A108" s="5" t="n">
        <v>46314</v>
      </c>
      <c r="B108" s="6" t="inlineStr">
        <is>
          <t>NEFT - Sharma Retail Store (inv 1169)</t>
        </is>
      </c>
      <c r="C108" s="6" t="inlineStr">
        <is>
          <t>UTR865578</t>
        </is>
      </c>
      <c r="D108" s="7" t="n">
        <v>0</v>
      </c>
      <c r="E108" s="7" t="n">
        <v>11050</v>
      </c>
      <c r="F108" s="7">
        <f>F107+E108-D108</f>
        <v/>
      </c>
    </row>
    <row r="109">
      <c r="A109" s="5" t="n">
        <v>46314</v>
      </c>
      <c r="B109" s="6" t="inlineStr">
        <is>
          <t>NEFT - Verma Traders (inv 1048)</t>
        </is>
      </c>
      <c r="C109" s="6" t="inlineStr">
        <is>
          <t>UTR638598</t>
        </is>
      </c>
      <c r="D109" s="7" t="n">
        <v>0</v>
      </c>
      <c r="E109" s="7" t="n">
        <v>66000</v>
      </c>
      <c r="F109" s="7">
        <f>F108+E109-D109</f>
        <v/>
      </c>
    </row>
    <row r="110">
      <c r="A110" s="5" t="n">
        <v>46314</v>
      </c>
      <c r="B110" s="6" t="inlineStr">
        <is>
          <t>UPI - retail counter sales 11-Oct</t>
        </is>
      </c>
      <c r="C110" s="6" t="inlineStr">
        <is>
          <t>UTR352592</t>
        </is>
      </c>
      <c r="D110" s="7" t="n">
        <v>0</v>
      </c>
      <c r="E110" s="7" t="n">
        <v>6947</v>
      </c>
      <c r="F110" s="7">
        <f>F109+E110-D110</f>
        <v/>
      </c>
    </row>
    <row r="111">
      <c r="A111" s="5" t="n">
        <v>46314</v>
      </c>
      <c r="B111" s="6" t="inlineStr">
        <is>
          <t>UPI - retail counter sales 7-Oct</t>
        </is>
      </c>
      <c r="C111" s="6" t="inlineStr">
        <is>
          <t>UTR579759</t>
        </is>
      </c>
      <c r="D111" s="7" t="n">
        <v>0</v>
      </c>
      <c r="E111" s="7" t="n">
        <v>4661</v>
      </c>
      <c r="F111" s="7">
        <f>F110+E111-D111</f>
        <v/>
      </c>
    </row>
    <row r="112">
      <c r="A112" s="5" t="n">
        <v>46314</v>
      </c>
      <c r="B112" s="6" t="inlineStr">
        <is>
          <t>UPI direct deposit - unidentified</t>
        </is>
      </c>
      <c r="C112" s="6" t="inlineStr">
        <is>
          <t>UPI99887766</t>
        </is>
      </c>
      <c r="D112" s="7" t="n">
        <v>0</v>
      </c>
      <c r="E112" s="7" t="n">
        <v>12500</v>
      </c>
      <c r="F112" s="7">
        <f>F111+E112-D112</f>
        <v/>
      </c>
    </row>
    <row r="113">
      <c r="A113" s="5" t="n">
        <v>46314</v>
      </c>
      <c r="B113" s="6" t="inlineStr">
        <is>
          <t>cheque - Verma Traders (inv 1151)</t>
        </is>
      </c>
      <c r="C113" s="6" t="inlineStr">
        <is>
          <t>UTR520252</t>
        </is>
      </c>
      <c r="D113" s="7" t="n">
        <v>0</v>
      </c>
      <c r="E113" s="7" t="n">
        <v>36057</v>
      </c>
      <c r="F113" s="7">
        <f>F112+E113-D113</f>
        <v/>
      </c>
    </row>
    <row r="114">
      <c r="A114" s="5" t="n">
        <v>46315</v>
      </c>
      <c r="B114" s="6" t="inlineStr">
        <is>
          <t>NEFT - Dhillon FMCG (PO 529)</t>
        </is>
      </c>
      <c r="C114" s="6" t="inlineStr">
        <is>
          <t>UTR505910</t>
        </is>
      </c>
      <c r="D114" s="7" t="n">
        <v>110000</v>
      </c>
      <c r="E114" s="7" t="n">
        <v>0</v>
      </c>
      <c r="F114" s="7">
        <f>F113+E114-D114</f>
        <v/>
      </c>
    </row>
    <row r="115">
      <c r="A115" s="5" t="n">
        <v>46315</v>
      </c>
      <c r="B115" s="6" t="inlineStr">
        <is>
          <t>NEFT - Mishra Mart (inv 1175)</t>
        </is>
      </c>
      <c r="C115" s="6" t="inlineStr">
        <is>
          <t>UTR608474</t>
        </is>
      </c>
      <c r="D115" s="7" t="n">
        <v>0</v>
      </c>
      <c r="E115" s="7" t="n">
        <v>48500</v>
      </c>
      <c r="F115" s="7">
        <f>F114+E115-D115</f>
        <v/>
      </c>
    </row>
    <row r="116">
      <c r="A116" s="5" t="n">
        <v>46315</v>
      </c>
      <c r="B116" s="6" t="inlineStr">
        <is>
          <t>NEFT - Singh Kirana (inv 1076)</t>
        </is>
      </c>
      <c r="C116" s="6" t="inlineStr">
        <is>
          <t>UTR717522</t>
        </is>
      </c>
      <c r="D116" s="7" t="n">
        <v>0</v>
      </c>
      <c r="E116" s="7" t="n">
        <v>73000</v>
      </c>
      <c r="F116" s="7">
        <f>F115+E116-D116</f>
        <v/>
      </c>
    </row>
    <row r="117">
      <c r="A117" s="5" t="n">
        <v>46315</v>
      </c>
      <c r="B117" s="6" t="inlineStr">
        <is>
          <t>NEFT - Verma Traders (inv 1138)</t>
        </is>
      </c>
      <c r="C117" s="6" t="inlineStr">
        <is>
          <t>UTR895196</t>
        </is>
      </c>
      <c r="D117" s="7" t="n">
        <v>0</v>
      </c>
      <c r="E117" s="7" t="n">
        <v>12507</v>
      </c>
      <c r="F117" s="7">
        <f>F116+E117-D117</f>
        <v/>
      </c>
    </row>
    <row r="118">
      <c r="A118" s="5" t="n">
        <v>46315</v>
      </c>
      <c r="B118" s="6" t="inlineStr">
        <is>
          <t>UPI - Yadav Provision Store (inv 1122)</t>
        </is>
      </c>
      <c r="C118" s="6" t="inlineStr">
        <is>
          <t>UTR851153</t>
        </is>
      </c>
      <c r="D118" s="7" t="n">
        <v>0</v>
      </c>
      <c r="E118" s="7" t="n">
        <v>48507</v>
      </c>
      <c r="F118" s="7">
        <f>F117+E118-D118</f>
        <v/>
      </c>
    </row>
    <row r="119">
      <c r="A119" s="5" t="n">
        <v>46316</v>
      </c>
      <c r="B119" s="6" t="inlineStr">
        <is>
          <t>Bank charges - Oct 2026</t>
        </is>
      </c>
      <c r="C119" s="6" t="inlineStr">
        <is>
          <t>CHG88231</t>
        </is>
      </c>
      <c r="D119" s="7" t="n">
        <v>236</v>
      </c>
      <c r="E119" s="7" t="n">
        <v>0</v>
      </c>
      <c r="F119" s="7">
        <f>F118+E119-D119</f>
        <v/>
      </c>
    </row>
    <row r="120">
      <c r="A120" s="5" t="n">
        <v>46316</v>
      </c>
      <c r="B120" s="6" t="inlineStr">
        <is>
          <t>Interest credited</t>
        </is>
      </c>
      <c r="C120" s="6" t="inlineStr">
        <is>
          <t>INT1021</t>
        </is>
      </c>
      <c r="D120" s="7" t="n">
        <v>0</v>
      </c>
      <c r="E120" s="7" t="n">
        <v>1842</v>
      </c>
      <c r="F120" s="7">
        <f>F119+E120-D120</f>
        <v/>
      </c>
    </row>
    <row r="121">
      <c r="A121" s="5" t="n">
        <v>46316</v>
      </c>
      <c r="B121" s="6" t="inlineStr">
        <is>
          <t>NEFT - Dhillon FMCG (PO 538)</t>
        </is>
      </c>
      <c r="C121" s="6" t="inlineStr">
        <is>
          <t>UTR843672</t>
        </is>
      </c>
      <c r="D121" s="7" t="n">
        <v>95000</v>
      </c>
      <c r="E121" s="7" t="n">
        <v>0</v>
      </c>
      <c r="F121" s="7">
        <f>F120+E121-D121</f>
        <v/>
      </c>
    </row>
    <row r="122">
      <c r="A122" s="5" t="n">
        <v>46316</v>
      </c>
      <c r="B122" s="6" t="inlineStr">
        <is>
          <t>NEFT - FreshFarms Coop (PO 570)</t>
        </is>
      </c>
      <c r="C122" s="6" t="inlineStr">
        <is>
          <t>UTR359126</t>
        </is>
      </c>
      <c r="D122" s="7" t="n">
        <v>83000</v>
      </c>
      <c r="E122" s="7" t="n">
        <v>0</v>
      </c>
      <c r="F122" s="7">
        <f>F121+E122-D122</f>
        <v/>
      </c>
    </row>
    <row r="123">
      <c r="A123" s="5" t="n">
        <v>46316</v>
      </c>
      <c r="B123" s="6" t="inlineStr">
        <is>
          <t>NEFT - Patel Daily Needs (inv 1025)</t>
        </is>
      </c>
      <c r="C123" s="6" t="inlineStr">
        <is>
          <t>UTR705262</t>
        </is>
      </c>
      <c r="D123" s="7" t="n">
        <v>0</v>
      </c>
      <c r="E123" s="7" t="n">
        <v>80500</v>
      </c>
      <c r="F123" s="7">
        <f>F122+E123-D123</f>
        <v/>
      </c>
    </row>
    <row r="124">
      <c r="A124" s="5" t="n">
        <v>46316</v>
      </c>
      <c r="B124" s="6" t="inlineStr">
        <is>
          <t>SMS alert charges</t>
        </is>
      </c>
      <c r="C124" s="6" t="inlineStr">
        <is>
          <t>CHG88232</t>
        </is>
      </c>
      <c r="D124" s="7" t="n">
        <v>59</v>
      </c>
      <c r="E124" s="7" t="n">
        <v>0</v>
      </c>
      <c r="F124" s="7">
        <f>F123+E124-D124</f>
        <v/>
      </c>
    </row>
    <row r="125">
      <c r="A125" s="5" t="n">
        <v>46316</v>
      </c>
      <c r="B125" s="6" t="inlineStr">
        <is>
          <t>UPI - retail counter sales 12-Oct</t>
        </is>
      </c>
      <c r="C125" s="6" t="inlineStr">
        <is>
          <t>UTR948001</t>
        </is>
      </c>
      <c r="D125" s="7" t="n">
        <v>0</v>
      </c>
      <c r="E125" s="7" t="n">
        <v>7167</v>
      </c>
      <c r="F125" s="7">
        <f>F124+E125-D125</f>
        <v/>
      </c>
    </row>
    <row r="126">
      <c r="A126" s="5" t="n">
        <v>46316</v>
      </c>
      <c r="B126" s="6" t="inlineStr">
        <is>
          <t>UPI - retail counter sales 20-Oct</t>
        </is>
      </c>
      <c r="C126" s="6" t="inlineStr">
        <is>
          <t>UTR346403</t>
        </is>
      </c>
      <c r="D126" s="7" t="n">
        <v>0</v>
      </c>
      <c r="E126" s="7" t="n">
        <v>4751</v>
      </c>
      <c r="F126" s="7">
        <f>F125+E126-D126</f>
        <v/>
      </c>
    </row>
    <row r="127">
      <c r="A127" s="5" t="n">
        <v>46316</v>
      </c>
      <c r="B127" s="6" t="inlineStr">
        <is>
          <t>UPI - retail counter sales 21-Oct</t>
        </is>
      </c>
      <c r="C127" s="6" t="inlineStr">
        <is>
          <t>UTR449533</t>
        </is>
      </c>
      <c r="D127" s="7" t="n">
        <v>0</v>
      </c>
      <c r="E127" s="7" t="n">
        <v>1392</v>
      </c>
      <c r="F127" s="7">
        <f>F126+E127-D127</f>
        <v/>
      </c>
    </row>
    <row r="128">
      <c r="A128" s="5" t="n">
        <v>46316</v>
      </c>
      <c r="B128" s="6" t="inlineStr">
        <is>
          <t>UPI - retail counter sales 21-Oct</t>
        </is>
      </c>
      <c r="C128" s="6" t="inlineStr">
        <is>
          <t>UTR416834</t>
        </is>
      </c>
      <c r="D128" s="7" t="n">
        <v>0</v>
      </c>
      <c r="E128" s="7" t="n">
        <v>2464</v>
      </c>
      <c r="F128" s="7">
        <f>F127+E128-D128</f>
        <v/>
      </c>
    </row>
    <row r="129">
      <c r="A129" s="5" t="n">
        <v>46316</v>
      </c>
      <c r="B129" s="6" t="inlineStr">
        <is>
          <t>UPI - retail counter sales 3-Oct</t>
        </is>
      </c>
      <c r="C129" s="6" t="inlineStr">
        <is>
          <t>UTR217340</t>
        </is>
      </c>
      <c r="D129" s="7" t="n">
        <v>0</v>
      </c>
      <c r="E129" s="7" t="n">
        <v>4786</v>
      </c>
      <c r="F129" s="7">
        <f>F128+E129-D129</f>
        <v/>
      </c>
    </row>
  </sheetData>
  <autoFilter ref="A1:F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4" customWidth="1" min="3" max="3"/>
    <col width="15" customWidth="1" min="4" max="4"/>
    <col width="15" customWidth="1" min="5" max="5"/>
    <col width="17" customWidth="1" min="6" max="6"/>
    <col width="16" customWidth="1" min="7" max="7"/>
    <col width="11" customWidth="1" min="8" max="8"/>
    <col width="8" customWidth="1" min="9" max="9"/>
  </cols>
  <sheetData>
    <row r="1">
      <c r="A1" s="4" t="inlineStr">
        <is>
          <t>Date</t>
        </is>
      </c>
      <c r="B1" s="4" t="inlineStr">
        <is>
          <t>Narration</t>
        </is>
      </c>
      <c r="C1" s="4" t="inlineStr">
        <is>
          <t>Voucher</t>
        </is>
      </c>
      <c r="D1" s="4" t="inlineStr">
        <is>
          <t>Debit</t>
        </is>
      </c>
      <c r="E1" s="4" t="inlineStr">
        <is>
          <t>Credit</t>
        </is>
      </c>
      <c r="F1" s="4" t="inlineStr">
        <is>
          <t>Balance</t>
        </is>
      </c>
      <c r="G1" s="4" t="inlineStr">
        <is>
          <t>Key</t>
        </is>
      </c>
      <c r="H1" s="4" t="inlineStr">
        <is>
          <t>Matched?</t>
        </is>
      </c>
      <c r="I1" s="4" t="inlineStr">
        <is>
          <t>UPos</t>
        </is>
      </c>
    </row>
    <row r="2">
      <c r="A2" s="5" t="n">
        <v>46296</v>
      </c>
      <c r="B2" s="6" t="inlineStr">
        <is>
          <t>Audit fee advance</t>
        </is>
      </c>
      <c r="C2" s="6" t="inlineStr">
        <is>
          <t>PV9334</t>
        </is>
      </c>
      <c r="D2" s="7" t="n">
        <v>0</v>
      </c>
      <c r="E2" s="7" t="n">
        <v>5500</v>
      </c>
      <c r="F2" s="7">
        <f>Summary!$B$2+D2-E2</f>
        <v/>
      </c>
      <c r="G2" s="6">
        <f>TEXT(MAX(D2,E2),"0.00")&amp;"|"&amp;IF(D2&gt;0,"R","P")</f>
        <v/>
      </c>
      <c r="H2" s="6">
        <f>COUNTIFS(Recon!$F$2:$F$129,G2,Recon!$K$2:$K$129,"MATCHED")&gt;0</f>
        <v/>
      </c>
      <c r="I2" s="6">
        <f>IF(H2=FALSE,ROW()-1,"")</f>
        <v/>
      </c>
    </row>
    <row r="3">
      <c r="A3" s="5" t="n">
        <v>46296</v>
      </c>
      <c r="B3" s="6" t="inlineStr">
        <is>
          <t>Insurance premium</t>
        </is>
      </c>
      <c r="C3" s="6" t="inlineStr">
        <is>
          <t>PV1346</t>
        </is>
      </c>
      <c r="D3" s="7" t="n">
        <v>0</v>
      </c>
      <c r="E3" s="7" t="n">
        <v>31500</v>
      </c>
      <c r="F3" s="7">
        <f>F2+D3-E3</f>
        <v/>
      </c>
      <c r="G3" s="6">
        <f>TEXT(MAX(D3,E3),"0.00")&amp;"|"&amp;IF(D3&gt;0,"R","P")</f>
        <v/>
      </c>
      <c r="H3" s="6">
        <f>COUNTIFS(Recon!$F$2:$F$129,G3,Recon!$K$2:$K$129,"MATCHED")&gt;0</f>
        <v/>
      </c>
      <c r="I3" s="6">
        <f>IF(H3=FALSE,ROW()-1,"")</f>
        <v/>
      </c>
    </row>
    <row r="4">
      <c r="A4" s="5" t="n">
        <v>46296</v>
      </c>
      <c r="B4" s="6" t="inlineStr">
        <is>
          <t>NEFT - Chawla Distributors (PO 541)</t>
        </is>
      </c>
      <c r="C4" s="6" t="inlineStr">
        <is>
          <t>PV3758</t>
        </is>
      </c>
      <c r="D4" s="7" t="n">
        <v>0</v>
      </c>
      <c r="E4" s="7" t="n">
        <v>114250</v>
      </c>
      <c r="F4" s="7">
        <f>F3+D4-E4</f>
        <v/>
      </c>
      <c r="G4" s="6">
        <f>TEXT(MAX(D4,E4),"0.00")&amp;"|"&amp;IF(D4&gt;0,"R","P")</f>
        <v/>
      </c>
      <c r="H4" s="6">
        <f>COUNTIFS(Recon!$F$2:$F$129,G4,Recon!$K$2:$K$129,"MATCHED")&gt;0</f>
        <v/>
      </c>
      <c r="I4" s="6">
        <f>IF(H4=FALSE,ROW()-1,"")</f>
        <v/>
      </c>
    </row>
    <row r="5">
      <c r="A5" s="5" t="n">
        <v>46296</v>
      </c>
      <c r="B5" s="6" t="inlineStr">
        <is>
          <t>UPI - retail counter sales 16-Oct</t>
        </is>
      </c>
      <c r="C5" s="6" t="inlineStr">
        <is>
          <t>RV5716</t>
        </is>
      </c>
      <c r="D5" s="7" t="n">
        <v>1103</v>
      </c>
      <c r="E5" s="7" t="n">
        <v>0</v>
      </c>
      <c r="F5" s="7">
        <f>F4+D5-E5</f>
        <v/>
      </c>
      <c r="G5" s="6">
        <f>TEXT(MAX(D5,E5),"0.00")&amp;"|"&amp;IF(D5&gt;0,"R","P")</f>
        <v/>
      </c>
      <c r="H5" s="6">
        <f>COUNTIFS(Recon!$F$2:$F$129,G5,Recon!$K$2:$K$129,"MATCHED")&gt;0</f>
        <v/>
      </c>
      <c r="I5" s="6">
        <f>IF(H5=FALSE,ROW()-1,"")</f>
        <v/>
      </c>
    </row>
    <row r="6">
      <c r="A6" s="5" t="n">
        <v>46297</v>
      </c>
      <c r="B6" s="6" t="inlineStr">
        <is>
          <t>Electricity bill</t>
        </is>
      </c>
      <c r="C6" s="6" t="inlineStr">
        <is>
          <t>PV3353</t>
        </is>
      </c>
      <c r="D6" s="7" t="n">
        <v>0</v>
      </c>
      <c r="E6" s="7" t="n">
        <v>10000</v>
      </c>
      <c r="F6" s="7">
        <f>F5+D6-E6</f>
        <v/>
      </c>
      <c r="G6" s="6">
        <f>TEXT(MAX(D6,E6),"0.00")&amp;"|"&amp;IF(D6&gt;0,"R","P")</f>
        <v/>
      </c>
      <c r="H6" s="6">
        <f>COUNTIFS(Recon!$F$2:$F$129,G6,Recon!$K$2:$K$129,"MATCHED")&gt;0</f>
        <v/>
      </c>
      <c r="I6" s="6">
        <f>IF(H6=FALSE,ROW()-1,"")</f>
        <v/>
      </c>
    </row>
    <row r="7">
      <c r="A7" s="5" t="n">
        <v>46297</v>
      </c>
      <c r="B7" s="6" t="inlineStr">
        <is>
          <t>NEFT - Chawla Distributors (PO 550)</t>
        </is>
      </c>
      <c r="C7" s="6" t="inlineStr">
        <is>
          <t>PV8438</t>
        </is>
      </c>
      <c r="D7" s="7" t="n">
        <v>0</v>
      </c>
      <c r="E7" s="7" t="n">
        <v>162000</v>
      </c>
      <c r="F7" s="7">
        <f>F6+D7-E7</f>
        <v/>
      </c>
      <c r="G7" s="6">
        <f>TEXT(MAX(D7,E7),"0.00")&amp;"|"&amp;IF(D7&gt;0,"R","P")</f>
        <v/>
      </c>
      <c r="H7" s="6">
        <f>COUNTIFS(Recon!$F$2:$F$129,G7,Recon!$K$2:$K$129,"MATCHED")&gt;0</f>
        <v/>
      </c>
      <c r="I7" s="6">
        <f>IF(H7=FALSE,ROW()-1,"")</f>
        <v/>
      </c>
    </row>
    <row r="8">
      <c r="A8" s="5" t="n">
        <v>46297</v>
      </c>
      <c r="B8" s="6" t="inlineStr">
        <is>
          <t>NEFT - Dhillon FMCG (PO 616)</t>
        </is>
      </c>
      <c r="C8" s="6" t="inlineStr">
        <is>
          <t>PV5385</t>
        </is>
      </c>
      <c r="D8" s="7" t="n">
        <v>0</v>
      </c>
      <c r="E8" s="7" t="n">
        <v>66250</v>
      </c>
      <c r="F8" s="7">
        <f>F7+D8-E8</f>
        <v/>
      </c>
      <c r="G8" s="6">
        <f>TEXT(MAX(D8,E8),"0.00")&amp;"|"&amp;IF(D8&gt;0,"R","P")</f>
        <v/>
      </c>
      <c r="H8" s="6">
        <f>COUNTIFS(Recon!$F$2:$F$129,G8,Recon!$K$2:$K$129,"MATCHED")&gt;0</f>
        <v/>
      </c>
      <c r="I8" s="6">
        <f>IF(H8=FALSE,ROW()-1,"")</f>
        <v/>
      </c>
    </row>
    <row r="9">
      <c r="A9" s="5" t="n">
        <v>46297</v>
      </c>
      <c r="B9" s="6" t="inlineStr">
        <is>
          <t>NEFT - Mishra Mart (inv 1107)</t>
        </is>
      </c>
      <c r="C9" s="6" t="inlineStr">
        <is>
          <t>RV2786</t>
        </is>
      </c>
      <c r="D9" s="7" t="n">
        <v>31050</v>
      </c>
      <c r="E9" s="7" t="n">
        <v>0</v>
      </c>
      <c r="F9" s="7">
        <f>F8+D9-E9</f>
        <v/>
      </c>
      <c r="G9" s="6">
        <f>TEXT(MAX(D9,E9),"0.00")&amp;"|"&amp;IF(D9&gt;0,"R","P")</f>
        <v/>
      </c>
      <c r="H9" s="6">
        <f>COUNTIFS(Recon!$F$2:$F$129,G9,Recon!$K$2:$K$129,"MATCHED")&gt;0</f>
        <v/>
      </c>
      <c r="I9" s="6">
        <f>IF(H9=FALSE,ROW()-1,"")</f>
        <v/>
      </c>
    </row>
    <row r="10">
      <c r="A10" s="5" t="n">
        <v>46297</v>
      </c>
      <c r="B10" s="6" t="inlineStr">
        <is>
          <t>NEFT - Sharma Retail Store (inv 1074)</t>
        </is>
      </c>
      <c r="C10" s="6" t="inlineStr">
        <is>
          <t>RV7076</t>
        </is>
      </c>
      <c r="D10" s="7" t="n">
        <v>57500</v>
      </c>
      <c r="E10" s="7" t="n">
        <v>0</v>
      </c>
      <c r="F10" s="7">
        <f>F9+D10-E10</f>
        <v/>
      </c>
      <c r="G10" s="6">
        <f>TEXT(MAX(D10,E10),"0.00")&amp;"|"&amp;IF(D10&gt;0,"R","P")</f>
        <v/>
      </c>
      <c r="H10" s="6">
        <f>COUNTIFS(Recon!$F$2:$F$129,G10,Recon!$K$2:$K$129,"MATCHED")&gt;0</f>
        <v/>
      </c>
      <c r="I10" s="6">
        <f>IF(H10=FALSE,ROW()-1,"")</f>
        <v/>
      </c>
    </row>
    <row r="11">
      <c r="A11" s="5" t="n">
        <v>46297</v>
      </c>
      <c r="B11" s="6" t="inlineStr">
        <is>
          <t>RTGS - Kumar &amp; Sons (inv 1143)</t>
        </is>
      </c>
      <c r="C11" s="6" t="inlineStr">
        <is>
          <t>RV1467</t>
        </is>
      </c>
      <c r="D11" s="7" t="n">
        <v>8500</v>
      </c>
      <c r="E11" s="7" t="n">
        <v>0</v>
      </c>
      <c r="F11" s="7">
        <f>F10+D11-E11</f>
        <v/>
      </c>
      <c r="G11" s="6">
        <f>TEXT(MAX(D11,E11),"0.00")&amp;"|"&amp;IF(D11&gt;0,"R","P")</f>
        <v/>
      </c>
      <c r="H11" s="6">
        <f>COUNTIFS(Recon!$F$2:$F$129,G11,Recon!$K$2:$K$129,"MATCHED")&gt;0</f>
        <v/>
      </c>
      <c r="I11" s="6">
        <f>IF(H11=FALSE,ROW()-1,"")</f>
        <v/>
      </c>
    </row>
    <row r="12">
      <c r="A12" s="5" t="n">
        <v>46297</v>
      </c>
      <c r="B12" s="6" t="inlineStr">
        <is>
          <t>RTGS - Mishra Mart (inv 1072)</t>
        </is>
      </c>
      <c r="C12" s="6" t="inlineStr">
        <is>
          <t>RV3003</t>
        </is>
      </c>
      <c r="D12" s="7" t="n">
        <v>33500</v>
      </c>
      <c r="E12" s="7" t="n">
        <v>0</v>
      </c>
      <c r="F12" s="7">
        <f>F11+D12-E12</f>
        <v/>
      </c>
      <c r="G12" s="6">
        <f>TEXT(MAX(D12,E12),"0.00")&amp;"|"&amp;IF(D12&gt;0,"R","P")</f>
        <v/>
      </c>
      <c r="H12" s="6">
        <f>COUNTIFS(Recon!$F$2:$F$129,G12,Recon!$K$2:$K$129,"MATCHED")&gt;0</f>
        <v/>
      </c>
      <c r="I12" s="6">
        <f>IF(H12=FALSE,ROW()-1,"")</f>
        <v/>
      </c>
    </row>
    <row r="13">
      <c r="A13" s="5" t="n">
        <v>46297</v>
      </c>
      <c r="B13" s="6" t="inlineStr">
        <is>
          <t>RTGS - Patel Daily Needs (inv 1157)</t>
        </is>
      </c>
      <c r="C13" s="6" t="inlineStr">
        <is>
          <t>RV1676</t>
        </is>
      </c>
      <c r="D13" s="7" t="n">
        <v>88000</v>
      </c>
      <c r="E13" s="7" t="n">
        <v>0</v>
      </c>
      <c r="F13" s="7">
        <f>F12+D13-E13</f>
        <v/>
      </c>
      <c r="G13" s="6">
        <f>TEXT(MAX(D13,E13),"0.00")&amp;"|"&amp;IF(D13&gt;0,"R","P")</f>
        <v/>
      </c>
      <c r="H13" s="6">
        <f>COUNTIFS(Recon!$F$2:$F$129,G13,Recon!$K$2:$K$129,"MATCHED")&gt;0</f>
        <v/>
      </c>
      <c r="I13" s="6">
        <f>IF(H13=FALSE,ROW()-1,"")</f>
        <v/>
      </c>
    </row>
    <row r="14">
      <c r="A14" s="5" t="n">
        <v>46297</v>
      </c>
      <c r="B14" s="6" t="inlineStr">
        <is>
          <t>RTGS - Verma Traders (inv 1099)</t>
        </is>
      </c>
      <c r="C14" s="6" t="inlineStr">
        <is>
          <t>RV2581</t>
        </is>
      </c>
      <c r="D14" s="7" t="n">
        <v>50500</v>
      </c>
      <c r="E14" s="7" t="n">
        <v>0</v>
      </c>
      <c r="F14" s="7">
        <f>F13+D14-E14</f>
        <v/>
      </c>
      <c r="G14" s="6">
        <f>TEXT(MAX(D14,E14),"0.00")&amp;"|"&amp;IF(D14&gt;0,"R","P")</f>
        <v/>
      </c>
      <c r="H14" s="6">
        <f>COUNTIFS(Recon!$F$2:$F$129,G14,Recon!$K$2:$K$129,"MATCHED")&gt;0</f>
        <v/>
      </c>
      <c r="I14" s="6">
        <f>IF(H14=FALSE,ROW()-1,"")</f>
        <v/>
      </c>
    </row>
    <row r="15">
      <c r="A15" s="5" t="n">
        <v>46297</v>
      </c>
      <c r="B15" s="6" t="inlineStr">
        <is>
          <t>UPI - Sharma Retail Store (inv 1111)</t>
        </is>
      </c>
      <c r="C15" s="6" t="inlineStr">
        <is>
          <t>RV8443</t>
        </is>
      </c>
      <c r="D15" s="7" t="n">
        <v>21500</v>
      </c>
      <c r="E15" s="7" t="n">
        <v>0</v>
      </c>
      <c r="F15" s="7">
        <f>F14+D15-E15</f>
        <v/>
      </c>
      <c r="G15" s="6">
        <f>TEXT(MAX(D15,E15),"0.00")&amp;"|"&amp;IF(D15&gt;0,"R","P")</f>
        <v/>
      </c>
      <c r="H15" s="6">
        <f>COUNTIFS(Recon!$F$2:$F$129,G15,Recon!$K$2:$K$129,"MATCHED")&gt;0</f>
        <v/>
      </c>
      <c r="I15" s="6">
        <f>IF(H15=FALSE,ROW()-1,"")</f>
        <v/>
      </c>
    </row>
    <row r="16">
      <c r="A16" s="5" t="n">
        <v>46297</v>
      </c>
      <c r="B16" s="6" t="inlineStr">
        <is>
          <t>UPI - Verma Traders (inv 1160)</t>
        </is>
      </c>
      <c r="C16" s="6" t="inlineStr">
        <is>
          <t>RV6928</t>
        </is>
      </c>
      <c r="D16" s="7" t="n">
        <v>53057</v>
      </c>
      <c r="E16" s="7" t="n">
        <v>0</v>
      </c>
      <c r="F16" s="7">
        <f>F15+D16-E16</f>
        <v/>
      </c>
      <c r="G16" s="6">
        <f>TEXT(MAX(D16,E16),"0.00")&amp;"|"&amp;IF(D16&gt;0,"R","P")</f>
        <v/>
      </c>
      <c r="H16" s="6">
        <f>COUNTIFS(Recon!$F$2:$F$129,G16,Recon!$K$2:$K$129,"MATCHED")&gt;0</f>
        <v/>
      </c>
      <c r="I16" s="6">
        <f>IF(H16=FALSE,ROW()-1,"")</f>
        <v/>
      </c>
    </row>
    <row r="17">
      <c r="A17" s="5" t="n">
        <v>46297</v>
      </c>
      <c r="B17" s="6" t="inlineStr">
        <is>
          <t>UPI - retail counter sales 1-Oct</t>
        </is>
      </c>
      <c r="C17" s="6" t="inlineStr">
        <is>
          <t>RV2961</t>
        </is>
      </c>
      <c r="D17" s="7" t="n">
        <v>6744</v>
      </c>
      <c r="E17" s="7" t="n">
        <v>0</v>
      </c>
      <c r="F17" s="7">
        <f>F16+D17-E17</f>
        <v/>
      </c>
      <c r="G17" s="6">
        <f>TEXT(MAX(D17,E17),"0.00")&amp;"|"&amp;IF(D17&gt;0,"R","P")</f>
        <v/>
      </c>
      <c r="H17" s="6">
        <f>COUNTIFS(Recon!$F$2:$F$129,G17,Recon!$K$2:$K$129,"MATCHED")&gt;0</f>
        <v/>
      </c>
      <c r="I17" s="6">
        <f>IF(H17=FALSE,ROW()-1,"")</f>
        <v/>
      </c>
    </row>
    <row r="18">
      <c r="A18" s="5" t="n">
        <v>46297</v>
      </c>
      <c r="B18" s="6" t="inlineStr">
        <is>
          <t>UPI - retail counter sales 16-Oct</t>
        </is>
      </c>
      <c r="C18" s="6" t="inlineStr">
        <is>
          <t>RV1002</t>
        </is>
      </c>
      <c r="D18" s="7" t="n">
        <v>4594</v>
      </c>
      <c r="E18" s="7" t="n">
        <v>0</v>
      </c>
      <c r="F18" s="7">
        <f>F17+D18-E18</f>
        <v/>
      </c>
      <c r="G18" s="6">
        <f>TEXT(MAX(D18,E18),"0.00")&amp;"|"&amp;IF(D18&gt;0,"R","P")</f>
        <v/>
      </c>
      <c r="H18" s="6">
        <f>COUNTIFS(Recon!$F$2:$F$129,G18,Recon!$K$2:$K$129,"MATCHED")&gt;0</f>
        <v/>
      </c>
      <c r="I18" s="6">
        <f>IF(H18=FALSE,ROW()-1,"")</f>
        <v/>
      </c>
    </row>
    <row r="19">
      <c r="A19" s="5" t="n">
        <v>46297</v>
      </c>
      <c r="B19" s="6" t="inlineStr">
        <is>
          <t>UPI - retail counter sales 3-Oct</t>
        </is>
      </c>
      <c r="C19" s="6" t="inlineStr">
        <is>
          <t>RV5547</t>
        </is>
      </c>
      <c r="D19" s="7" t="n">
        <v>6011</v>
      </c>
      <c r="E19" s="7" t="n">
        <v>0</v>
      </c>
      <c r="F19" s="7">
        <f>F18+D19-E19</f>
        <v/>
      </c>
      <c r="G19" s="6">
        <f>TEXT(MAX(D19,E19),"0.00")&amp;"|"&amp;IF(D19&gt;0,"R","P")</f>
        <v/>
      </c>
      <c r="H19" s="6">
        <f>COUNTIFS(Recon!$F$2:$F$129,G19,Recon!$K$2:$K$129,"MATCHED")&gt;0</f>
        <v/>
      </c>
      <c r="I19" s="6">
        <f>IF(H19=FALSE,ROW()-1,"")</f>
        <v/>
      </c>
    </row>
    <row r="20">
      <c r="A20" s="5" t="n">
        <v>46297</v>
      </c>
      <c r="B20" s="6" t="inlineStr">
        <is>
          <t>UPI - retail counter sales 3-Oct</t>
        </is>
      </c>
      <c r="C20" s="6" t="inlineStr">
        <is>
          <t>RV4499</t>
        </is>
      </c>
      <c r="D20" s="7" t="n">
        <v>8292</v>
      </c>
      <c r="E20" s="7" t="n">
        <v>0</v>
      </c>
      <c r="F20" s="7">
        <f>F19+D20-E20</f>
        <v/>
      </c>
      <c r="G20" s="6">
        <f>TEXT(MAX(D20,E20),"0.00")&amp;"|"&amp;IF(D20&gt;0,"R","P")</f>
        <v/>
      </c>
      <c r="H20" s="6">
        <f>COUNTIFS(Recon!$F$2:$F$129,G20,Recon!$K$2:$K$129,"MATCHED")&gt;0</f>
        <v/>
      </c>
      <c r="I20" s="6">
        <f>IF(H20=FALSE,ROW()-1,"")</f>
        <v/>
      </c>
    </row>
    <row r="21">
      <c r="A21" s="5" t="n">
        <v>46297</v>
      </c>
      <c r="B21" s="6" t="inlineStr">
        <is>
          <t>UPI - retail counter sales 6-Oct</t>
        </is>
      </c>
      <c r="C21" s="6" t="inlineStr">
        <is>
          <t>RV5057</t>
        </is>
      </c>
      <c r="D21" s="7" t="n">
        <v>3000</v>
      </c>
      <c r="E21" s="7" t="n">
        <v>0</v>
      </c>
      <c r="F21" s="7">
        <f>F20+D21-E21</f>
        <v/>
      </c>
      <c r="G21" s="6">
        <f>TEXT(MAX(D21,E21),"0.00")&amp;"|"&amp;IF(D21&gt;0,"R","P")</f>
        <v/>
      </c>
      <c r="H21" s="6">
        <f>COUNTIFS(Recon!$F$2:$F$129,G21,Recon!$K$2:$K$129,"MATCHED")&gt;0</f>
        <v/>
      </c>
      <c r="I21" s="6">
        <f>IF(H21=FALSE,ROW()-1,"")</f>
        <v/>
      </c>
    </row>
    <row r="22">
      <c r="A22" s="5" t="n">
        <v>46297</v>
      </c>
      <c r="B22" s="6" t="inlineStr">
        <is>
          <t>cheque - Patel Daily Needs (inv 1053)</t>
        </is>
      </c>
      <c r="C22" s="6" t="inlineStr">
        <is>
          <t>RV3926</t>
        </is>
      </c>
      <c r="D22" s="7" t="n">
        <v>36050</v>
      </c>
      <c r="E22" s="7" t="n">
        <v>0</v>
      </c>
      <c r="F22" s="7">
        <f>F21+D22-E22</f>
        <v/>
      </c>
      <c r="G22" s="6">
        <f>TEXT(MAX(D22,E22),"0.00")&amp;"|"&amp;IF(D22&gt;0,"R","P")</f>
        <v/>
      </c>
      <c r="H22" s="6">
        <f>COUNTIFS(Recon!$F$2:$F$129,G22,Recon!$K$2:$K$129,"MATCHED")&gt;0</f>
        <v/>
      </c>
      <c r="I22" s="6">
        <f>IF(H22=FALSE,ROW()-1,"")</f>
        <v/>
      </c>
    </row>
    <row r="23">
      <c r="A23" s="5" t="n">
        <v>46298</v>
      </c>
      <c r="B23" s="6" t="inlineStr">
        <is>
          <t>Godown rent - Oct</t>
        </is>
      </c>
      <c r="C23" s="6" t="inlineStr">
        <is>
          <t>PV3854</t>
        </is>
      </c>
      <c r="D23" s="7" t="n">
        <v>0</v>
      </c>
      <c r="E23" s="7" t="n">
        <v>18000</v>
      </c>
      <c r="F23" s="7">
        <f>F22+D23-E23</f>
        <v/>
      </c>
      <c r="G23" s="6">
        <f>TEXT(MAX(D23,E23),"0.00")&amp;"|"&amp;IF(D23&gt;0,"R","P")</f>
        <v/>
      </c>
      <c r="H23" s="6">
        <f>COUNTIFS(Recon!$F$2:$F$129,G23,Recon!$K$2:$K$129,"MATCHED")&gt;0</f>
        <v/>
      </c>
      <c r="I23" s="6">
        <f>IF(H23=FALSE,ROW()-1,"")</f>
        <v/>
      </c>
    </row>
    <row r="24">
      <c r="A24" s="5" t="n">
        <v>46298</v>
      </c>
      <c r="B24" s="6" t="inlineStr">
        <is>
          <t>NEFT salary - staff batch 4 Oct</t>
        </is>
      </c>
      <c r="C24" s="6" t="inlineStr">
        <is>
          <t>PV8843</t>
        </is>
      </c>
      <c r="D24" s="7" t="n">
        <v>0</v>
      </c>
      <c r="E24" s="7" t="n">
        <v>136000</v>
      </c>
      <c r="F24" s="7">
        <f>F23+D24-E24</f>
        <v/>
      </c>
      <c r="G24" s="6">
        <f>TEXT(MAX(D24,E24),"0.00")&amp;"|"&amp;IF(D24&gt;0,"R","P")</f>
        <v/>
      </c>
      <c r="H24" s="6">
        <f>COUNTIFS(Recon!$F$2:$F$129,G24,Recon!$K$2:$K$129,"MATCHED")&gt;0</f>
        <v/>
      </c>
      <c r="I24" s="6">
        <f>IF(H24=FALSE,ROW()-1,"")</f>
        <v/>
      </c>
    </row>
    <row r="25">
      <c r="A25" s="5" t="n">
        <v>46298</v>
      </c>
      <c r="B25" s="6" t="inlineStr">
        <is>
          <t>Telephone/internet</t>
        </is>
      </c>
      <c r="C25" s="6" t="inlineStr">
        <is>
          <t>PV3206</t>
        </is>
      </c>
      <c r="D25" s="7" t="n">
        <v>0</v>
      </c>
      <c r="E25" s="7" t="n">
        <v>16500</v>
      </c>
      <c r="F25" s="7">
        <f>F24+D25-E25</f>
        <v/>
      </c>
      <c r="G25" s="6">
        <f>TEXT(MAX(D25,E25),"0.00")&amp;"|"&amp;IF(D25&gt;0,"R","P")</f>
        <v/>
      </c>
      <c r="H25" s="6">
        <f>COUNTIFS(Recon!$F$2:$F$129,G25,Recon!$K$2:$K$129,"MATCHED")&gt;0</f>
        <v/>
      </c>
      <c r="I25" s="6">
        <f>IF(H25=FALSE,ROW()-1,"")</f>
        <v/>
      </c>
    </row>
    <row r="26">
      <c r="A26" s="5" t="n">
        <v>46298</v>
      </c>
      <c r="B26" s="6" t="inlineStr">
        <is>
          <t>UPI - retail counter sales 16-Oct</t>
        </is>
      </c>
      <c r="C26" s="6" t="inlineStr">
        <is>
          <t>RV8859</t>
        </is>
      </c>
      <c r="D26" s="7" t="n">
        <v>2772</v>
      </c>
      <c r="E26" s="7" t="n">
        <v>0</v>
      </c>
      <c r="F26" s="7">
        <f>F25+D26-E26</f>
        <v/>
      </c>
      <c r="G26" s="6">
        <f>TEXT(MAX(D26,E26),"0.00")&amp;"|"&amp;IF(D26&gt;0,"R","P")</f>
        <v/>
      </c>
      <c r="H26" s="6">
        <f>COUNTIFS(Recon!$F$2:$F$129,G26,Recon!$K$2:$K$129,"MATCHED")&gt;0</f>
        <v/>
      </c>
      <c r="I26" s="6">
        <f>IF(H26=FALSE,ROW()-1,"")</f>
        <v/>
      </c>
    </row>
    <row r="27">
      <c r="A27" s="5" t="n">
        <v>46298</v>
      </c>
      <c r="B27" s="6" t="inlineStr">
        <is>
          <t>cheque - Jain Super Bazaar (inv 1068)</t>
        </is>
      </c>
      <c r="C27" s="6" t="inlineStr">
        <is>
          <t>RV8567</t>
        </is>
      </c>
      <c r="D27" s="7" t="n">
        <v>74000</v>
      </c>
      <c r="E27" s="7" t="n">
        <v>0</v>
      </c>
      <c r="F27" s="7">
        <f>F26+D27-E27</f>
        <v/>
      </c>
      <c r="G27" s="6">
        <f>TEXT(MAX(D27,E27),"0.00")&amp;"|"&amp;IF(D27&gt;0,"R","P")</f>
        <v/>
      </c>
      <c r="H27" s="6">
        <f>COUNTIFS(Recon!$F$2:$F$129,G27,Recon!$K$2:$K$129,"MATCHED")&gt;0</f>
        <v/>
      </c>
      <c r="I27" s="6">
        <f>IF(H27=FALSE,ROW()-1,"")</f>
        <v/>
      </c>
    </row>
    <row r="28">
      <c r="A28" s="5" t="n">
        <v>46298</v>
      </c>
      <c r="B28" s="6" t="inlineStr">
        <is>
          <t>cheque - Yadav Provision Store (inv 1046)</t>
        </is>
      </c>
      <c r="C28" s="6" t="inlineStr">
        <is>
          <t>RV4603</t>
        </is>
      </c>
      <c r="D28" s="7" t="n">
        <v>32000</v>
      </c>
      <c r="E28" s="7" t="n">
        <v>0</v>
      </c>
      <c r="F28" s="7">
        <f>F27+D28-E28</f>
        <v/>
      </c>
      <c r="G28" s="6">
        <f>TEXT(MAX(D28,E28),"0.00")&amp;"|"&amp;IF(D28&gt;0,"R","P")</f>
        <v/>
      </c>
      <c r="H28" s="6">
        <f>COUNTIFS(Recon!$F$2:$F$129,G28,Recon!$K$2:$K$129,"MATCHED")&gt;0</f>
        <v/>
      </c>
      <c r="I28" s="6">
        <f>IF(H28=FALSE,ROW()-1,"")</f>
        <v/>
      </c>
    </row>
    <row r="29">
      <c r="A29" s="5" t="n">
        <v>46299</v>
      </c>
      <c r="B29" s="6" t="inlineStr">
        <is>
          <t>Godown rent - Oct</t>
        </is>
      </c>
      <c r="C29" s="6" t="inlineStr">
        <is>
          <t>PV9498</t>
        </is>
      </c>
      <c r="D29" s="7" t="n">
        <v>0</v>
      </c>
      <c r="E29" s="7" t="n">
        <v>44000</v>
      </c>
      <c r="F29" s="7">
        <f>F28+D29-E29</f>
        <v/>
      </c>
      <c r="G29" s="6">
        <f>TEXT(MAX(D29,E29),"0.00")&amp;"|"&amp;IF(D29&gt;0,"R","P")</f>
        <v/>
      </c>
      <c r="H29" s="6">
        <f>COUNTIFS(Recon!$F$2:$F$129,G29,Recon!$K$2:$K$129,"MATCHED")&gt;0</f>
        <v/>
      </c>
      <c r="I29" s="6">
        <f>IF(H29=FALSE,ROW()-1,"")</f>
        <v/>
      </c>
    </row>
    <row r="30">
      <c r="A30" s="5" t="n">
        <v>46299</v>
      </c>
      <c r="B30" s="6" t="inlineStr">
        <is>
          <t>NEFT - Patel Daily Needs (inv 1114)</t>
        </is>
      </c>
      <c r="C30" s="6" t="inlineStr">
        <is>
          <t>RV9075</t>
        </is>
      </c>
      <c r="D30" s="7" t="n">
        <v>80507</v>
      </c>
      <c r="E30" s="7" t="n">
        <v>0</v>
      </c>
      <c r="F30" s="7">
        <f>F29+D30-E30</f>
        <v/>
      </c>
      <c r="G30" s="6">
        <f>TEXT(MAX(D30,E30),"0.00")&amp;"|"&amp;IF(D30&gt;0,"R","P")</f>
        <v/>
      </c>
      <c r="H30" s="6">
        <f>COUNTIFS(Recon!$F$2:$F$129,G30,Recon!$K$2:$K$129,"MATCHED")&gt;0</f>
        <v/>
      </c>
      <c r="I30" s="6">
        <f>IF(H30=FALSE,ROW()-1,"")</f>
        <v/>
      </c>
    </row>
    <row r="31">
      <c r="A31" s="5" t="n">
        <v>46299</v>
      </c>
      <c r="B31" s="6" t="inlineStr">
        <is>
          <t>NEFT salary - staff batch 3 Oct</t>
        </is>
      </c>
      <c r="C31" s="6" t="inlineStr">
        <is>
          <t>PV7614</t>
        </is>
      </c>
      <c r="D31" s="7" t="n">
        <v>0</v>
      </c>
      <c r="E31" s="7" t="n">
        <v>90000</v>
      </c>
      <c r="F31" s="7">
        <f>F30+D31-E31</f>
        <v/>
      </c>
      <c r="G31" s="6">
        <f>TEXT(MAX(D31,E31),"0.00")&amp;"|"&amp;IF(D31&gt;0,"R","P")</f>
        <v/>
      </c>
      <c r="H31" s="6">
        <f>COUNTIFS(Recon!$F$2:$F$129,G31,Recon!$K$2:$K$129,"MATCHED")&gt;0</f>
        <v/>
      </c>
      <c r="I31" s="6">
        <f>IF(H31=FALSE,ROW()-1,"")</f>
        <v/>
      </c>
    </row>
    <row r="32">
      <c r="A32" s="5" t="n">
        <v>46299</v>
      </c>
      <c r="B32" s="6" t="inlineStr">
        <is>
          <t>RTGS - Khan Departmental (inv 1097)</t>
        </is>
      </c>
      <c r="C32" s="6" t="inlineStr">
        <is>
          <t>RV9602</t>
        </is>
      </c>
      <c r="D32" s="7" t="n">
        <v>42000</v>
      </c>
      <c r="E32" s="7" t="n">
        <v>0</v>
      </c>
      <c r="F32" s="7">
        <f>F31+D32-E32</f>
        <v/>
      </c>
      <c r="G32" s="6">
        <f>TEXT(MAX(D32,E32),"0.00")&amp;"|"&amp;IF(D32&gt;0,"R","P")</f>
        <v/>
      </c>
      <c r="H32" s="6">
        <f>COUNTIFS(Recon!$F$2:$F$129,G32,Recon!$K$2:$K$129,"MATCHED")&gt;0</f>
        <v/>
      </c>
      <c r="I32" s="6">
        <f>IF(H32=FALSE,ROW()-1,"")</f>
        <v/>
      </c>
    </row>
    <row r="33">
      <c r="A33" s="5" t="n">
        <v>46300</v>
      </c>
      <c r="B33" s="6" t="inlineStr">
        <is>
          <t>Audit fee advance</t>
        </is>
      </c>
      <c r="C33" s="6" t="inlineStr">
        <is>
          <t>PV3750</t>
        </is>
      </c>
      <c r="D33" s="7" t="n">
        <v>0</v>
      </c>
      <c r="E33" s="7" t="n">
        <v>27000</v>
      </c>
      <c r="F33" s="7">
        <f>F32+D33-E33</f>
        <v/>
      </c>
      <c r="G33" s="6">
        <f>TEXT(MAX(D33,E33),"0.00")&amp;"|"&amp;IF(D33&gt;0,"R","P")</f>
        <v/>
      </c>
      <c r="H33" s="6">
        <f>COUNTIFS(Recon!$F$2:$F$129,G33,Recon!$K$2:$K$129,"MATCHED")&gt;0</f>
        <v/>
      </c>
      <c r="I33" s="6">
        <f>IF(H33=FALSE,ROW()-1,"")</f>
        <v/>
      </c>
    </row>
    <row r="34">
      <c r="A34" s="5" t="n">
        <v>46300</v>
      </c>
      <c r="B34" s="6" t="inlineStr">
        <is>
          <t>NEFT - Bansal Agro Products (PO 580)</t>
        </is>
      </c>
      <c r="C34" s="6" t="inlineStr">
        <is>
          <t>PV5541</t>
        </is>
      </c>
      <c r="D34" s="7" t="n">
        <v>0</v>
      </c>
      <c r="E34" s="7" t="n">
        <v>57000</v>
      </c>
      <c r="F34" s="7">
        <f>F33+D34-E34</f>
        <v/>
      </c>
      <c r="G34" s="6">
        <f>TEXT(MAX(D34,E34),"0.00")&amp;"|"&amp;IF(D34&gt;0,"R","P")</f>
        <v/>
      </c>
      <c r="H34" s="6">
        <f>COUNTIFS(Recon!$F$2:$F$129,G34,Recon!$K$2:$K$129,"MATCHED")&gt;0</f>
        <v/>
      </c>
      <c r="I34" s="6">
        <f>IF(H34=FALSE,ROW()-1,"")</f>
        <v/>
      </c>
    </row>
    <row r="35">
      <c r="A35" s="5" t="n">
        <v>46300</v>
      </c>
      <c r="B35" s="6" t="inlineStr">
        <is>
          <t>NEFT - Gupta General Store (inv 1081)</t>
        </is>
      </c>
      <c r="C35" s="6" t="inlineStr">
        <is>
          <t>RV7947</t>
        </is>
      </c>
      <c r="D35" s="7" t="n">
        <v>34050</v>
      </c>
      <c r="E35" s="7" t="n">
        <v>0</v>
      </c>
      <c r="F35" s="7">
        <f>F34+D35-E35</f>
        <v/>
      </c>
      <c r="G35" s="6">
        <f>TEXT(MAX(D35,E35),"0.00")&amp;"|"&amp;IF(D35&gt;0,"R","P")</f>
        <v/>
      </c>
      <c r="H35" s="6">
        <f>COUNTIFS(Recon!$F$2:$F$129,G35,Recon!$K$2:$K$129,"MATCHED")&gt;0</f>
        <v/>
      </c>
      <c r="I35" s="6">
        <f>IF(H35=FALSE,ROW()-1,"")</f>
        <v/>
      </c>
    </row>
    <row r="36">
      <c r="A36" s="5" t="n">
        <v>46300</v>
      </c>
      <c r="B36" s="6" t="inlineStr">
        <is>
          <t>RTGS - Mishra Mart (inv 1110)</t>
        </is>
      </c>
      <c r="C36" s="6" t="inlineStr">
        <is>
          <t>RV4204</t>
        </is>
      </c>
      <c r="D36" s="7" t="n">
        <v>53050</v>
      </c>
      <c r="E36" s="7" t="n">
        <v>0</v>
      </c>
      <c r="F36" s="7">
        <f>F35+D36-E36</f>
        <v/>
      </c>
      <c r="G36" s="6">
        <f>TEXT(MAX(D36,E36),"0.00")&amp;"|"&amp;IF(D36&gt;0,"R","P")</f>
        <v/>
      </c>
      <c r="H36" s="6">
        <f>COUNTIFS(Recon!$F$2:$F$129,G36,Recon!$K$2:$K$129,"MATCHED")&gt;0</f>
        <v/>
      </c>
      <c r="I36" s="6">
        <f>IF(H36=FALSE,ROW()-1,"")</f>
        <v/>
      </c>
    </row>
    <row r="37">
      <c r="A37" s="5" t="n">
        <v>46301</v>
      </c>
      <c r="B37" s="6" t="inlineStr">
        <is>
          <t>Godown rent - Oct</t>
        </is>
      </c>
      <c r="C37" s="6" t="inlineStr">
        <is>
          <t>PV3844</t>
        </is>
      </c>
      <c r="D37" s="7" t="n">
        <v>0</v>
      </c>
      <c r="E37" s="7" t="n">
        <v>25000</v>
      </c>
      <c r="F37" s="7">
        <f>F36+D37-E37</f>
        <v/>
      </c>
      <c r="G37" s="6">
        <f>TEXT(MAX(D37,E37),"0.00")&amp;"|"&amp;IF(D37&gt;0,"R","P")</f>
        <v/>
      </c>
      <c r="H37" s="6">
        <f>COUNTIFS(Recon!$F$2:$F$129,G37,Recon!$K$2:$K$129,"MATCHED")&gt;0</f>
        <v/>
      </c>
      <c r="I37" s="6">
        <f>IF(H37=FALSE,ROW()-1,"")</f>
        <v/>
      </c>
    </row>
    <row r="38">
      <c r="A38" s="5" t="n">
        <v>46301</v>
      </c>
      <c r="B38" s="6" t="inlineStr">
        <is>
          <t>NEFT - Bansal Agro Products (PO 553)</t>
        </is>
      </c>
      <c r="C38" s="6" t="inlineStr">
        <is>
          <t>PV5059</t>
        </is>
      </c>
      <c r="D38" s="7" t="n">
        <v>0</v>
      </c>
      <c r="E38" s="7" t="n">
        <v>70000</v>
      </c>
      <c r="F38" s="7">
        <f>F37+D38-E38</f>
        <v/>
      </c>
      <c r="G38" s="6">
        <f>TEXT(MAX(D38,E38),"0.00")&amp;"|"&amp;IF(D38&gt;0,"R","P")</f>
        <v/>
      </c>
      <c r="H38" s="6">
        <f>COUNTIFS(Recon!$F$2:$F$129,G38,Recon!$K$2:$K$129,"MATCHED")&gt;0</f>
        <v/>
      </c>
      <c r="I38" s="6">
        <f>IF(H38=FALSE,ROW()-1,"")</f>
        <v/>
      </c>
    </row>
    <row r="39">
      <c r="A39" s="5" t="n">
        <v>46301</v>
      </c>
      <c r="B39" s="6" t="inlineStr">
        <is>
          <t>NEFT - Dhillon FMCG (PO 606)</t>
        </is>
      </c>
      <c r="C39" s="6" t="inlineStr">
        <is>
          <t>PV5434</t>
        </is>
      </c>
      <c r="D39" s="7" t="n">
        <v>0</v>
      </c>
      <c r="E39" s="7" t="n">
        <v>31250</v>
      </c>
      <c r="F39" s="7">
        <f>F38+D39-E39</f>
        <v/>
      </c>
      <c r="G39" s="6">
        <f>TEXT(MAX(D39,E39),"0.00")&amp;"|"&amp;IF(D39&gt;0,"R","P")</f>
        <v/>
      </c>
      <c r="H39" s="6">
        <f>COUNTIFS(Recon!$F$2:$F$129,G39,Recon!$K$2:$K$129,"MATCHED")&gt;0</f>
        <v/>
      </c>
      <c r="I39" s="6">
        <f>IF(H39=FALSE,ROW()-1,"")</f>
        <v/>
      </c>
    </row>
    <row r="40">
      <c r="A40" s="5" t="n">
        <v>46301</v>
      </c>
      <c r="B40" s="6" t="inlineStr">
        <is>
          <t>NEFT - Eagle Beverages (PO 550)</t>
        </is>
      </c>
      <c r="C40" s="6" t="inlineStr">
        <is>
          <t>PV4329</t>
        </is>
      </c>
      <c r="D40" s="7" t="n">
        <v>0</v>
      </c>
      <c r="E40" s="7" t="n">
        <v>89000</v>
      </c>
      <c r="F40" s="7">
        <f>F39+D40-E40</f>
        <v/>
      </c>
      <c r="G40" s="6">
        <f>TEXT(MAX(D40,E40),"0.00")&amp;"|"&amp;IF(D40&gt;0,"R","P")</f>
        <v/>
      </c>
      <c r="H40" s="6">
        <f>COUNTIFS(Recon!$F$2:$F$129,G40,Recon!$K$2:$K$129,"MATCHED")&gt;0</f>
        <v/>
      </c>
      <c r="I40" s="6">
        <f>IF(H40=FALSE,ROW()-1,"")</f>
        <v/>
      </c>
    </row>
    <row r="41">
      <c r="A41" s="5" t="n">
        <v>46301</v>
      </c>
      <c r="B41" s="6" t="inlineStr">
        <is>
          <t>TDS deposit Q2</t>
        </is>
      </c>
      <c r="C41" s="6" t="inlineStr">
        <is>
          <t>PV1892</t>
        </is>
      </c>
      <c r="D41" s="7" t="n">
        <v>0</v>
      </c>
      <c r="E41" s="7" t="n">
        <v>23780</v>
      </c>
      <c r="F41" s="7">
        <f>F40+D41-E41</f>
        <v/>
      </c>
      <c r="G41" s="6">
        <f>TEXT(MAX(D41,E41),"0.00")&amp;"|"&amp;IF(D41&gt;0,"R","P")</f>
        <v/>
      </c>
      <c r="H41" s="6">
        <f>COUNTIFS(Recon!$F$2:$F$129,G41,Recon!$K$2:$K$129,"MATCHED")&gt;0</f>
        <v/>
      </c>
      <c r="I41" s="6">
        <f>IF(H41=FALSE,ROW()-1,"")</f>
        <v/>
      </c>
    </row>
    <row r="42">
      <c r="A42" s="5" t="n">
        <v>46301</v>
      </c>
      <c r="B42" s="6" t="inlineStr">
        <is>
          <t>UPI - retail counter sales 4-Oct</t>
        </is>
      </c>
      <c r="C42" s="6" t="inlineStr">
        <is>
          <t>RV2235</t>
        </is>
      </c>
      <c r="D42" s="7" t="n">
        <v>2633</v>
      </c>
      <c r="E42" s="7" t="n">
        <v>0</v>
      </c>
      <c r="F42" s="7">
        <f>F41+D42-E42</f>
        <v/>
      </c>
      <c r="G42" s="6">
        <f>TEXT(MAX(D42,E42),"0.00")&amp;"|"&amp;IF(D42&gt;0,"R","P")</f>
        <v/>
      </c>
      <c r="H42" s="6">
        <f>COUNTIFS(Recon!$F$2:$F$129,G42,Recon!$K$2:$K$129,"MATCHED")&gt;0</f>
        <v/>
      </c>
      <c r="I42" s="6">
        <f>IF(H42=FALSE,ROW()-1,"")</f>
        <v/>
      </c>
    </row>
    <row r="43">
      <c r="A43" s="5" t="n">
        <v>46301</v>
      </c>
      <c r="B43" s="6" t="inlineStr">
        <is>
          <t>cheque - Singh Kirana (inv 1100)</t>
        </is>
      </c>
      <c r="C43" s="6" t="inlineStr">
        <is>
          <t>RV6531</t>
        </is>
      </c>
      <c r="D43" s="7" t="n">
        <v>92500</v>
      </c>
      <c r="E43" s="7" t="n">
        <v>0</v>
      </c>
      <c r="F43" s="7">
        <f>F42+D43-E43</f>
        <v/>
      </c>
      <c r="G43" s="6">
        <f>TEXT(MAX(D43,E43),"0.00")&amp;"|"&amp;IF(D43&gt;0,"R","P")</f>
        <v/>
      </c>
      <c r="H43" s="6">
        <f>COUNTIFS(Recon!$F$2:$F$129,G43,Recon!$K$2:$K$129,"MATCHED")&gt;0</f>
        <v/>
      </c>
      <c r="I43" s="6">
        <f>IF(H43=FALSE,ROW()-1,"")</f>
        <v/>
      </c>
    </row>
    <row r="44">
      <c r="A44" s="5" t="n">
        <v>46302</v>
      </c>
      <c r="B44" s="6" t="inlineStr">
        <is>
          <t>Insurance premium</t>
        </is>
      </c>
      <c r="C44" s="6" t="inlineStr">
        <is>
          <t>PV5249</t>
        </is>
      </c>
      <c r="D44" s="7" t="n">
        <v>0</v>
      </c>
      <c r="E44" s="7" t="n">
        <v>38000</v>
      </c>
      <c r="F44" s="7">
        <f>F43+D44-E44</f>
        <v/>
      </c>
      <c r="G44" s="6">
        <f>TEXT(MAX(D44,E44),"0.00")&amp;"|"&amp;IF(D44&gt;0,"R","P")</f>
        <v/>
      </c>
      <c r="H44" s="6">
        <f>COUNTIFS(Recon!$F$2:$F$129,G44,Recon!$K$2:$K$129,"MATCHED")&gt;0</f>
        <v/>
      </c>
      <c r="I44" s="6">
        <f>IF(H44=FALSE,ROW()-1,"")</f>
        <v/>
      </c>
    </row>
    <row r="45">
      <c r="A45" s="5" t="n">
        <v>46302</v>
      </c>
      <c r="B45" s="6" t="inlineStr">
        <is>
          <t>NEFT - Agrawal Foods Ltd (PO 592)</t>
        </is>
      </c>
      <c r="C45" s="6" t="inlineStr">
        <is>
          <t>PV6093</t>
        </is>
      </c>
      <c r="D45" s="7" t="n">
        <v>0</v>
      </c>
      <c r="E45" s="7" t="n">
        <v>17000</v>
      </c>
      <c r="F45" s="7">
        <f>F44+D45-E45</f>
        <v/>
      </c>
      <c r="G45" s="6">
        <f>TEXT(MAX(D45,E45),"0.00")&amp;"|"&amp;IF(D45&gt;0,"R","P")</f>
        <v/>
      </c>
      <c r="H45" s="6">
        <f>COUNTIFS(Recon!$F$2:$F$129,G45,Recon!$K$2:$K$129,"MATCHED")&gt;0</f>
        <v/>
      </c>
      <c r="I45" s="6">
        <f>IF(H45=FALSE,ROW()-1,"")</f>
        <v/>
      </c>
    </row>
    <row r="46">
      <c r="A46" s="5" t="n">
        <v>46302</v>
      </c>
      <c r="B46" s="6" t="inlineStr">
        <is>
          <t>NEFT - Bansal Agro Products (PO 512)</t>
        </is>
      </c>
      <c r="C46" s="6" t="inlineStr">
        <is>
          <t>PV7134</t>
        </is>
      </c>
      <c r="D46" s="7" t="n">
        <v>0</v>
      </c>
      <c r="E46" s="7" t="n">
        <v>43250</v>
      </c>
      <c r="F46" s="7">
        <f>F45+D46-E46</f>
        <v/>
      </c>
      <c r="G46" s="6">
        <f>TEXT(MAX(D46,E46),"0.00")&amp;"|"&amp;IF(D46&gt;0,"R","P")</f>
        <v/>
      </c>
      <c r="H46" s="6">
        <f>COUNTIFS(Recon!$F$2:$F$129,G46,Recon!$K$2:$K$129,"MATCHED")&gt;0</f>
        <v/>
      </c>
      <c r="I46" s="6">
        <f>IF(H46=FALSE,ROW()-1,"")</f>
        <v/>
      </c>
    </row>
    <row r="47">
      <c r="A47" s="5" t="n">
        <v>46302</v>
      </c>
      <c r="B47" s="6" t="inlineStr">
        <is>
          <t>NEFT salary - staff batch 2 Oct</t>
        </is>
      </c>
      <c r="C47" s="6" t="inlineStr">
        <is>
          <t>PV7313</t>
        </is>
      </c>
      <c r="D47" s="7" t="n">
        <v>0</v>
      </c>
      <c r="E47" s="7" t="n">
        <v>111000</v>
      </c>
      <c r="F47" s="7">
        <f>F46+D47-E47</f>
        <v/>
      </c>
      <c r="G47" s="6">
        <f>TEXT(MAX(D47,E47),"0.00")&amp;"|"&amp;IF(D47&gt;0,"R","P")</f>
        <v/>
      </c>
      <c r="H47" s="6">
        <f>COUNTIFS(Recon!$F$2:$F$129,G47,Recon!$K$2:$K$129,"MATCHED")&gt;0</f>
        <v/>
      </c>
      <c r="I47" s="6">
        <f>IF(H47=FALSE,ROW()-1,"")</f>
        <v/>
      </c>
    </row>
    <row r="48">
      <c r="A48" s="5" t="n">
        <v>46303</v>
      </c>
      <c r="B48" s="6" t="inlineStr">
        <is>
          <t>NEFT - Agrawal Foods Ltd (PO 590)</t>
        </is>
      </c>
      <c r="C48" s="6" t="inlineStr">
        <is>
          <t>PV2349</t>
        </is>
      </c>
      <c r="D48" s="7" t="n">
        <v>0</v>
      </c>
      <c r="E48" s="7" t="n">
        <v>72000</v>
      </c>
      <c r="F48" s="7">
        <f>F47+D48-E48</f>
        <v/>
      </c>
      <c r="G48" s="6">
        <f>TEXT(MAX(D48,E48),"0.00")&amp;"|"&amp;IF(D48&gt;0,"R","P")</f>
        <v/>
      </c>
      <c r="H48" s="6">
        <f>COUNTIFS(Recon!$F$2:$F$129,G48,Recon!$K$2:$K$129,"MATCHED")&gt;0</f>
        <v/>
      </c>
      <c r="I48" s="6">
        <f>IF(H48=FALSE,ROW()-1,"")</f>
        <v/>
      </c>
    </row>
    <row r="49">
      <c r="A49" s="5" t="n">
        <v>46303</v>
      </c>
      <c r="B49" s="6" t="inlineStr">
        <is>
          <t>NEFT - Agrawal Foods Ltd (PO 626)</t>
        </is>
      </c>
      <c r="C49" s="6" t="inlineStr">
        <is>
          <t>PV3754</t>
        </is>
      </c>
      <c r="D49" s="7" t="n">
        <v>0</v>
      </c>
      <c r="E49" s="7" t="n">
        <v>76250</v>
      </c>
      <c r="F49" s="7">
        <f>F48+D49-E49</f>
        <v/>
      </c>
      <c r="G49" s="6">
        <f>TEXT(MAX(D49,E49),"0.00")&amp;"|"&amp;IF(D49&gt;0,"R","P")</f>
        <v/>
      </c>
      <c r="H49" s="6">
        <f>COUNTIFS(Recon!$F$2:$F$129,G49,Recon!$K$2:$K$129,"MATCHED")&gt;0</f>
        <v/>
      </c>
      <c r="I49" s="6">
        <f>IF(H49=FALSE,ROW()-1,"")</f>
        <v/>
      </c>
    </row>
    <row r="50">
      <c r="A50" s="5" t="n">
        <v>46303</v>
      </c>
      <c r="B50" s="6" t="inlineStr">
        <is>
          <t>NEFT - Bansal Agro Products (PO 544)</t>
        </is>
      </c>
      <c r="C50" s="6" t="inlineStr">
        <is>
          <t>PV8822</t>
        </is>
      </c>
      <c r="D50" s="7" t="n">
        <v>0</v>
      </c>
      <c r="E50" s="7" t="n">
        <v>130250</v>
      </c>
      <c r="F50" s="7">
        <f>F49+D50-E50</f>
        <v/>
      </c>
      <c r="G50" s="6">
        <f>TEXT(MAX(D50,E50),"0.00")&amp;"|"&amp;IF(D50&gt;0,"R","P")</f>
        <v/>
      </c>
      <c r="H50" s="6">
        <f>COUNTIFS(Recon!$F$2:$F$129,G50,Recon!$K$2:$K$129,"MATCHED")&gt;0</f>
        <v/>
      </c>
      <c r="I50" s="6">
        <f>IF(H50=FALSE,ROW()-1,"")</f>
        <v/>
      </c>
    </row>
    <row r="51">
      <c r="A51" s="5" t="n">
        <v>46303</v>
      </c>
      <c r="B51" s="6" t="inlineStr">
        <is>
          <t>NEFT - Chawla Distributors (PO 538)</t>
        </is>
      </c>
      <c r="C51" s="6" t="inlineStr">
        <is>
          <t>PV8443</t>
        </is>
      </c>
      <c r="D51" s="7" t="n">
        <v>0</v>
      </c>
      <c r="E51" s="7" t="n">
        <v>118000</v>
      </c>
      <c r="F51" s="7">
        <f>F50+D51-E51</f>
        <v/>
      </c>
      <c r="G51" s="6">
        <f>TEXT(MAX(D51,E51),"0.00")&amp;"|"&amp;IF(D51&gt;0,"R","P")</f>
        <v/>
      </c>
      <c r="H51" s="6">
        <f>COUNTIFS(Recon!$F$2:$F$129,G51,Recon!$K$2:$K$129,"MATCHED")&gt;0</f>
        <v/>
      </c>
      <c r="I51" s="6">
        <f>IF(H51=FALSE,ROW()-1,"")</f>
        <v/>
      </c>
    </row>
    <row r="52">
      <c r="A52" s="5" t="n">
        <v>46303</v>
      </c>
      <c r="B52" s="6" t="inlineStr">
        <is>
          <t>NEFT salary - staff batch 1 Oct</t>
        </is>
      </c>
      <c r="C52" s="6" t="inlineStr">
        <is>
          <t>PV6869</t>
        </is>
      </c>
      <c r="D52" s="7" t="n">
        <v>0</v>
      </c>
      <c r="E52" s="7" t="n">
        <v>121000</v>
      </c>
      <c r="F52" s="7">
        <f>F51+D52-E52</f>
        <v/>
      </c>
      <c r="G52" s="6">
        <f>TEXT(MAX(D52,E52),"0.00")&amp;"|"&amp;IF(D52&gt;0,"R","P")</f>
        <v/>
      </c>
      <c r="H52" s="6">
        <f>COUNTIFS(Recon!$F$2:$F$129,G52,Recon!$K$2:$K$129,"MATCHED")&gt;0</f>
        <v/>
      </c>
      <c r="I52" s="6">
        <f>IF(H52=FALSE,ROW()-1,"")</f>
        <v/>
      </c>
    </row>
    <row r="53">
      <c r="A53" s="5" t="n">
        <v>46303</v>
      </c>
      <c r="B53" s="6" t="inlineStr">
        <is>
          <t>cheque - Gupta General Store (inv 1060)</t>
        </is>
      </c>
      <c r="C53" s="6" t="inlineStr">
        <is>
          <t>RV4307</t>
        </is>
      </c>
      <c r="D53" s="7" t="n">
        <v>85000</v>
      </c>
      <c r="E53" s="7" t="n">
        <v>0</v>
      </c>
      <c r="F53" s="7">
        <f>F52+D53-E53</f>
        <v/>
      </c>
      <c r="G53" s="6">
        <f>TEXT(MAX(D53,E53),"0.00")&amp;"|"&amp;IF(D53&gt;0,"R","P")</f>
        <v/>
      </c>
      <c r="H53" s="6">
        <f>COUNTIFS(Recon!$F$2:$F$129,G53,Recon!$K$2:$K$129,"MATCHED")&gt;0</f>
        <v/>
      </c>
      <c r="I53" s="6">
        <f>IF(H53=FALSE,ROW()-1,"")</f>
        <v/>
      </c>
    </row>
    <row r="54">
      <c r="A54" s="5" t="n">
        <v>46303</v>
      </c>
      <c r="B54" s="6" t="inlineStr">
        <is>
          <t>cheque - Mishra Mart (inv 1033)</t>
        </is>
      </c>
      <c r="C54" s="6" t="inlineStr">
        <is>
          <t>RV4843</t>
        </is>
      </c>
      <c r="D54" s="7" t="n">
        <v>44000</v>
      </c>
      <c r="E54" s="7" t="n">
        <v>0</v>
      </c>
      <c r="F54" s="7">
        <f>F53+D54-E54</f>
        <v/>
      </c>
      <c r="G54" s="6">
        <f>TEXT(MAX(D54,E54),"0.00")&amp;"|"&amp;IF(D54&gt;0,"R","P")</f>
        <v/>
      </c>
      <c r="H54" s="6">
        <f>COUNTIFS(Recon!$F$2:$F$129,G54,Recon!$K$2:$K$129,"MATCHED")&gt;0</f>
        <v/>
      </c>
      <c r="I54" s="6">
        <f>IF(H54=FALSE,ROW()-1,"")</f>
        <v/>
      </c>
    </row>
    <row r="55">
      <c r="A55" s="5" t="n">
        <v>46304</v>
      </c>
      <c r="B55" s="6" t="inlineStr">
        <is>
          <t>Insurance premium</t>
        </is>
      </c>
      <c r="C55" s="6" t="inlineStr">
        <is>
          <t>PV3245</t>
        </is>
      </c>
      <c r="D55" s="7" t="n">
        <v>0</v>
      </c>
      <c r="E55" s="7" t="n">
        <v>14500</v>
      </c>
      <c r="F55" s="7">
        <f>F54+D55-E55</f>
        <v/>
      </c>
      <c r="G55" s="6">
        <f>TEXT(MAX(D55,E55),"0.00")&amp;"|"&amp;IF(D55&gt;0,"R","P")</f>
        <v/>
      </c>
      <c r="H55" s="6">
        <f>COUNTIFS(Recon!$F$2:$F$129,G55,Recon!$K$2:$K$129,"MATCHED")&gt;0</f>
        <v/>
      </c>
      <c r="I55" s="6">
        <f>IF(H55=FALSE,ROW()-1,"")</f>
        <v/>
      </c>
    </row>
    <row r="56">
      <c r="A56" s="5" t="n">
        <v>46304</v>
      </c>
      <c r="B56" s="6" t="inlineStr">
        <is>
          <t>NEFT - Agrawal Foods Ltd (PO 570)</t>
        </is>
      </c>
      <c r="C56" s="6" t="inlineStr">
        <is>
          <t>PV8682</t>
        </is>
      </c>
      <c r="D56" s="7" t="n">
        <v>0</v>
      </c>
      <c r="E56" s="7" t="n">
        <v>138000</v>
      </c>
      <c r="F56" s="7">
        <f>F55+D56-E56</f>
        <v/>
      </c>
      <c r="G56" s="6">
        <f>TEXT(MAX(D56,E56),"0.00")&amp;"|"&amp;IF(D56&gt;0,"R","P")</f>
        <v/>
      </c>
      <c r="H56" s="6">
        <f>COUNTIFS(Recon!$F$2:$F$129,G56,Recon!$K$2:$K$129,"MATCHED")&gt;0</f>
        <v/>
      </c>
      <c r="I56" s="6">
        <f>IF(H56=FALSE,ROW()-1,"")</f>
        <v/>
      </c>
    </row>
    <row r="57">
      <c r="A57" s="5" t="n">
        <v>46304</v>
      </c>
      <c r="B57" s="6" t="inlineStr">
        <is>
          <t>NEFT - Bansal Agro Products (PO 576)</t>
        </is>
      </c>
      <c r="C57" s="6" t="inlineStr">
        <is>
          <t>PV5021</t>
        </is>
      </c>
      <c r="D57" s="7" t="n">
        <v>0</v>
      </c>
      <c r="E57" s="7" t="n">
        <v>93000</v>
      </c>
      <c r="F57" s="7">
        <f>F56+D57-E57</f>
        <v/>
      </c>
      <c r="G57" s="6">
        <f>TEXT(MAX(D57,E57),"0.00")&amp;"|"&amp;IF(D57&gt;0,"R","P")</f>
        <v/>
      </c>
      <c r="H57" s="6">
        <f>COUNTIFS(Recon!$F$2:$F$129,G57,Recon!$K$2:$K$129,"MATCHED")&gt;0</f>
        <v/>
      </c>
      <c r="I57" s="6">
        <f>IF(H57=FALSE,ROW()-1,"")</f>
        <v/>
      </c>
    </row>
    <row r="58">
      <c r="A58" s="5" t="n">
        <v>46304</v>
      </c>
      <c r="B58" s="6" t="inlineStr">
        <is>
          <t>UPI - retail counter sales 12-Oct</t>
        </is>
      </c>
      <c r="C58" s="6" t="inlineStr">
        <is>
          <t>RV3853</t>
        </is>
      </c>
      <c r="D58" s="7" t="n">
        <v>3662</v>
      </c>
      <c r="E58" s="7" t="n">
        <v>0</v>
      </c>
      <c r="F58" s="7">
        <f>F57+D58-E58</f>
        <v/>
      </c>
      <c r="G58" s="6">
        <f>TEXT(MAX(D58,E58),"0.00")&amp;"|"&amp;IF(D58&gt;0,"R","P")</f>
        <v/>
      </c>
      <c r="H58" s="6">
        <f>COUNTIFS(Recon!$F$2:$F$129,G58,Recon!$K$2:$K$129,"MATCHED")&gt;0</f>
        <v/>
      </c>
      <c r="I58" s="6">
        <f>IF(H58=FALSE,ROW()-1,"")</f>
        <v/>
      </c>
    </row>
    <row r="59">
      <c r="A59" s="5" t="n">
        <v>46305</v>
      </c>
      <c r="B59" s="6" t="inlineStr">
        <is>
          <t>NEFT - Agrawal Foods Ltd (PO 511)</t>
        </is>
      </c>
      <c r="C59" s="6" t="inlineStr">
        <is>
          <t>PV2423</t>
        </is>
      </c>
      <c r="D59" s="7" t="n">
        <v>0</v>
      </c>
      <c r="E59" s="7" t="n">
        <v>152250</v>
      </c>
      <c r="F59" s="7">
        <f>F58+D59-E59</f>
        <v/>
      </c>
      <c r="G59" s="6">
        <f>TEXT(MAX(D59,E59),"0.00")&amp;"|"&amp;IF(D59&gt;0,"R","P")</f>
        <v/>
      </c>
      <c r="H59" s="6">
        <f>COUNTIFS(Recon!$F$2:$F$129,G59,Recon!$K$2:$K$129,"MATCHED")&gt;0</f>
        <v/>
      </c>
      <c r="I59" s="6">
        <f>IF(H59=FALSE,ROW()-1,"")</f>
        <v/>
      </c>
    </row>
    <row r="60">
      <c r="A60" s="5" t="n">
        <v>46305</v>
      </c>
      <c r="B60" s="6" t="inlineStr">
        <is>
          <t>NEFT - FreshFarms Coop (PO 520)</t>
        </is>
      </c>
      <c r="C60" s="6" t="inlineStr">
        <is>
          <t>PV2421</t>
        </is>
      </c>
      <c r="D60" s="7" t="n">
        <v>0</v>
      </c>
      <c r="E60" s="7" t="n">
        <v>160000</v>
      </c>
      <c r="F60" s="7">
        <f>F59+D60-E60</f>
        <v/>
      </c>
      <c r="G60" s="6">
        <f>TEXT(MAX(D60,E60),"0.00")&amp;"|"&amp;IF(D60&gt;0,"R","P")</f>
        <v/>
      </c>
      <c r="H60" s="6">
        <f>COUNTIFS(Recon!$F$2:$F$129,G60,Recon!$K$2:$K$129,"MATCHED")&gt;0</f>
        <v/>
      </c>
      <c r="I60" s="6">
        <f>IF(H60=FALSE,ROW()-1,"")</f>
        <v/>
      </c>
    </row>
    <row r="61">
      <c r="A61" s="5" t="n">
        <v>46305</v>
      </c>
      <c r="B61" s="6" t="inlineStr">
        <is>
          <t>NEFT - Jain Super Bazaar (inv 1070)</t>
        </is>
      </c>
      <c r="C61" s="6" t="inlineStr">
        <is>
          <t>RV2746</t>
        </is>
      </c>
      <c r="D61" s="7" t="n">
        <v>15000</v>
      </c>
      <c r="E61" s="7" t="n">
        <v>0</v>
      </c>
      <c r="F61" s="7">
        <f>F60+D61-E61</f>
        <v/>
      </c>
      <c r="G61" s="6">
        <f>TEXT(MAX(D61,E61),"0.00")&amp;"|"&amp;IF(D61&gt;0,"R","P")</f>
        <v/>
      </c>
      <c r="H61" s="6">
        <f>COUNTIFS(Recon!$F$2:$F$129,G61,Recon!$K$2:$K$129,"MATCHED")&gt;0</f>
        <v/>
      </c>
      <c r="I61" s="6">
        <f>IF(H61=FALSE,ROW()-1,"")</f>
        <v/>
      </c>
    </row>
    <row r="62">
      <c r="A62" s="5" t="n">
        <v>46305</v>
      </c>
      <c r="B62" s="6" t="inlineStr">
        <is>
          <t>UPI - Jain Super Bazaar (inv 1053)</t>
        </is>
      </c>
      <c r="C62" s="6" t="inlineStr">
        <is>
          <t>RV6820</t>
        </is>
      </c>
      <c r="D62" s="7" t="n">
        <v>38050</v>
      </c>
      <c r="E62" s="7" t="n">
        <v>0</v>
      </c>
      <c r="F62" s="7">
        <f>F61+D62-E62</f>
        <v/>
      </c>
      <c r="G62" s="6">
        <f>TEXT(MAX(D62,E62),"0.00")&amp;"|"&amp;IF(D62&gt;0,"R","P")</f>
        <v/>
      </c>
      <c r="H62" s="6">
        <f>COUNTIFS(Recon!$F$2:$F$129,G62,Recon!$K$2:$K$129,"MATCHED")&gt;0</f>
        <v/>
      </c>
      <c r="I62" s="6">
        <f>IF(H62=FALSE,ROW()-1,"")</f>
        <v/>
      </c>
    </row>
    <row r="63">
      <c r="A63" s="5" t="n">
        <v>46305</v>
      </c>
      <c r="B63" s="6" t="inlineStr">
        <is>
          <t>UPI - retail counter sales 18-Oct</t>
        </is>
      </c>
      <c r="C63" s="6" t="inlineStr">
        <is>
          <t>RV7197</t>
        </is>
      </c>
      <c r="D63" s="7" t="n">
        <v>7110</v>
      </c>
      <c r="E63" s="7" t="n">
        <v>0</v>
      </c>
      <c r="F63" s="7">
        <f>F62+D63-E63</f>
        <v/>
      </c>
      <c r="G63" s="6">
        <f>TEXT(MAX(D63,E63),"0.00")&amp;"|"&amp;IF(D63&gt;0,"R","P")</f>
        <v/>
      </c>
      <c r="H63" s="6">
        <f>COUNTIFS(Recon!$F$2:$F$129,G63,Recon!$K$2:$K$129,"MATCHED")&gt;0</f>
        <v/>
      </c>
      <c r="I63" s="6">
        <f>IF(H63=FALSE,ROW()-1,"")</f>
        <v/>
      </c>
    </row>
    <row r="64">
      <c r="A64" s="5" t="n">
        <v>46306</v>
      </c>
      <c r="B64" s="6" t="inlineStr">
        <is>
          <t>NEFT - Eagle Beverages (PO 519)</t>
        </is>
      </c>
      <c r="C64" s="6" t="inlineStr">
        <is>
          <t>PV2021</t>
        </is>
      </c>
      <c r="D64" s="7" t="n">
        <v>0</v>
      </c>
      <c r="E64" s="7" t="n">
        <v>174000</v>
      </c>
      <c r="F64" s="7">
        <f>F63+D64-E64</f>
        <v/>
      </c>
      <c r="G64" s="6">
        <f>TEXT(MAX(D64,E64),"0.00")&amp;"|"&amp;IF(D64&gt;0,"R","P")</f>
        <v/>
      </c>
      <c r="H64" s="6">
        <f>COUNTIFS(Recon!$F$2:$F$129,G64,Recon!$K$2:$K$129,"MATCHED")&gt;0</f>
        <v/>
      </c>
      <c r="I64" s="6">
        <f>IF(H64=FALSE,ROW()-1,"")</f>
        <v/>
      </c>
    </row>
    <row r="65">
      <c r="A65" s="5" t="n">
        <v>46306</v>
      </c>
      <c r="B65" s="6" t="inlineStr">
        <is>
          <t>NEFT - Patel Daily Needs (inv 1051)</t>
        </is>
      </c>
      <c r="C65" s="6" t="inlineStr">
        <is>
          <t>RV5604</t>
        </is>
      </c>
      <c r="D65" s="7" t="n">
        <v>45050</v>
      </c>
      <c r="E65" s="7" t="n">
        <v>0</v>
      </c>
      <c r="F65" s="7">
        <f>F64+D65-E65</f>
        <v/>
      </c>
      <c r="G65" s="6">
        <f>TEXT(MAX(D65,E65),"0.00")&amp;"|"&amp;IF(D65&gt;0,"R","P")</f>
        <v/>
      </c>
      <c r="H65" s="6">
        <f>COUNTIFS(Recon!$F$2:$F$129,G65,Recon!$K$2:$K$129,"MATCHED")&gt;0</f>
        <v/>
      </c>
      <c r="I65" s="6">
        <f>IF(H65=FALSE,ROW()-1,"")</f>
        <v/>
      </c>
    </row>
    <row r="66">
      <c r="A66" s="5" t="n">
        <v>46306</v>
      </c>
      <c r="B66" s="6" t="inlineStr">
        <is>
          <t>RTGS - Patel Daily Needs (inv 1122)</t>
        </is>
      </c>
      <c r="C66" s="6" t="inlineStr">
        <is>
          <t>RV4665</t>
        </is>
      </c>
      <c r="D66" s="7" t="n">
        <v>62050</v>
      </c>
      <c r="E66" s="7" t="n">
        <v>0</v>
      </c>
      <c r="F66" s="7">
        <f>F65+D66-E66</f>
        <v/>
      </c>
      <c r="G66" s="6">
        <f>TEXT(MAX(D66,E66),"0.00")&amp;"|"&amp;IF(D66&gt;0,"R","P")</f>
        <v/>
      </c>
      <c r="H66" s="6">
        <f>COUNTIFS(Recon!$F$2:$F$129,G66,Recon!$K$2:$K$129,"MATCHED")&gt;0</f>
        <v/>
      </c>
      <c r="I66" s="6">
        <f>IF(H66=FALSE,ROW()-1,"")</f>
        <v/>
      </c>
    </row>
    <row r="67">
      <c r="A67" s="5" t="n">
        <v>46306</v>
      </c>
      <c r="B67" s="6" t="inlineStr">
        <is>
          <t>UPI - retail counter sales 2-Oct</t>
        </is>
      </c>
      <c r="C67" s="6" t="inlineStr">
        <is>
          <t>RV2972</t>
        </is>
      </c>
      <c r="D67" s="7" t="n">
        <v>1929</v>
      </c>
      <c r="E67" s="7" t="n">
        <v>0</v>
      </c>
      <c r="F67" s="7">
        <f>F66+D67-E67</f>
        <v/>
      </c>
      <c r="G67" s="6">
        <f>TEXT(MAX(D67,E67),"0.00")&amp;"|"&amp;IF(D67&gt;0,"R","P")</f>
        <v/>
      </c>
      <c r="H67" s="6">
        <f>COUNTIFS(Recon!$F$2:$F$129,G67,Recon!$K$2:$K$129,"MATCHED")&gt;0</f>
        <v/>
      </c>
      <c r="I67" s="6">
        <f>IF(H67=FALSE,ROW()-1,"")</f>
        <v/>
      </c>
    </row>
    <row r="68">
      <c r="A68" s="5" t="n">
        <v>46306</v>
      </c>
      <c r="B68" s="6" t="inlineStr">
        <is>
          <t>UPI - retail counter sales 21-Oct</t>
        </is>
      </c>
      <c r="C68" s="6" t="inlineStr">
        <is>
          <t>RV6521</t>
        </is>
      </c>
      <c r="D68" s="7" t="n">
        <v>3700</v>
      </c>
      <c r="E68" s="7" t="n">
        <v>0</v>
      </c>
      <c r="F68" s="7">
        <f>F67+D68-E68</f>
        <v/>
      </c>
      <c r="G68" s="6">
        <f>TEXT(MAX(D68,E68),"0.00")&amp;"|"&amp;IF(D68&gt;0,"R","P")</f>
        <v/>
      </c>
      <c r="H68" s="6">
        <f>COUNTIFS(Recon!$F$2:$F$129,G68,Recon!$K$2:$K$129,"MATCHED")&gt;0</f>
        <v/>
      </c>
      <c r="I68" s="6">
        <f>IF(H68=FALSE,ROW()-1,"")</f>
        <v/>
      </c>
    </row>
    <row r="69">
      <c r="A69" s="5" t="n">
        <v>46306</v>
      </c>
      <c r="B69" s="6" t="inlineStr">
        <is>
          <t>UPI - retail counter sales 3-Oct</t>
        </is>
      </c>
      <c r="C69" s="6" t="inlineStr">
        <is>
          <t>RV2963</t>
        </is>
      </c>
      <c r="D69" s="7" t="n">
        <v>2986</v>
      </c>
      <c r="E69" s="7" t="n">
        <v>0</v>
      </c>
      <c r="F69" s="7">
        <f>F68+D69-E69</f>
        <v/>
      </c>
      <c r="G69" s="6">
        <f>TEXT(MAX(D69,E69),"0.00")&amp;"|"&amp;IF(D69&gt;0,"R","P")</f>
        <v/>
      </c>
      <c r="H69" s="6">
        <f>COUNTIFS(Recon!$F$2:$F$129,G69,Recon!$K$2:$K$129,"MATCHED")&gt;0</f>
        <v/>
      </c>
      <c r="I69" s="6">
        <f>IF(H69=FALSE,ROW()-1,"")</f>
        <v/>
      </c>
    </row>
    <row r="70">
      <c r="A70" s="5" t="n">
        <v>46307</v>
      </c>
      <c r="B70" s="6" t="inlineStr">
        <is>
          <t>NEFT - Kumar &amp; Sons (inv 1036)</t>
        </is>
      </c>
      <c r="C70" s="6" t="inlineStr">
        <is>
          <t>RV2684</t>
        </is>
      </c>
      <c r="D70" s="7" t="n">
        <v>26000</v>
      </c>
      <c r="E70" s="7" t="n">
        <v>0</v>
      </c>
      <c r="F70" s="7">
        <f>F69+D70-E70</f>
        <v/>
      </c>
      <c r="G70" s="6">
        <f>TEXT(MAX(D70,E70),"0.00")&amp;"|"&amp;IF(D70&gt;0,"R","P")</f>
        <v/>
      </c>
      <c r="H70" s="6">
        <f>COUNTIFS(Recon!$F$2:$F$129,G70,Recon!$K$2:$K$129,"MATCHED")&gt;0</f>
        <v/>
      </c>
      <c r="I70" s="6">
        <f>IF(H70=FALSE,ROW()-1,"")</f>
        <v/>
      </c>
    </row>
    <row r="71">
      <c r="A71" s="5" t="n">
        <v>46307</v>
      </c>
      <c r="B71" s="6" t="inlineStr">
        <is>
          <t>NEFT - Sharma Retail Store (inv 1087)</t>
        </is>
      </c>
      <c r="C71" s="6" t="inlineStr">
        <is>
          <t>RV5040</t>
        </is>
      </c>
      <c r="D71" s="7" t="n">
        <v>52000</v>
      </c>
      <c r="E71" s="7" t="n">
        <v>0</v>
      </c>
      <c r="F71" s="7">
        <f>F70+D71-E71</f>
        <v/>
      </c>
      <c r="G71" s="6">
        <f>TEXT(MAX(D71,E71),"0.00")&amp;"|"&amp;IF(D71&gt;0,"R","P")</f>
        <v/>
      </c>
      <c r="H71" s="6">
        <f>COUNTIFS(Recon!$F$2:$F$129,G71,Recon!$K$2:$K$129,"MATCHED")&gt;0</f>
        <v/>
      </c>
      <c r="I71" s="6">
        <f>IF(H71=FALSE,ROW()-1,"")</f>
        <v/>
      </c>
    </row>
    <row r="72">
      <c r="A72" s="5" t="n">
        <v>46307</v>
      </c>
      <c r="B72" s="6" t="inlineStr">
        <is>
          <t>UPI - Verma Traders (inv 1153)</t>
        </is>
      </c>
      <c r="C72" s="6" t="inlineStr">
        <is>
          <t>RV6048</t>
        </is>
      </c>
      <c r="D72" s="7" t="n">
        <v>74500</v>
      </c>
      <c r="E72" s="7" t="n">
        <v>0</v>
      </c>
      <c r="F72" s="7">
        <f>F71+D72-E72</f>
        <v/>
      </c>
      <c r="G72" s="6">
        <f>TEXT(MAX(D72,E72),"0.00")&amp;"|"&amp;IF(D72&gt;0,"R","P")</f>
        <v/>
      </c>
      <c r="H72" s="6">
        <f>COUNTIFS(Recon!$F$2:$F$129,G72,Recon!$K$2:$K$129,"MATCHED")&gt;0</f>
        <v/>
      </c>
      <c r="I72" s="6">
        <f>IF(H72=FALSE,ROW()-1,"")</f>
        <v/>
      </c>
    </row>
    <row r="73">
      <c r="A73" s="5" t="n">
        <v>46307</v>
      </c>
      <c r="B73" s="6" t="inlineStr">
        <is>
          <t>UPI - retail counter sales 11-Oct</t>
        </is>
      </c>
      <c r="C73" s="6" t="inlineStr">
        <is>
          <t>RV6544</t>
        </is>
      </c>
      <c r="D73" s="7" t="n">
        <v>7073</v>
      </c>
      <c r="E73" s="7" t="n">
        <v>0</v>
      </c>
      <c r="F73" s="7">
        <f>F72+D73-E73</f>
        <v/>
      </c>
      <c r="G73" s="6">
        <f>TEXT(MAX(D73,E73),"0.00")&amp;"|"&amp;IF(D73&gt;0,"R","P")</f>
        <v/>
      </c>
      <c r="H73" s="6">
        <f>COUNTIFS(Recon!$F$2:$F$129,G73,Recon!$K$2:$K$129,"MATCHED")&gt;0</f>
        <v/>
      </c>
      <c r="I73" s="6">
        <f>IF(H73=FALSE,ROW()-1,"")</f>
        <v/>
      </c>
    </row>
    <row r="74">
      <c r="A74" s="5" t="n">
        <v>46307</v>
      </c>
      <c r="B74" s="6" t="inlineStr">
        <is>
          <t>cheque - Verma Traders (inv 1169)</t>
        </is>
      </c>
      <c r="C74" s="6" t="inlineStr">
        <is>
          <t>RV1898</t>
        </is>
      </c>
      <c r="D74" s="7" t="n">
        <v>43500</v>
      </c>
      <c r="E74" s="7" t="n">
        <v>0</v>
      </c>
      <c r="F74" s="7">
        <f>F73+D74-E74</f>
        <v/>
      </c>
      <c r="G74" s="6">
        <f>TEXT(MAX(D74,E74),"0.00")&amp;"|"&amp;IF(D74&gt;0,"R","P")</f>
        <v/>
      </c>
      <c r="H74" s="6">
        <f>COUNTIFS(Recon!$F$2:$F$129,G74,Recon!$K$2:$K$129,"MATCHED")&gt;0</f>
        <v/>
      </c>
      <c r="I74" s="6">
        <f>IF(H74=FALSE,ROW()-1,"")</f>
        <v/>
      </c>
    </row>
    <row r="75">
      <c r="A75" s="5" t="n">
        <v>46308</v>
      </c>
      <c r="B75" s="6" t="inlineStr">
        <is>
          <t>NEFT - Agrawal Foods Ltd (PO 539)</t>
        </is>
      </c>
      <c r="C75" s="6" t="inlineStr">
        <is>
          <t>PV1972</t>
        </is>
      </c>
      <c r="D75" s="7" t="n">
        <v>0</v>
      </c>
      <c r="E75" s="7" t="n">
        <v>163257</v>
      </c>
      <c r="F75" s="7">
        <f>F74+D75-E75</f>
        <v/>
      </c>
      <c r="G75" s="6">
        <f>TEXT(MAX(D75,E75),"0.00")&amp;"|"&amp;IF(D75&gt;0,"R","P")</f>
        <v/>
      </c>
      <c r="H75" s="6">
        <f>COUNTIFS(Recon!$F$2:$F$129,G75,Recon!$K$2:$K$129,"MATCHED")&gt;0</f>
        <v/>
      </c>
      <c r="I75" s="6">
        <f>IF(H75=FALSE,ROW()-1,"")</f>
        <v/>
      </c>
    </row>
    <row r="76">
      <c r="A76" s="5" t="n">
        <v>46308</v>
      </c>
      <c r="B76" s="6" t="inlineStr">
        <is>
          <t>NEFT - Dhillon FMCG (PO 631)</t>
        </is>
      </c>
      <c r="C76" s="6" t="inlineStr">
        <is>
          <t>PV6541</t>
        </is>
      </c>
      <c r="D76" s="7" t="n">
        <v>0</v>
      </c>
      <c r="E76" s="7" t="n">
        <v>49007</v>
      </c>
      <c r="F76" s="7">
        <f>F75+D76-E76</f>
        <v/>
      </c>
      <c r="G76" s="6">
        <f>TEXT(MAX(D76,E76),"0.00")&amp;"|"&amp;IF(D76&gt;0,"R","P")</f>
        <v/>
      </c>
      <c r="H76" s="6">
        <f>COUNTIFS(Recon!$F$2:$F$129,G76,Recon!$K$2:$K$129,"MATCHED")&gt;0</f>
        <v/>
      </c>
      <c r="I76" s="6">
        <f>IF(H76=FALSE,ROW()-1,"")</f>
        <v/>
      </c>
    </row>
    <row r="77">
      <c r="A77" s="5" t="n">
        <v>46308</v>
      </c>
      <c r="B77" s="6" t="inlineStr">
        <is>
          <t>NEFT - FreshFarms Coop (PO 522)</t>
        </is>
      </c>
      <c r="C77" s="6" t="inlineStr">
        <is>
          <t>PV5335</t>
        </is>
      </c>
      <c r="D77" s="7" t="n">
        <v>0</v>
      </c>
      <c r="E77" s="7" t="n">
        <v>65000</v>
      </c>
      <c r="F77" s="7">
        <f>F76+D77-E77</f>
        <v/>
      </c>
      <c r="G77" s="6">
        <f>TEXT(MAX(D77,E77),"0.00")&amp;"|"&amp;IF(D77&gt;0,"R","P")</f>
        <v/>
      </c>
      <c r="H77" s="6">
        <f>COUNTIFS(Recon!$F$2:$F$129,G77,Recon!$K$2:$K$129,"MATCHED")&gt;0</f>
        <v/>
      </c>
      <c r="I77" s="6">
        <f>IF(H77=FALSE,ROW()-1,"")</f>
        <v/>
      </c>
    </row>
    <row r="78">
      <c r="A78" s="5" t="n">
        <v>46308</v>
      </c>
      <c r="B78" s="6" t="inlineStr">
        <is>
          <t>NEFT - Singh Kirana (inv 1112)</t>
        </is>
      </c>
      <c r="C78" s="6" t="inlineStr">
        <is>
          <t>RV9706</t>
        </is>
      </c>
      <c r="D78" s="7" t="n">
        <v>42500</v>
      </c>
      <c r="E78" s="7" t="n">
        <v>0</v>
      </c>
      <c r="F78" s="7">
        <f>F77+D78-E78</f>
        <v/>
      </c>
      <c r="G78" s="6">
        <f>TEXT(MAX(D78,E78),"0.00")&amp;"|"&amp;IF(D78&gt;0,"R","P")</f>
        <v/>
      </c>
      <c r="H78" s="6">
        <f>COUNTIFS(Recon!$F$2:$F$129,G78,Recon!$K$2:$K$129,"MATCHED")&gt;0</f>
        <v/>
      </c>
      <c r="I78" s="6">
        <f>IF(H78=FALSE,ROW()-1,"")</f>
        <v/>
      </c>
    </row>
    <row r="79">
      <c r="A79" s="5" t="n">
        <v>46308</v>
      </c>
      <c r="B79" s="6" t="inlineStr">
        <is>
          <t>UPI - retail counter sales 2-Oct</t>
        </is>
      </c>
      <c r="C79" s="6" t="inlineStr">
        <is>
          <t>RV6031</t>
        </is>
      </c>
      <c r="D79" s="7" t="n">
        <v>3955</v>
      </c>
      <c r="E79" s="7" t="n">
        <v>0</v>
      </c>
      <c r="F79" s="7">
        <f>F78+D79-E79</f>
        <v/>
      </c>
      <c r="G79" s="6">
        <f>TEXT(MAX(D79,E79),"0.00")&amp;"|"&amp;IF(D79&gt;0,"R","P")</f>
        <v/>
      </c>
      <c r="H79" s="6">
        <f>COUNTIFS(Recon!$F$2:$F$129,G79,Recon!$K$2:$K$129,"MATCHED")&gt;0</f>
        <v/>
      </c>
      <c r="I79" s="6">
        <f>IF(H79=FALSE,ROW()-1,"")</f>
        <v/>
      </c>
    </row>
    <row r="80">
      <c r="A80" s="5" t="n">
        <v>46309</v>
      </c>
      <c r="B80" s="6" t="inlineStr">
        <is>
          <t>NEFT - Agrawal Foods Ltd (PO 599)</t>
        </is>
      </c>
      <c r="C80" s="6" t="inlineStr">
        <is>
          <t>PV4868</t>
        </is>
      </c>
      <c r="D80" s="7" t="n">
        <v>0</v>
      </c>
      <c r="E80" s="7" t="n">
        <v>104250</v>
      </c>
      <c r="F80" s="7">
        <f>F79+D80-E80</f>
        <v/>
      </c>
      <c r="G80" s="6">
        <f>TEXT(MAX(D80,E80),"0.00")&amp;"|"&amp;IF(D80&gt;0,"R","P")</f>
        <v/>
      </c>
      <c r="H80" s="6">
        <f>COUNTIFS(Recon!$F$2:$F$129,G80,Recon!$K$2:$K$129,"MATCHED")&gt;0</f>
        <v/>
      </c>
      <c r="I80" s="6">
        <f>IF(H80=FALSE,ROW()-1,"")</f>
        <v/>
      </c>
    </row>
    <row r="81">
      <c r="A81" s="5" t="n">
        <v>46309</v>
      </c>
      <c r="B81" s="6" t="inlineStr">
        <is>
          <t>NEFT - Eagle Beverages (PO 536)</t>
        </is>
      </c>
      <c r="C81" s="6" t="inlineStr">
        <is>
          <t>PV5720</t>
        </is>
      </c>
      <c r="D81" s="7" t="n">
        <v>0</v>
      </c>
      <c r="E81" s="7" t="n">
        <v>140000</v>
      </c>
      <c r="F81" s="7">
        <f>F80+D81-E81</f>
        <v/>
      </c>
      <c r="G81" s="6">
        <f>TEXT(MAX(D81,E81),"0.00")&amp;"|"&amp;IF(D81&gt;0,"R","P")</f>
        <v/>
      </c>
      <c r="H81" s="6">
        <f>COUNTIFS(Recon!$F$2:$F$129,G81,Recon!$K$2:$K$129,"MATCHED")&gt;0</f>
        <v/>
      </c>
      <c r="I81" s="6">
        <f>IF(H81=FALSE,ROW()-1,"")</f>
        <v/>
      </c>
    </row>
    <row r="82">
      <c r="A82" s="5" t="n">
        <v>46309</v>
      </c>
      <c r="B82" s="6" t="inlineStr">
        <is>
          <t>NEFT - Eagle Beverages (PO 602)</t>
        </is>
      </c>
      <c r="C82" s="6" t="inlineStr">
        <is>
          <t>PV2717</t>
        </is>
      </c>
      <c r="D82" s="7" t="n">
        <v>0</v>
      </c>
      <c r="E82" s="7" t="n">
        <v>163250</v>
      </c>
      <c r="F82" s="7">
        <f>F81+D82-E82</f>
        <v/>
      </c>
      <c r="G82" s="6">
        <f>TEXT(MAX(D82,E82),"0.00")&amp;"|"&amp;IF(D82&gt;0,"R","P")</f>
        <v/>
      </c>
      <c r="H82" s="6">
        <f>COUNTIFS(Recon!$F$2:$F$129,G82,Recon!$K$2:$K$129,"MATCHED")&gt;0</f>
        <v/>
      </c>
      <c r="I82" s="6">
        <f>IF(H82=FALSE,ROW()-1,"")</f>
        <v/>
      </c>
    </row>
    <row r="83">
      <c r="A83" s="5" t="n">
        <v>46309</v>
      </c>
      <c r="B83" s="6" t="inlineStr">
        <is>
          <t>NEFT - Jain Super Bazaar (inv 1092)</t>
        </is>
      </c>
      <c r="C83" s="6" t="inlineStr">
        <is>
          <t>RV8538</t>
        </is>
      </c>
      <c r="D83" s="7" t="n">
        <v>57507</v>
      </c>
      <c r="E83" s="7" t="n">
        <v>0</v>
      </c>
      <c r="F83" s="7">
        <f>F82+D83-E83</f>
        <v/>
      </c>
      <c r="G83" s="6">
        <f>TEXT(MAX(D83,E83),"0.00")&amp;"|"&amp;IF(D83&gt;0,"R","P")</f>
        <v/>
      </c>
      <c r="H83" s="6">
        <f>COUNTIFS(Recon!$F$2:$F$129,G83,Recon!$K$2:$K$129,"MATCHED")&gt;0</f>
        <v/>
      </c>
      <c r="I83" s="6">
        <f>IF(H83=FALSE,ROW()-1,"")</f>
        <v/>
      </c>
    </row>
    <row r="84">
      <c r="A84" s="5" t="n">
        <v>46309</v>
      </c>
      <c r="B84" s="6" t="inlineStr">
        <is>
          <t>NEFT - Jain Super Bazaar (inv 1145)</t>
        </is>
      </c>
      <c r="C84" s="6" t="inlineStr">
        <is>
          <t>RV3420</t>
        </is>
      </c>
      <c r="D84" s="7" t="n">
        <v>23500</v>
      </c>
      <c r="E84" s="7" t="n">
        <v>0</v>
      </c>
      <c r="F84" s="7">
        <f>F83+D84-E84</f>
        <v/>
      </c>
      <c r="G84" s="6">
        <f>TEXT(MAX(D84,E84),"0.00")&amp;"|"&amp;IF(D84&gt;0,"R","P")</f>
        <v/>
      </c>
      <c r="H84" s="6">
        <f>COUNTIFS(Recon!$F$2:$F$129,G84,Recon!$K$2:$K$129,"MATCHED")&gt;0</f>
        <v/>
      </c>
      <c r="I84" s="6">
        <f>IF(H84=FALSE,ROW()-1,"")</f>
        <v/>
      </c>
    </row>
    <row r="85">
      <c r="A85" s="5" t="n">
        <v>46309</v>
      </c>
      <c r="B85" s="6" t="inlineStr">
        <is>
          <t>NEFT - Mishra Mart (inv 1178)</t>
        </is>
      </c>
      <c r="C85" s="6" t="inlineStr">
        <is>
          <t>RV7983</t>
        </is>
      </c>
      <c r="D85" s="7" t="n">
        <v>30050</v>
      </c>
      <c r="E85" s="7" t="n">
        <v>0</v>
      </c>
      <c r="F85" s="7">
        <f>F84+D85-E85</f>
        <v/>
      </c>
      <c r="G85" s="6">
        <f>TEXT(MAX(D85,E85),"0.00")&amp;"|"&amp;IF(D85&gt;0,"R","P")</f>
        <v/>
      </c>
      <c r="H85" s="6">
        <f>COUNTIFS(Recon!$F$2:$F$129,G85,Recon!$K$2:$K$129,"MATCHED")&gt;0</f>
        <v/>
      </c>
      <c r="I85" s="6">
        <f>IF(H85=FALSE,ROW()-1,"")</f>
        <v/>
      </c>
    </row>
    <row r="86">
      <c r="A86" s="5" t="n">
        <v>46309</v>
      </c>
      <c r="B86" s="6" t="inlineStr">
        <is>
          <t>UPI - retail counter sales 2-Oct</t>
        </is>
      </c>
      <c r="C86" s="6" t="inlineStr">
        <is>
          <t>RV3263</t>
        </is>
      </c>
      <c r="D86" s="7" t="n">
        <v>560</v>
      </c>
      <c r="E86" s="7" t="n">
        <v>0</v>
      </c>
      <c r="F86" s="7">
        <f>F85+D86-E86</f>
        <v/>
      </c>
      <c r="G86" s="6">
        <f>TEXT(MAX(D86,E86),"0.00")&amp;"|"&amp;IF(D86&gt;0,"R","P")</f>
        <v/>
      </c>
      <c r="H86" s="6">
        <f>COUNTIFS(Recon!$F$2:$F$129,G86,Recon!$K$2:$K$129,"MATCHED")&gt;0</f>
        <v/>
      </c>
      <c r="I86" s="6">
        <f>IF(H86=FALSE,ROW()-1,"")</f>
        <v/>
      </c>
    </row>
    <row r="87">
      <c r="A87" s="5" t="n">
        <v>46310</v>
      </c>
      <c r="B87" s="6" t="inlineStr">
        <is>
          <t>NEFT - Bansal Agro Products (PO 619)</t>
        </is>
      </c>
      <c r="C87" s="6" t="inlineStr">
        <is>
          <t>PV2981</t>
        </is>
      </c>
      <c r="D87" s="7" t="n">
        <v>0</v>
      </c>
      <c r="E87" s="7" t="n">
        <v>20250</v>
      </c>
      <c r="F87" s="7">
        <f>F86+D87-E87</f>
        <v/>
      </c>
      <c r="G87" s="6">
        <f>TEXT(MAX(D87,E87),"0.00")&amp;"|"&amp;IF(D87&gt;0,"R","P")</f>
        <v/>
      </c>
      <c r="H87" s="6">
        <f>COUNTIFS(Recon!$F$2:$F$129,G87,Recon!$K$2:$K$129,"MATCHED")&gt;0</f>
        <v/>
      </c>
      <c r="I87" s="6">
        <f>IF(H87=FALSE,ROW()-1,"")</f>
        <v/>
      </c>
    </row>
    <row r="88">
      <c r="A88" s="5" t="n">
        <v>46310</v>
      </c>
      <c r="B88" s="6" t="inlineStr">
        <is>
          <t>NEFT - Mishra Mart (inv 1059)</t>
        </is>
      </c>
      <c r="C88" s="6" t="inlineStr">
        <is>
          <t>RV5782</t>
        </is>
      </c>
      <c r="D88" s="7" t="n">
        <v>27500</v>
      </c>
      <c r="E88" s="7" t="n">
        <v>0</v>
      </c>
      <c r="F88" s="7">
        <f>F87+D88-E88</f>
        <v/>
      </c>
      <c r="G88" s="6">
        <f>TEXT(MAX(D88,E88),"0.00")&amp;"|"&amp;IF(D88&gt;0,"R","P")</f>
        <v/>
      </c>
      <c r="H88" s="6">
        <f>COUNTIFS(Recon!$F$2:$F$129,G88,Recon!$K$2:$K$129,"MATCHED")&gt;0</f>
        <v/>
      </c>
      <c r="I88" s="6">
        <f>IF(H88=FALSE,ROW()-1,"")</f>
        <v/>
      </c>
    </row>
    <row r="89">
      <c r="A89" s="5" t="n">
        <v>46310</v>
      </c>
      <c r="B89" s="6" t="inlineStr">
        <is>
          <t>UPI - retail counter sales 10-Oct</t>
        </is>
      </c>
      <c r="C89" s="6" t="inlineStr">
        <is>
          <t>RV9431</t>
        </is>
      </c>
      <c r="D89" s="7" t="n">
        <v>4124</v>
      </c>
      <c r="E89" s="7" t="n">
        <v>0</v>
      </c>
      <c r="F89" s="7">
        <f>F88+D89-E89</f>
        <v/>
      </c>
      <c r="G89" s="6">
        <f>TEXT(MAX(D89,E89),"0.00")&amp;"|"&amp;IF(D89&gt;0,"R","P")</f>
        <v/>
      </c>
      <c r="H89" s="6">
        <f>COUNTIFS(Recon!$F$2:$F$129,G89,Recon!$K$2:$K$129,"MATCHED")&gt;0</f>
        <v/>
      </c>
      <c r="I89" s="6">
        <f>IF(H89=FALSE,ROW()-1,"")</f>
        <v/>
      </c>
    </row>
    <row r="90">
      <c r="A90" s="5" t="n">
        <v>46310</v>
      </c>
      <c r="B90" s="6" t="inlineStr">
        <is>
          <t>UPI - retail counter sales 5-Oct</t>
        </is>
      </c>
      <c r="C90" s="6" t="inlineStr">
        <is>
          <t>RV7167</t>
        </is>
      </c>
      <c r="D90" s="7" t="n">
        <v>7945</v>
      </c>
      <c r="E90" s="7" t="n">
        <v>0</v>
      </c>
      <c r="F90" s="7">
        <f>F89+D90-E90</f>
        <v/>
      </c>
      <c r="G90" s="6">
        <f>TEXT(MAX(D90,E90),"0.00")&amp;"|"&amp;IF(D90&gt;0,"R","P")</f>
        <v/>
      </c>
      <c r="H90" s="6">
        <f>COUNTIFS(Recon!$F$2:$F$129,G90,Recon!$K$2:$K$129,"MATCHED")&gt;0</f>
        <v/>
      </c>
      <c r="I90" s="6">
        <f>IF(H90=FALSE,ROW()-1,"")</f>
        <v/>
      </c>
    </row>
    <row r="91">
      <c r="A91" s="5" t="n">
        <v>46310</v>
      </c>
      <c r="B91" s="6" t="inlineStr">
        <is>
          <t>UPI - retail counter sales 8-Oct</t>
        </is>
      </c>
      <c r="C91" s="6" t="inlineStr">
        <is>
          <t>RV1067</t>
        </is>
      </c>
      <c r="D91" s="7" t="n">
        <v>524</v>
      </c>
      <c r="E91" s="7" t="n">
        <v>0</v>
      </c>
      <c r="F91" s="7">
        <f>F90+D91-E91</f>
        <v/>
      </c>
      <c r="G91" s="6">
        <f>TEXT(MAX(D91,E91),"0.00")&amp;"|"&amp;IF(D91&gt;0,"R","P")</f>
        <v/>
      </c>
      <c r="H91" s="6">
        <f>COUNTIFS(Recon!$F$2:$F$129,G91,Recon!$K$2:$K$129,"MATCHED")&gt;0</f>
        <v/>
      </c>
      <c r="I91" s="6">
        <f>IF(H91=FALSE,ROW()-1,"")</f>
        <v/>
      </c>
    </row>
    <row r="92">
      <c r="A92" s="5" t="n">
        <v>46311</v>
      </c>
      <c r="B92" s="6" t="inlineStr">
        <is>
          <t>Audit fee advance</t>
        </is>
      </c>
      <c r="C92" s="6" t="inlineStr">
        <is>
          <t>PV2921</t>
        </is>
      </c>
      <c r="D92" s="7" t="n">
        <v>0</v>
      </c>
      <c r="E92" s="7" t="n">
        <v>20000</v>
      </c>
      <c r="F92" s="7">
        <f>F91+D92-E92</f>
        <v/>
      </c>
      <c r="G92" s="6">
        <f>TEXT(MAX(D92,E92),"0.00")&amp;"|"&amp;IF(D92&gt;0,"R","P")</f>
        <v/>
      </c>
      <c r="H92" s="6">
        <f>COUNTIFS(Recon!$F$2:$F$129,G92,Recon!$K$2:$K$129,"MATCHED")&gt;0</f>
        <v/>
      </c>
      <c r="I92" s="6">
        <f>IF(H92=FALSE,ROW()-1,"")</f>
        <v/>
      </c>
    </row>
    <row r="93">
      <c r="A93" s="5" t="n">
        <v>46311</v>
      </c>
      <c r="B93" s="6" t="inlineStr">
        <is>
          <t>NEFT - Bansal Agro Products (PO 627)</t>
        </is>
      </c>
      <c r="C93" s="6" t="inlineStr">
        <is>
          <t>PV1572</t>
        </is>
      </c>
      <c r="D93" s="7" t="n">
        <v>0</v>
      </c>
      <c r="E93" s="7" t="n">
        <v>49000</v>
      </c>
      <c r="F93" s="7">
        <f>F92+D93-E93</f>
        <v/>
      </c>
      <c r="G93" s="6">
        <f>TEXT(MAX(D93,E93),"0.00")&amp;"|"&amp;IF(D93&gt;0,"R","P")</f>
        <v/>
      </c>
      <c r="H93" s="6">
        <f>COUNTIFS(Recon!$F$2:$F$129,G93,Recon!$K$2:$K$129,"MATCHED")&gt;0</f>
        <v/>
      </c>
      <c r="I93" s="6">
        <f>IF(H93=FALSE,ROW()-1,"")</f>
        <v/>
      </c>
    </row>
    <row r="94">
      <c r="A94" s="5" t="n">
        <v>46311</v>
      </c>
      <c r="B94" s="6" t="inlineStr">
        <is>
          <t>NEFT - FreshFarms Coop (PO 627)</t>
        </is>
      </c>
      <c r="C94" s="6" t="inlineStr">
        <is>
          <t>PV4959</t>
        </is>
      </c>
      <c r="D94" s="7" t="n">
        <v>0</v>
      </c>
      <c r="E94" s="7" t="n">
        <v>21000</v>
      </c>
      <c r="F94" s="7">
        <f>F93+D94-E94</f>
        <v/>
      </c>
      <c r="G94" s="6">
        <f>TEXT(MAX(D94,E94),"0.00")&amp;"|"&amp;IF(D94&gt;0,"R","P")</f>
        <v/>
      </c>
      <c r="H94" s="6">
        <f>COUNTIFS(Recon!$F$2:$F$129,G94,Recon!$K$2:$K$129,"MATCHED")&gt;0</f>
        <v/>
      </c>
      <c r="I94" s="6">
        <f>IF(H94=FALSE,ROW()-1,"")</f>
        <v/>
      </c>
    </row>
    <row r="95">
      <c r="A95" s="5" t="n">
        <v>46311</v>
      </c>
      <c r="B95" s="6" t="inlineStr">
        <is>
          <t>Staff welfare</t>
        </is>
      </c>
      <c r="C95" s="6" t="inlineStr">
        <is>
          <t>PV1174</t>
        </is>
      </c>
      <c r="D95" s="7" t="n">
        <v>0</v>
      </c>
      <c r="E95" s="7" t="n">
        <v>6500</v>
      </c>
      <c r="F95" s="7">
        <f>F94+D95-E95</f>
        <v/>
      </c>
      <c r="G95" s="6">
        <f>TEXT(MAX(D95,E95),"0.00")&amp;"|"&amp;IF(D95&gt;0,"R","P")</f>
        <v/>
      </c>
      <c r="H95" s="6">
        <f>COUNTIFS(Recon!$F$2:$F$129,G95,Recon!$K$2:$K$129,"MATCHED")&gt;0</f>
        <v/>
      </c>
      <c r="I95" s="6">
        <f>IF(H95=FALSE,ROW()-1,"")</f>
        <v/>
      </c>
    </row>
    <row r="96">
      <c r="A96" s="5" t="n">
        <v>46311</v>
      </c>
      <c r="B96" s="6" t="inlineStr">
        <is>
          <t>UPI - Gupta General Store (inv 1110)</t>
        </is>
      </c>
      <c r="C96" s="6" t="inlineStr">
        <is>
          <t>RV2009</t>
        </is>
      </c>
      <c r="D96" s="7" t="n">
        <v>26500</v>
      </c>
      <c r="E96" s="7" t="n">
        <v>0</v>
      </c>
      <c r="F96" s="7">
        <f>F95+D96-E96</f>
        <v/>
      </c>
      <c r="G96" s="6">
        <f>TEXT(MAX(D96,E96),"0.00")&amp;"|"&amp;IF(D96&gt;0,"R","P")</f>
        <v/>
      </c>
      <c r="H96" s="6">
        <f>COUNTIFS(Recon!$F$2:$F$129,G96,Recon!$K$2:$K$129,"MATCHED")&gt;0</f>
        <v/>
      </c>
      <c r="I96" s="6">
        <f>IF(H96=FALSE,ROW()-1,"")</f>
        <v/>
      </c>
    </row>
    <row r="97">
      <c r="A97" s="5" t="n">
        <v>46312</v>
      </c>
      <c r="B97" s="6" t="inlineStr">
        <is>
          <t>NEFT - Agrawal Foods Ltd (PO 538)</t>
        </is>
      </c>
      <c r="C97" s="6" t="inlineStr">
        <is>
          <t>PV9758</t>
        </is>
      </c>
      <c r="D97" s="7" t="n">
        <v>0</v>
      </c>
      <c r="E97" s="7" t="n">
        <v>39250</v>
      </c>
      <c r="F97" s="7">
        <f>F96+D97-E97</f>
        <v/>
      </c>
      <c r="G97" s="6">
        <f>TEXT(MAX(D97,E97),"0.00")&amp;"|"&amp;IF(D97&gt;0,"R","P")</f>
        <v/>
      </c>
      <c r="H97" s="6">
        <f>COUNTIFS(Recon!$F$2:$F$129,G97,Recon!$K$2:$K$129,"MATCHED")&gt;0</f>
        <v/>
      </c>
      <c r="I97" s="6">
        <f>IF(H97=FALSE,ROW()-1,"")</f>
        <v/>
      </c>
    </row>
    <row r="98">
      <c r="A98" s="5" t="n">
        <v>46312</v>
      </c>
      <c r="B98" s="6" t="inlineStr">
        <is>
          <t>NEFT - Chawla Distributors (PO 639)</t>
        </is>
      </c>
      <c r="C98" s="6" t="inlineStr">
        <is>
          <t>PV5198</t>
        </is>
      </c>
      <c r="D98" s="7" t="n">
        <v>0</v>
      </c>
      <c r="E98" s="7" t="n">
        <v>168250</v>
      </c>
      <c r="F98" s="7">
        <f>F97+D98-E98</f>
        <v/>
      </c>
      <c r="G98" s="6">
        <f>TEXT(MAX(D98,E98),"0.00")&amp;"|"&amp;IF(D98&gt;0,"R","P")</f>
        <v/>
      </c>
      <c r="H98" s="6">
        <f>COUNTIFS(Recon!$F$2:$F$129,G98,Recon!$K$2:$K$129,"MATCHED")&gt;0</f>
        <v/>
      </c>
      <c r="I98" s="6">
        <f>IF(H98=FALSE,ROW()-1,"")</f>
        <v/>
      </c>
    </row>
    <row r="99">
      <c r="A99" s="5" t="n">
        <v>46312</v>
      </c>
      <c r="B99" s="6" t="inlineStr">
        <is>
          <t>NEFT - Dhillon FMCG (PO 601)</t>
        </is>
      </c>
      <c r="C99" s="6" t="inlineStr">
        <is>
          <t>PV7960</t>
        </is>
      </c>
      <c r="D99" s="7" t="n">
        <v>0</v>
      </c>
      <c r="E99" s="7" t="n">
        <v>72250</v>
      </c>
      <c r="F99" s="7">
        <f>F98+D99-E99</f>
        <v/>
      </c>
      <c r="G99" s="6">
        <f>TEXT(MAX(D99,E99),"0.00")&amp;"|"&amp;IF(D99&gt;0,"R","P")</f>
        <v/>
      </c>
      <c r="H99" s="6">
        <f>COUNTIFS(Recon!$F$2:$F$129,G99,Recon!$K$2:$K$129,"MATCHED")&gt;0</f>
        <v/>
      </c>
      <c r="I99" s="6">
        <f>IF(H99=FALSE,ROW()-1,"")</f>
        <v/>
      </c>
    </row>
    <row r="100">
      <c r="A100" s="5" t="n">
        <v>46312</v>
      </c>
      <c r="B100" s="6" t="inlineStr">
        <is>
          <t>UPI - retail counter sales 10-Oct</t>
        </is>
      </c>
      <c r="C100" s="6" t="inlineStr">
        <is>
          <t>RV4597</t>
        </is>
      </c>
      <c r="D100" s="7" t="n">
        <v>1813</v>
      </c>
      <c r="E100" s="7" t="n">
        <v>0</v>
      </c>
      <c r="F100" s="7">
        <f>F99+D100-E100</f>
        <v/>
      </c>
      <c r="G100" s="6">
        <f>TEXT(MAX(D100,E100),"0.00")&amp;"|"&amp;IF(D100&gt;0,"R","P")</f>
        <v/>
      </c>
      <c r="H100" s="6">
        <f>COUNTIFS(Recon!$F$2:$F$129,G100,Recon!$K$2:$K$129,"MATCHED")&gt;0</f>
        <v/>
      </c>
      <c r="I100" s="6">
        <f>IF(H100=FALSE,ROW()-1,"")</f>
        <v/>
      </c>
    </row>
    <row r="101">
      <c r="A101" s="5" t="n">
        <v>46312</v>
      </c>
      <c r="B101" s="6" t="inlineStr">
        <is>
          <t>UPI - retail counter sales 11-Oct</t>
        </is>
      </c>
      <c r="C101" s="6" t="inlineStr">
        <is>
          <t>RV9523</t>
        </is>
      </c>
      <c r="D101" s="7" t="n">
        <v>6947</v>
      </c>
      <c r="E101" s="7" t="n">
        <v>0</v>
      </c>
      <c r="F101" s="7">
        <f>F100+D101-E101</f>
        <v/>
      </c>
      <c r="G101" s="6">
        <f>TEXT(MAX(D101,E101),"0.00")&amp;"|"&amp;IF(D101&gt;0,"R","P")</f>
        <v/>
      </c>
      <c r="H101" s="6">
        <f>COUNTIFS(Recon!$F$2:$F$129,G101,Recon!$K$2:$K$129,"MATCHED")&gt;0</f>
        <v/>
      </c>
      <c r="I101" s="6">
        <f>IF(H101=FALSE,ROW()-1,"")</f>
        <v/>
      </c>
    </row>
    <row r="102">
      <c r="A102" s="5" t="n">
        <v>46312</v>
      </c>
      <c r="B102" s="6" t="inlineStr">
        <is>
          <t>UPI - retail counter sales 19-Oct</t>
        </is>
      </c>
      <c r="C102" s="6" t="inlineStr">
        <is>
          <t>RV4052</t>
        </is>
      </c>
      <c r="D102" s="7" t="n">
        <v>3887</v>
      </c>
      <c r="E102" s="7" t="n">
        <v>0</v>
      </c>
      <c r="F102" s="7">
        <f>F101+D102-E102</f>
        <v/>
      </c>
      <c r="G102" s="6">
        <f>TEXT(MAX(D102,E102),"0.00")&amp;"|"&amp;IF(D102&gt;0,"R","P")</f>
        <v/>
      </c>
      <c r="H102" s="6">
        <f>COUNTIFS(Recon!$F$2:$F$129,G102,Recon!$K$2:$K$129,"MATCHED")&gt;0</f>
        <v/>
      </c>
      <c r="I102" s="6">
        <f>IF(H102=FALSE,ROW()-1,"")</f>
        <v/>
      </c>
    </row>
    <row r="103">
      <c r="A103" s="5" t="n">
        <v>46312</v>
      </c>
      <c r="B103" s="6" t="inlineStr">
        <is>
          <t>UPI - retail counter sales 7-Oct</t>
        </is>
      </c>
      <c r="C103" s="6" t="inlineStr">
        <is>
          <t>RV9186</t>
        </is>
      </c>
      <c r="D103" s="7" t="n">
        <v>4661</v>
      </c>
      <c r="E103" s="7" t="n">
        <v>0</v>
      </c>
      <c r="F103" s="7">
        <f>F102+D103-E103</f>
        <v/>
      </c>
      <c r="G103" s="6">
        <f>TEXT(MAX(D103,E103),"0.00")&amp;"|"&amp;IF(D103&gt;0,"R","P")</f>
        <v/>
      </c>
      <c r="H103" s="6">
        <f>COUNTIFS(Recon!$F$2:$F$129,G103,Recon!$K$2:$K$129,"MATCHED")&gt;0</f>
        <v/>
      </c>
      <c r="I103" s="6">
        <f>IF(H103=FALSE,ROW()-1,"")</f>
        <v/>
      </c>
    </row>
    <row r="104">
      <c r="A104" s="5" t="n">
        <v>46313</v>
      </c>
      <c r="B104" s="6" t="inlineStr">
        <is>
          <t>Chq 452318 - Verma Enterprises (unpresented)</t>
        </is>
      </c>
      <c r="C104" s="6" t="inlineStr">
        <is>
          <t>PV7712</t>
        </is>
      </c>
      <c r="D104" s="7" t="n">
        <v>0</v>
      </c>
      <c r="E104" s="7" t="n">
        <v>45000</v>
      </c>
      <c r="F104" s="7">
        <f>F103+D104-E104</f>
        <v/>
      </c>
      <c r="G104" s="6">
        <f>TEXT(MAX(D104,E104),"0.00")&amp;"|"&amp;IF(D104&gt;0,"R","P")</f>
        <v/>
      </c>
      <c r="H104" s="6">
        <f>COUNTIFS(Recon!$F$2:$F$129,G104,Recon!$K$2:$K$129,"MATCHED")&gt;0</f>
        <v/>
      </c>
      <c r="I104" s="6">
        <f>IF(H104=FALSE,ROW()-1,"")</f>
        <v/>
      </c>
    </row>
    <row r="105">
      <c r="A105" s="5" t="n">
        <v>46313</v>
      </c>
      <c r="B105" s="6" t="inlineStr">
        <is>
          <t>GST payment - Sep 2026</t>
        </is>
      </c>
      <c r="C105" s="6" t="inlineStr">
        <is>
          <t>PV4193</t>
        </is>
      </c>
      <c r="D105" s="7" t="n">
        <v>0</v>
      </c>
      <c r="E105" s="7" t="n">
        <v>86450</v>
      </c>
      <c r="F105" s="7">
        <f>F104+D105-E105</f>
        <v/>
      </c>
      <c r="G105" s="6">
        <f>TEXT(MAX(D105,E105),"0.00")&amp;"|"&amp;IF(D105&gt;0,"R","P")</f>
        <v/>
      </c>
      <c r="H105" s="6">
        <f>COUNTIFS(Recon!$F$2:$F$129,G105,Recon!$K$2:$K$129,"MATCHED")&gt;0</f>
        <v/>
      </c>
      <c r="I105" s="6">
        <f>IF(H105=FALSE,ROW()-1,"")</f>
        <v/>
      </c>
    </row>
    <row r="106">
      <c r="A106" s="5" t="n">
        <v>46313</v>
      </c>
      <c r="B106" s="6" t="inlineStr">
        <is>
          <t>NEFT - Bansal Agro Products (PO 515)</t>
        </is>
      </c>
      <c r="C106" s="6" t="inlineStr">
        <is>
          <t>PV3052</t>
        </is>
      </c>
      <c r="D106" s="7" t="n">
        <v>0</v>
      </c>
      <c r="E106" s="7" t="n">
        <v>141250</v>
      </c>
      <c r="F106" s="7">
        <f>F105+D106-E106</f>
        <v/>
      </c>
      <c r="G106" s="6">
        <f>TEXT(MAX(D106,E106),"0.00")&amp;"|"&amp;IF(D106&gt;0,"R","P")</f>
        <v/>
      </c>
      <c r="H106" s="6">
        <f>COUNTIFS(Recon!$F$2:$F$129,G106,Recon!$K$2:$K$129,"MATCHED")&gt;0</f>
        <v/>
      </c>
      <c r="I106" s="6">
        <f>IF(H106=FALSE,ROW()-1,"")</f>
        <v/>
      </c>
    </row>
    <row r="107">
      <c r="A107" s="5" t="n">
        <v>46313</v>
      </c>
      <c r="B107" s="6" t="inlineStr">
        <is>
          <t>NEFT - Mishra Mart (inv 1175)</t>
        </is>
      </c>
      <c r="C107" s="6" t="inlineStr">
        <is>
          <t>RV9649</t>
        </is>
      </c>
      <c r="D107" s="7" t="n">
        <v>48500</v>
      </c>
      <c r="E107" s="7" t="n">
        <v>0</v>
      </c>
      <c r="F107" s="7">
        <f>F106+D107-E107</f>
        <v/>
      </c>
      <c r="G107" s="6">
        <f>TEXT(MAX(D107,E107),"0.00")&amp;"|"&amp;IF(D107&gt;0,"R","P")</f>
        <v/>
      </c>
      <c r="H107" s="6">
        <f>COUNTIFS(Recon!$F$2:$F$129,G107,Recon!$K$2:$K$129,"MATCHED")&gt;0</f>
        <v/>
      </c>
      <c r="I107" s="6">
        <f>IF(H107=FALSE,ROW()-1,"")</f>
        <v/>
      </c>
    </row>
    <row r="108">
      <c r="A108" s="5" t="n">
        <v>46313</v>
      </c>
      <c r="B108" s="6" t="inlineStr">
        <is>
          <t>UPI - Yadav Provision Store (inv 1122)</t>
        </is>
      </c>
      <c r="C108" s="6" t="inlineStr">
        <is>
          <t>RV6820</t>
        </is>
      </c>
      <c r="D108" s="7" t="n">
        <v>48507</v>
      </c>
      <c r="E108" s="7" t="n">
        <v>0</v>
      </c>
      <c r="F108" s="7">
        <f>F107+D108-E108</f>
        <v/>
      </c>
      <c r="G108" s="6">
        <f>TEXT(MAX(D108,E108),"0.00")&amp;"|"&amp;IF(D108&gt;0,"R","P")</f>
        <v/>
      </c>
      <c r="H108" s="6">
        <f>COUNTIFS(Recon!$F$2:$F$129,G108,Recon!$K$2:$K$129,"MATCHED")&gt;0</f>
        <v/>
      </c>
      <c r="I108" s="6">
        <f>IF(H108=FALSE,ROW()-1,"")</f>
        <v/>
      </c>
    </row>
    <row r="109">
      <c r="A109" s="5" t="n">
        <v>46313</v>
      </c>
      <c r="B109" s="6" t="inlineStr">
        <is>
          <t>UPI - retail counter sales 19-Oct</t>
        </is>
      </c>
      <c r="C109" s="6" t="inlineStr">
        <is>
          <t>RV4123</t>
        </is>
      </c>
      <c r="D109" s="7" t="n">
        <v>4019</v>
      </c>
      <c r="E109" s="7" t="n">
        <v>0</v>
      </c>
      <c r="F109" s="7">
        <f>F108+D109-E109</f>
        <v/>
      </c>
      <c r="G109" s="6">
        <f>TEXT(MAX(D109,E109),"0.00")&amp;"|"&amp;IF(D109&gt;0,"R","P")</f>
        <v/>
      </c>
      <c r="H109" s="6">
        <f>COUNTIFS(Recon!$F$2:$F$129,G109,Recon!$K$2:$K$129,"MATCHED")&gt;0</f>
        <v/>
      </c>
      <c r="I109" s="6">
        <f>IF(H109=FALSE,ROW()-1,"")</f>
        <v/>
      </c>
    </row>
    <row r="110">
      <c r="A110" s="5" t="n">
        <v>46313</v>
      </c>
      <c r="B110" s="6" t="inlineStr">
        <is>
          <t>UPI - retail counter sales 2-Oct</t>
        </is>
      </c>
      <c r="C110" s="6" t="inlineStr">
        <is>
          <t>RV9645</t>
        </is>
      </c>
      <c r="D110" s="7" t="n">
        <v>8788</v>
      </c>
      <c r="E110" s="7" t="n">
        <v>0</v>
      </c>
      <c r="F110" s="7">
        <f>F109+D110-E110</f>
        <v/>
      </c>
      <c r="G110" s="6">
        <f>TEXT(MAX(D110,E110),"0.00")&amp;"|"&amp;IF(D110&gt;0,"R","P")</f>
        <v/>
      </c>
      <c r="H110" s="6">
        <f>COUNTIFS(Recon!$F$2:$F$129,G110,Recon!$K$2:$K$129,"MATCHED")&gt;0</f>
        <v/>
      </c>
      <c r="I110" s="6">
        <f>IF(H110=FALSE,ROW()-1,"")</f>
        <v/>
      </c>
    </row>
    <row r="111">
      <c r="A111" s="5" t="n">
        <v>46313</v>
      </c>
      <c r="B111" s="6" t="inlineStr">
        <is>
          <t>cheque - Verma Traders (inv 1151)</t>
        </is>
      </c>
      <c r="C111" s="6" t="inlineStr">
        <is>
          <t>RV2145</t>
        </is>
      </c>
      <c r="D111" s="7" t="n">
        <v>36057</v>
      </c>
      <c r="E111" s="7" t="n">
        <v>0</v>
      </c>
      <c r="F111" s="7">
        <f>F110+D111-E111</f>
        <v/>
      </c>
      <c r="G111" s="6">
        <f>TEXT(MAX(D111,E111),"0.00")&amp;"|"&amp;IF(D111&gt;0,"R","P")</f>
        <v/>
      </c>
      <c r="H111" s="6">
        <f>COUNTIFS(Recon!$F$2:$F$129,G111,Recon!$K$2:$K$129,"MATCHED")&gt;0</f>
        <v/>
      </c>
      <c r="I111" s="6">
        <f>IF(H111=FALSE,ROW()-1,"")</f>
        <v/>
      </c>
    </row>
    <row r="112">
      <c r="A112" s="5" t="n">
        <v>46313</v>
      </c>
      <c r="B112" s="6" t="inlineStr">
        <is>
          <t>cheque - Yadav Provision Store (inv 1065)</t>
        </is>
      </c>
      <c r="C112" s="6" t="inlineStr">
        <is>
          <t>RV7374</t>
        </is>
      </c>
      <c r="D112" s="7" t="n">
        <v>79500</v>
      </c>
      <c r="E112" s="7" t="n">
        <v>0</v>
      </c>
      <c r="F112" s="7">
        <f>F111+D112-E112</f>
        <v/>
      </c>
      <c r="G112" s="6">
        <f>TEXT(MAX(D112,E112),"0.00")&amp;"|"&amp;IF(D112&gt;0,"R","P")</f>
        <v/>
      </c>
      <c r="H112" s="6">
        <f>COUNTIFS(Recon!$F$2:$F$129,G112,Recon!$K$2:$K$129,"MATCHED")&gt;0</f>
        <v/>
      </c>
      <c r="I112" s="6">
        <f>IF(H112=FALSE,ROW()-1,"")</f>
        <v/>
      </c>
    </row>
    <row r="113">
      <c r="A113" s="5" t="n">
        <v>46314</v>
      </c>
      <c r="B113" s="6" t="inlineStr">
        <is>
          <t>NEFT - Dhillon FMCG (PO 538)</t>
        </is>
      </c>
      <c r="C113" s="6" t="inlineStr">
        <is>
          <t>PV5407</t>
        </is>
      </c>
      <c r="D113" s="7" t="n">
        <v>0</v>
      </c>
      <c r="E113" s="7" t="n">
        <v>95000</v>
      </c>
      <c r="F113" s="7">
        <f>F112+D113-E113</f>
        <v/>
      </c>
      <c r="G113" s="6">
        <f>TEXT(MAX(D113,E113),"0.00")&amp;"|"&amp;IF(D113&gt;0,"R","P")</f>
        <v/>
      </c>
      <c r="H113" s="6">
        <f>COUNTIFS(Recon!$F$2:$F$129,G113,Recon!$K$2:$K$129,"MATCHED")&gt;0</f>
        <v/>
      </c>
      <c r="I113" s="6">
        <f>IF(H113=FALSE,ROW()-1,"")</f>
        <v/>
      </c>
    </row>
    <row r="114">
      <c r="A114" s="5" t="n">
        <v>46314</v>
      </c>
      <c r="B114" s="6" t="inlineStr">
        <is>
          <t>NEFT - Gupta General Store (inv 1130)</t>
        </is>
      </c>
      <c r="C114" s="6" t="inlineStr">
        <is>
          <t>RV6047</t>
        </is>
      </c>
      <c r="D114" s="7" t="n">
        <v>86000</v>
      </c>
      <c r="E114" s="7" t="n">
        <v>0</v>
      </c>
      <c r="F114" s="7">
        <f>F113+D114-E114</f>
        <v/>
      </c>
      <c r="G114" s="6">
        <f>TEXT(MAX(D114,E114),"0.00")&amp;"|"&amp;IF(D114&gt;0,"R","P")</f>
        <v/>
      </c>
      <c r="H114" s="6">
        <f>COUNTIFS(Recon!$F$2:$F$129,G114,Recon!$K$2:$K$129,"MATCHED")&gt;0</f>
        <v/>
      </c>
      <c r="I114" s="6">
        <f>IF(H114=FALSE,ROW()-1,"")</f>
        <v/>
      </c>
    </row>
    <row r="115">
      <c r="A115" s="5" t="n">
        <v>46314</v>
      </c>
      <c r="B115" s="6" t="inlineStr">
        <is>
          <t>NEFT - Sharma Retail Store (inv 1169)</t>
        </is>
      </c>
      <c r="C115" s="6" t="inlineStr">
        <is>
          <t>RV1734</t>
        </is>
      </c>
      <c r="D115" s="7" t="n">
        <v>11050</v>
      </c>
      <c r="E115" s="7" t="n">
        <v>0</v>
      </c>
      <c r="F115" s="7">
        <f>F114+D115-E115</f>
        <v/>
      </c>
      <c r="G115" s="6">
        <f>TEXT(MAX(D115,E115),"0.00")&amp;"|"&amp;IF(D115&gt;0,"R","P")</f>
        <v/>
      </c>
      <c r="H115" s="6">
        <f>COUNTIFS(Recon!$F$2:$F$129,G115,Recon!$K$2:$K$129,"MATCHED")&gt;0</f>
        <v/>
      </c>
      <c r="I115" s="6">
        <f>IF(H115=FALSE,ROW()-1,"")</f>
        <v/>
      </c>
    </row>
    <row r="116">
      <c r="A116" s="5" t="n">
        <v>46314</v>
      </c>
      <c r="B116" s="6" t="inlineStr">
        <is>
          <t>NEFT - Singh Kirana (inv 1076)</t>
        </is>
      </c>
      <c r="C116" s="6" t="inlineStr">
        <is>
          <t>RV1083</t>
        </is>
      </c>
      <c r="D116" s="7" t="n">
        <v>73000</v>
      </c>
      <c r="E116" s="7" t="n">
        <v>0</v>
      </c>
      <c r="F116" s="7">
        <f>F115+D116-E116</f>
        <v/>
      </c>
      <c r="G116" s="6">
        <f>TEXT(MAX(D116,E116),"0.00")&amp;"|"&amp;IF(D116&gt;0,"R","P")</f>
        <v/>
      </c>
      <c r="H116" s="6">
        <f>COUNTIFS(Recon!$F$2:$F$129,G116,Recon!$K$2:$K$129,"MATCHED")&gt;0</f>
        <v/>
      </c>
      <c r="I116" s="6">
        <f>IF(H116=FALSE,ROW()-1,"")</f>
        <v/>
      </c>
    </row>
    <row r="117">
      <c r="A117" s="5" t="n">
        <v>46314</v>
      </c>
      <c r="B117" s="6" t="inlineStr">
        <is>
          <t>NEFT - Verma Traders (inv 1048)</t>
        </is>
      </c>
      <c r="C117" s="6" t="inlineStr">
        <is>
          <t>RV9405</t>
        </is>
      </c>
      <c r="D117" s="7" t="n">
        <v>66000</v>
      </c>
      <c r="E117" s="7" t="n">
        <v>0</v>
      </c>
      <c r="F117" s="7">
        <f>F116+D117-E117</f>
        <v/>
      </c>
      <c r="G117" s="6">
        <f>TEXT(MAX(D117,E117),"0.00")&amp;"|"&amp;IF(D117&gt;0,"R","P")</f>
        <v/>
      </c>
      <c r="H117" s="6">
        <f>COUNTIFS(Recon!$F$2:$F$129,G117,Recon!$K$2:$K$129,"MATCHED")&gt;0</f>
        <v/>
      </c>
      <c r="I117" s="6">
        <f>IF(H117=FALSE,ROW()-1,"")</f>
        <v/>
      </c>
    </row>
    <row r="118">
      <c r="A118" s="5" t="n">
        <v>46314</v>
      </c>
      <c r="B118" s="6" t="inlineStr">
        <is>
          <t>NEFT - Verma Traders (inv 1138)</t>
        </is>
      </c>
      <c r="C118" s="6" t="inlineStr">
        <is>
          <t>RV9820</t>
        </is>
      </c>
      <c r="D118" s="7" t="n">
        <v>12507</v>
      </c>
      <c r="E118" s="7" t="n">
        <v>0</v>
      </c>
      <c r="F118" s="7">
        <f>F117+D118-E118</f>
        <v/>
      </c>
      <c r="G118" s="6">
        <f>TEXT(MAX(D118,E118),"0.00")&amp;"|"&amp;IF(D118&gt;0,"R","P")</f>
        <v/>
      </c>
      <c r="H118" s="6">
        <f>COUNTIFS(Recon!$F$2:$F$129,G118,Recon!$K$2:$K$129,"MATCHED")&gt;0</f>
        <v/>
      </c>
      <c r="I118" s="6">
        <f>IF(H118=FALSE,ROW()-1,"")</f>
        <v/>
      </c>
    </row>
    <row r="119">
      <c r="A119" s="5" t="n">
        <v>46314</v>
      </c>
      <c r="B119" s="6" t="inlineStr">
        <is>
          <t>UPI - retail counter sales 3-Oct</t>
        </is>
      </c>
      <c r="C119" s="6" t="inlineStr">
        <is>
          <t>RV4907</t>
        </is>
      </c>
      <c r="D119" s="7" t="n">
        <v>4786</v>
      </c>
      <c r="E119" s="7" t="n">
        <v>0</v>
      </c>
      <c r="F119" s="7">
        <f>F118+D119-E119</f>
        <v/>
      </c>
      <c r="G119" s="6">
        <f>TEXT(MAX(D119,E119),"0.00")&amp;"|"&amp;IF(D119&gt;0,"R","P")</f>
        <v/>
      </c>
      <c r="H119" s="6">
        <f>COUNTIFS(Recon!$F$2:$F$129,G119,Recon!$K$2:$K$129,"MATCHED")&gt;0</f>
        <v/>
      </c>
      <c r="I119" s="6">
        <f>IF(H119=FALSE,ROW()-1,"")</f>
        <v/>
      </c>
    </row>
    <row r="120">
      <c r="A120" s="5" t="n">
        <v>46315</v>
      </c>
      <c r="B120" s="6" t="inlineStr">
        <is>
          <t>Chq 452320 - staff advance (unpresented)</t>
        </is>
      </c>
      <c r="C120" s="6" t="inlineStr">
        <is>
          <t>PV7740</t>
        </is>
      </c>
      <c r="D120" s="7" t="n">
        <v>0</v>
      </c>
      <c r="E120" s="7" t="n">
        <v>15000</v>
      </c>
      <c r="F120" s="7">
        <f>F119+D120-E120</f>
        <v/>
      </c>
      <c r="G120" s="6">
        <f>TEXT(MAX(D120,E120),"0.00")&amp;"|"&amp;IF(D120&gt;0,"R","P")</f>
        <v/>
      </c>
      <c r="H120" s="6">
        <f>COUNTIFS(Recon!$F$2:$F$129,G120,Recon!$K$2:$K$129,"MATCHED")&gt;0</f>
        <v/>
      </c>
      <c r="I120" s="6">
        <f>IF(H120=FALSE,ROW()-1,"")</f>
        <v/>
      </c>
    </row>
    <row r="121">
      <c r="A121" s="5" t="n">
        <v>46315</v>
      </c>
      <c r="B121" s="6" t="inlineStr">
        <is>
          <t>NEFT - Dhillon FMCG (PO 529)</t>
        </is>
      </c>
      <c r="C121" s="6" t="inlineStr">
        <is>
          <t>PV3644</t>
        </is>
      </c>
      <c r="D121" s="7" t="n">
        <v>0</v>
      </c>
      <c r="E121" s="7" t="n">
        <v>110000</v>
      </c>
      <c r="F121" s="7">
        <f>F120+D121-E121</f>
        <v/>
      </c>
      <c r="G121" s="6">
        <f>TEXT(MAX(D121,E121),"0.00")&amp;"|"&amp;IF(D121&gt;0,"R","P")</f>
        <v/>
      </c>
      <c r="H121" s="6">
        <f>COUNTIFS(Recon!$F$2:$F$129,G121,Recon!$K$2:$K$129,"MATCHED")&gt;0</f>
        <v/>
      </c>
      <c r="I121" s="6">
        <f>IF(H121=FALSE,ROW()-1,"")</f>
        <v/>
      </c>
    </row>
    <row r="122">
      <c r="A122" s="5" t="n">
        <v>46315</v>
      </c>
      <c r="B122" s="6" t="inlineStr">
        <is>
          <t>NEFT - FreshFarms Coop (PO 570)</t>
        </is>
      </c>
      <c r="C122" s="6" t="inlineStr">
        <is>
          <t>PV7631</t>
        </is>
      </c>
      <c r="D122" s="7" t="n">
        <v>0</v>
      </c>
      <c r="E122" s="7" t="n">
        <v>83000</v>
      </c>
      <c r="F122" s="7">
        <f>F121+D122-E122</f>
        <v/>
      </c>
      <c r="G122" s="6">
        <f>TEXT(MAX(D122,E122),"0.00")&amp;"|"&amp;IF(D122&gt;0,"R","P")</f>
        <v/>
      </c>
      <c r="H122" s="6">
        <f>COUNTIFS(Recon!$F$2:$F$129,G122,Recon!$K$2:$K$129,"MATCHED")&gt;0</f>
        <v/>
      </c>
      <c r="I122" s="6">
        <f>IF(H122=FALSE,ROW()-1,"")</f>
        <v/>
      </c>
    </row>
    <row r="123">
      <c r="A123" s="5" t="n">
        <v>46315</v>
      </c>
      <c r="B123" s="6" t="inlineStr">
        <is>
          <t>NEFT - Patel Daily Needs (inv 1025)</t>
        </is>
      </c>
      <c r="C123" s="6" t="inlineStr">
        <is>
          <t>RV9229</t>
        </is>
      </c>
      <c r="D123" s="7" t="n">
        <v>80500</v>
      </c>
      <c r="E123" s="7" t="n">
        <v>0</v>
      </c>
      <c r="F123" s="7">
        <f>F122+D123-E123</f>
        <v/>
      </c>
      <c r="G123" s="6">
        <f>TEXT(MAX(D123,E123),"0.00")&amp;"|"&amp;IF(D123&gt;0,"R","P")</f>
        <v/>
      </c>
      <c r="H123" s="6">
        <f>COUNTIFS(Recon!$F$2:$F$129,G123,Recon!$K$2:$K$129,"MATCHED")&gt;0</f>
        <v/>
      </c>
      <c r="I123" s="6">
        <f>IF(H123=FALSE,ROW()-1,"")</f>
        <v/>
      </c>
    </row>
    <row r="124">
      <c r="A124" s="5" t="n">
        <v>46315</v>
      </c>
      <c r="B124" s="6" t="inlineStr">
        <is>
          <t>UPI - retail counter sales 20-Oct</t>
        </is>
      </c>
      <c r="C124" s="6" t="inlineStr">
        <is>
          <t>RV4083</t>
        </is>
      </c>
      <c r="D124" s="7" t="n">
        <v>4751</v>
      </c>
      <c r="E124" s="7" t="n">
        <v>0</v>
      </c>
      <c r="F124" s="7">
        <f>F123+D124-E124</f>
        <v/>
      </c>
      <c r="G124" s="6">
        <f>TEXT(MAX(D124,E124),"0.00")&amp;"|"&amp;IF(D124&gt;0,"R","P")</f>
        <v/>
      </c>
      <c r="H124" s="6">
        <f>COUNTIFS(Recon!$F$2:$F$129,G124,Recon!$K$2:$K$129,"MATCHED")&gt;0</f>
        <v/>
      </c>
      <c r="I124" s="6">
        <f>IF(H124=FALSE,ROW()-1,"")</f>
        <v/>
      </c>
    </row>
    <row r="125">
      <c r="A125" s="5" t="n">
        <v>46316</v>
      </c>
      <c r="B125" s="6" t="inlineStr">
        <is>
          <t>Cash deposit in transit</t>
        </is>
      </c>
      <c r="C125" s="6" t="inlineStr">
        <is>
          <t>RV9901</t>
        </is>
      </c>
      <c r="D125" s="7" t="n">
        <v>28000</v>
      </c>
      <c r="E125" s="7" t="n">
        <v>0</v>
      </c>
      <c r="F125" s="7">
        <f>F124+D125-E125</f>
        <v/>
      </c>
      <c r="G125" s="6">
        <f>TEXT(MAX(D125,E125),"0.00")&amp;"|"&amp;IF(D125&gt;0,"R","P")</f>
        <v/>
      </c>
      <c r="H125" s="6">
        <f>COUNTIFS(Recon!$F$2:$F$129,G125,Recon!$K$2:$K$129,"MATCHED")&gt;0</f>
        <v/>
      </c>
      <c r="I125" s="6">
        <f>IF(H125=FALSE,ROW()-1,"")</f>
        <v/>
      </c>
    </row>
    <row r="126">
      <c r="A126" s="5" t="n">
        <v>46316</v>
      </c>
      <c r="B126" s="6" t="inlineStr">
        <is>
          <t>UPI - retail counter sales 12-Oct</t>
        </is>
      </c>
      <c r="C126" s="6" t="inlineStr">
        <is>
          <t>RV5545</t>
        </is>
      </c>
      <c r="D126" s="7" t="n">
        <v>7167</v>
      </c>
      <c r="E126" s="7" t="n">
        <v>0</v>
      </c>
      <c r="F126" s="7">
        <f>F125+D126-E126</f>
        <v/>
      </c>
      <c r="G126" s="6">
        <f>TEXT(MAX(D126,E126),"0.00")&amp;"|"&amp;IF(D126&gt;0,"R","P")</f>
        <v/>
      </c>
      <c r="H126" s="6">
        <f>COUNTIFS(Recon!$F$2:$F$129,G126,Recon!$K$2:$K$129,"MATCHED")&gt;0</f>
        <v/>
      </c>
      <c r="I126" s="6">
        <f>IF(H126=FALSE,ROW()-1,"")</f>
        <v/>
      </c>
    </row>
    <row r="127">
      <c r="A127" s="5" t="n">
        <v>46316</v>
      </c>
      <c r="B127" s="6" t="inlineStr">
        <is>
          <t>UPI - retail counter sales 21-Oct</t>
        </is>
      </c>
      <c r="C127" s="6" t="inlineStr">
        <is>
          <t>RV6176</t>
        </is>
      </c>
      <c r="D127" s="7" t="n">
        <v>1392</v>
      </c>
      <c r="E127" s="7" t="n">
        <v>0</v>
      </c>
      <c r="F127" s="7">
        <f>F126+D127-E127</f>
        <v/>
      </c>
      <c r="G127" s="6">
        <f>TEXT(MAX(D127,E127),"0.00")&amp;"|"&amp;IF(D127&gt;0,"R","P")</f>
        <v/>
      </c>
      <c r="H127" s="6">
        <f>COUNTIFS(Recon!$F$2:$F$129,G127,Recon!$K$2:$K$129,"MATCHED")&gt;0</f>
        <v/>
      </c>
      <c r="I127" s="6">
        <f>IF(H127=FALSE,ROW()-1,"")</f>
        <v/>
      </c>
    </row>
    <row r="128">
      <c r="A128" s="5" t="n">
        <v>46316</v>
      </c>
      <c r="B128" s="6" t="inlineStr">
        <is>
          <t>UPI - retail counter sales 21-Oct</t>
        </is>
      </c>
      <c r="C128" s="6" t="inlineStr">
        <is>
          <t>RV3249</t>
        </is>
      </c>
      <c r="D128" s="7" t="n">
        <v>2464</v>
      </c>
      <c r="E128" s="7" t="n">
        <v>0</v>
      </c>
      <c r="F128" s="7">
        <f>F127+D128-E128</f>
        <v/>
      </c>
      <c r="G128" s="6">
        <f>TEXT(MAX(D128,E128),"0.00")&amp;"|"&amp;IF(D128&gt;0,"R","P")</f>
        <v/>
      </c>
      <c r="H128" s="6">
        <f>COUNTIFS(Recon!$F$2:$F$129,G128,Recon!$K$2:$K$129,"MATCHED")&gt;0</f>
        <v/>
      </c>
      <c r="I128" s="6">
        <f>IF(H128=FALSE,ROW()-1,"")</f>
        <v/>
      </c>
    </row>
  </sheetData>
  <autoFilter ref="A1:I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N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4" customWidth="1" min="4" max="4"/>
    <col width="14" customWidth="1" min="5" max="5"/>
    <col width="15" customWidth="1" min="6" max="6"/>
    <col width="11" customWidth="1" min="7" max="7"/>
    <col width="12" customWidth="1" min="8" max="8"/>
    <col width="40" customWidth="1" min="9" max="9"/>
    <col width="10" customWidth="1" min="10" max="10"/>
    <col width="12" customWidth="1" min="11" max="11"/>
    <col width="14" customWidth="1" min="12" max="12"/>
    <col width="12" customWidth="1" min="13" max="13"/>
    <col width="8" customWidth="1" min="14" max="14"/>
  </cols>
  <sheetData>
    <row r="1">
      <c r="A1" s="4" t="inlineStr">
        <is>
          <t>Bank date</t>
        </is>
      </c>
      <c r="B1" s="4" t="inlineStr">
        <is>
          <t>Description</t>
        </is>
      </c>
      <c r="C1" s="4" t="inlineStr">
        <is>
          <t>Ref</t>
        </is>
      </c>
      <c r="D1" s="4" t="inlineStr">
        <is>
          <t>Bank debit</t>
        </is>
      </c>
      <c r="E1" s="4" t="inlineStr">
        <is>
          <t>Bank credit</t>
        </is>
      </c>
      <c r="F1" s="4" t="inlineStr">
        <is>
          <t>Key</t>
        </is>
      </c>
      <c r="G1" s="4" t="inlineStr">
        <is>
          <t>Match row</t>
        </is>
      </c>
      <c r="H1" s="4" t="inlineStr">
        <is>
          <t>Book date</t>
        </is>
      </c>
      <c r="I1" s="4" t="inlineStr">
        <is>
          <t>Book narration</t>
        </is>
      </c>
      <c r="J1" s="4" t="inlineStr">
        <is>
          <t>Date diff</t>
        </is>
      </c>
      <c r="K1" s="4" t="inlineStr">
        <is>
          <t>Status</t>
        </is>
      </c>
      <c r="L1" s="4" t="inlineStr">
        <is>
          <t>Amount</t>
        </is>
      </c>
      <c r="M1" s="4" t="inlineStr">
        <is>
          <t>Diff</t>
        </is>
      </c>
      <c r="N1" s="4" t="inlineStr">
        <is>
          <t>UPos</t>
        </is>
      </c>
    </row>
    <row r="2">
      <c r="A2" s="5">
        <f>Raw_Bank!A2</f>
        <v/>
      </c>
      <c r="B2" s="6">
        <f>Raw_Bank!B2</f>
        <v/>
      </c>
      <c r="C2" s="6">
        <f>Raw_Bank!C2</f>
        <v/>
      </c>
      <c r="D2" s="7">
        <f>Raw_Bank!D2</f>
        <v/>
      </c>
      <c r="E2" s="7">
        <f>Raw_Bank!E2</f>
        <v/>
      </c>
      <c r="F2" s="6">
        <f>TEXT(MAX(D2,E2),"0.00")&amp;"|"&amp;IF(E2&gt;0,"R","P")</f>
        <v/>
      </c>
      <c r="G2" s="6">
        <f>MATCH(F2,Raw_Book!$G$2:$G$128,0)</f>
        <v/>
      </c>
      <c r="H2" s="5">
        <f>IF(ISNA(G2),"",INDEX(Raw_Book!$A$2:$A$128,G2))</f>
        <v/>
      </c>
      <c r="I2" s="6">
        <f>IF(ISNA(G2),"",INDEX(Raw_Book!$B$2:$B$128,G2))</f>
        <v/>
      </c>
      <c r="J2" s="6">
        <f>IF(ISNA(G2),"",ABS(A2-H2))</f>
        <v/>
      </c>
      <c r="K2" s="6">
        <f>IF(OR(ISNA(G2),J2&gt;3),"UNMATCHED","MATCHED")</f>
        <v/>
      </c>
      <c r="L2" s="7">
        <f>MAX(D2,E2)</f>
        <v/>
      </c>
      <c r="M2" s="7">
        <f>IF(K2="MATCHED",0,L2)</f>
        <v/>
      </c>
      <c r="N2" s="6">
        <f>IF(K2="UNMATCHED",ROW()-1,"")</f>
        <v/>
      </c>
    </row>
    <row r="3">
      <c r="A3" s="5">
        <f>Raw_Bank!A3</f>
        <v/>
      </c>
      <c r="B3" s="6">
        <f>Raw_Bank!B3</f>
        <v/>
      </c>
      <c r="C3" s="6">
        <f>Raw_Bank!C3</f>
        <v/>
      </c>
      <c r="D3" s="7">
        <f>Raw_Bank!D3</f>
        <v/>
      </c>
      <c r="E3" s="7">
        <f>Raw_Bank!E3</f>
        <v/>
      </c>
      <c r="F3" s="6">
        <f>TEXT(MAX(D3,E3),"0.00")&amp;"|"&amp;IF(E3&gt;0,"R","P")</f>
        <v/>
      </c>
      <c r="G3" s="6">
        <f>MATCH(F3,Raw_Book!$G$2:$G$128,0)</f>
        <v/>
      </c>
      <c r="H3" s="5">
        <f>IF(ISNA(G3),"",INDEX(Raw_Book!$A$2:$A$128,G3))</f>
        <v/>
      </c>
      <c r="I3" s="6">
        <f>IF(ISNA(G3),"",INDEX(Raw_Book!$B$2:$B$128,G3))</f>
        <v/>
      </c>
      <c r="J3" s="6">
        <f>IF(ISNA(G3),"",ABS(A3-H3))</f>
        <v/>
      </c>
      <c r="K3" s="6">
        <f>IF(OR(ISNA(G3),J3&gt;3),"UNMATCHED","MATCHED")</f>
        <v/>
      </c>
      <c r="L3" s="7">
        <f>MAX(D3,E3)</f>
        <v/>
      </c>
      <c r="M3" s="7">
        <f>IF(K3="MATCHED",0,L3)</f>
        <v/>
      </c>
      <c r="N3" s="6">
        <f>IF(K3="UNMATCHED",ROW()-1,"")</f>
        <v/>
      </c>
    </row>
    <row r="4">
      <c r="A4" s="5">
        <f>Raw_Bank!A4</f>
        <v/>
      </c>
      <c r="B4" s="6">
        <f>Raw_Bank!B4</f>
        <v/>
      </c>
      <c r="C4" s="6">
        <f>Raw_Bank!C4</f>
        <v/>
      </c>
      <c r="D4" s="7">
        <f>Raw_Bank!D4</f>
        <v/>
      </c>
      <c r="E4" s="7">
        <f>Raw_Bank!E4</f>
        <v/>
      </c>
      <c r="F4" s="6">
        <f>TEXT(MAX(D4,E4),"0.00")&amp;"|"&amp;IF(E4&gt;0,"R","P")</f>
        <v/>
      </c>
      <c r="G4" s="6">
        <f>MATCH(F4,Raw_Book!$G$2:$G$128,0)</f>
        <v/>
      </c>
      <c r="H4" s="5">
        <f>IF(ISNA(G4),"",INDEX(Raw_Book!$A$2:$A$128,G4))</f>
        <v/>
      </c>
      <c r="I4" s="6">
        <f>IF(ISNA(G4),"",INDEX(Raw_Book!$B$2:$B$128,G4))</f>
        <v/>
      </c>
      <c r="J4" s="6">
        <f>IF(ISNA(G4),"",ABS(A4-H4))</f>
        <v/>
      </c>
      <c r="K4" s="6">
        <f>IF(OR(ISNA(G4),J4&gt;3),"UNMATCHED","MATCHED")</f>
        <v/>
      </c>
      <c r="L4" s="7">
        <f>MAX(D4,E4)</f>
        <v/>
      </c>
      <c r="M4" s="7">
        <f>IF(K4="MATCHED",0,L4)</f>
        <v/>
      </c>
      <c r="N4" s="6">
        <f>IF(K4="UNMATCHED",ROW()-1,"")</f>
        <v/>
      </c>
    </row>
    <row r="5">
      <c r="A5" s="5">
        <f>Raw_Bank!A5</f>
        <v/>
      </c>
      <c r="B5" s="6">
        <f>Raw_Bank!B5</f>
        <v/>
      </c>
      <c r="C5" s="6">
        <f>Raw_Bank!C5</f>
        <v/>
      </c>
      <c r="D5" s="7">
        <f>Raw_Bank!D5</f>
        <v/>
      </c>
      <c r="E5" s="7">
        <f>Raw_Bank!E5</f>
        <v/>
      </c>
      <c r="F5" s="6">
        <f>TEXT(MAX(D5,E5),"0.00")&amp;"|"&amp;IF(E5&gt;0,"R","P")</f>
        <v/>
      </c>
      <c r="G5" s="6">
        <f>MATCH(F5,Raw_Book!$G$2:$G$128,0)</f>
        <v/>
      </c>
      <c r="H5" s="5">
        <f>IF(ISNA(G5),"",INDEX(Raw_Book!$A$2:$A$128,G5))</f>
        <v/>
      </c>
      <c r="I5" s="6">
        <f>IF(ISNA(G5),"",INDEX(Raw_Book!$B$2:$B$128,G5))</f>
        <v/>
      </c>
      <c r="J5" s="6">
        <f>IF(ISNA(G5),"",ABS(A5-H5))</f>
        <v/>
      </c>
      <c r="K5" s="6">
        <f>IF(OR(ISNA(G5),J5&gt;3),"UNMATCHED","MATCHED")</f>
        <v/>
      </c>
      <c r="L5" s="7">
        <f>MAX(D5,E5)</f>
        <v/>
      </c>
      <c r="M5" s="7">
        <f>IF(K5="MATCHED",0,L5)</f>
        <v/>
      </c>
      <c r="N5" s="6">
        <f>IF(K5="UNMATCHED",ROW()-1,"")</f>
        <v/>
      </c>
    </row>
    <row r="6">
      <c r="A6" s="5">
        <f>Raw_Bank!A6</f>
        <v/>
      </c>
      <c r="B6" s="6">
        <f>Raw_Bank!B6</f>
        <v/>
      </c>
      <c r="C6" s="6">
        <f>Raw_Bank!C6</f>
        <v/>
      </c>
      <c r="D6" s="7">
        <f>Raw_Bank!D6</f>
        <v/>
      </c>
      <c r="E6" s="7">
        <f>Raw_Bank!E6</f>
        <v/>
      </c>
      <c r="F6" s="6">
        <f>TEXT(MAX(D6,E6),"0.00")&amp;"|"&amp;IF(E6&gt;0,"R","P")</f>
        <v/>
      </c>
      <c r="G6" s="6">
        <f>MATCH(F6,Raw_Book!$G$2:$G$128,0)</f>
        <v/>
      </c>
      <c r="H6" s="5">
        <f>IF(ISNA(G6),"",INDEX(Raw_Book!$A$2:$A$128,G6))</f>
        <v/>
      </c>
      <c r="I6" s="6">
        <f>IF(ISNA(G6),"",INDEX(Raw_Book!$B$2:$B$128,G6))</f>
        <v/>
      </c>
      <c r="J6" s="6">
        <f>IF(ISNA(G6),"",ABS(A6-H6))</f>
        <v/>
      </c>
      <c r="K6" s="6">
        <f>IF(OR(ISNA(G6),J6&gt;3),"UNMATCHED","MATCHED")</f>
        <v/>
      </c>
      <c r="L6" s="7">
        <f>MAX(D6,E6)</f>
        <v/>
      </c>
      <c r="M6" s="7">
        <f>IF(K6="MATCHED",0,L6)</f>
        <v/>
      </c>
      <c r="N6" s="6">
        <f>IF(K6="UNMATCHED",ROW()-1,"")</f>
        <v/>
      </c>
    </row>
    <row r="7">
      <c r="A7" s="5">
        <f>Raw_Bank!A7</f>
        <v/>
      </c>
      <c r="B7" s="6">
        <f>Raw_Bank!B7</f>
        <v/>
      </c>
      <c r="C7" s="6">
        <f>Raw_Bank!C7</f>
        <v/>
      </c>
      <c r="D7" s="7">
        <f>Raw_Bank!D7</f>
        <v/>
      </c>
      <c r="E7" s="7">
        <f>Raw_Bank!E7</f>
        <v/>
      </c>
      <c r="F7" s="6">
        <f>TEXT(MAX(D7,E7),"0.00")&amp;"|"&amp;IF(E7&gt;0,"R","P")</f>
        <v/>
      </c>
      <c r="G7" s="6">
        <f>MATCH(F7,Raw_Book!$G$2:$G$128,0)</f>
        <v/>
      </c>
      <c r="H7" s="5">
        <f>IF(ISNA(G7),"",INDEX(Raw_Book!$A$2:$A$128,G7))</f>
        <v/>
      </c>
      <c r="I7" s="6">
        <f>IF(ISNA(G7),"",INDEX(Raw_Book!$B$2:$B$128,G7))</f>
        <v/>
      </c>
      <c r="J7" s="6">
        <f>IF(ISNA(G7),"",ABS(A7-H7))</f>
        <v/>
      </c>
      <c r="K7" s="6">
        <f>IF(OR(ISNA(G7),J7&gt;3),"UNMATCHED","MATCHED")</f>
        <v/>
      </c>
      <c r="L7" s="7">
        <f>MAX(D7,E7)</f>
        <v/>
      </c>
      <c r="M7" s="7">
        <f>IF(K7="MATCHED",0,L7)</f>
        <v/>
      </c>
      <c r="N7" s="6">
        <f>IF(K7="UNMATCHED",ROW()-1,"")</f>
        <v/>
      </c>
    </row>
    <row r="8">
      <c r="A8" s="5">
        <f>Raw_Bank!A8</f>
        <v/>
      </c>
      <c r="B8" s="6">
        <f>Raw_Bank!B8</f>
        <v/>
      </c>
      <c r="C8" s="6">
        <f>Raw_Bank!C8</f>
        <v/>
      </c>
      <c r="D8" s="7">
        <f>Raw_Bank!D8</f>
        <v/>
      </c>
      <c r="E8" s="7">
        <f>Raw_Bank!E8</f>
        <v/>
      </c>
      <c r="F8" s="6">
        <f>TEXT(MAX(D8,E8),"0.00")&amp;"|"&amp;IF(E8&gt;0,"R","P")</f>
        <v/>
      </c>
      <c r="G8" s="6">
        <f>MATCH(F8,Raw_Book!$G$2:$G$128,0)</f>
        <v/>
      </c>
      <c r="H8" s="5">
        <f>IF(ISNA(G8),"",INDEX(Raw_Book!$A$2:$A$128,G8))</f>
        <v/>
      </c>
      <c r="I8" s="6">
        <f>IF(ISNA(G8),"",INDEX(Raw_Book!$B$2:$B$128,G8))</f>
        <v/>
      </c>
      <c r="J8" s="6">
        <f>IF(ISNA(G8),"",ABS(A8-H8))</f>
        <v/>
      </c>
      <c r="K8" s="6">
        <f>IF(OR(ISNA(G8),J8&gt;3),"UNMATCHED","MATCHED")</f>
        <v/>
      </c>
      <c r="L8" s="7">
        <f>MAX(D8,E8)</f>
        <v/>
      </c>
      <c r="M8" s="7">
        <f>IF(K8="MATCHED",0,L8)</f>
        <v/>
      </c>
      <c r="N8" s="6">
        <f>IF(K8="UNMATCHED",ROW()-1,"")</f>
        <v/>
      </c>
    </row>
    <row r="9">
      <c r="A9" s="5">
        <f>Raw_Bank!A9</f>
        <v/>
      </c>
      <c r="B9" s="6">
        <f>Raw_Bank!B9</f>
        <v/>
      </c>
      <c r="C9" s="6">
        <f>Raw_Bank!C9</f>
        <v/>
      </c>
      <c r="D9" s="7">
        <f>Raw_Bank!D9</f>
        <v/>
      </c>
      <c r="E9" s="7">
        <f>Raw_Bank!E9</f>
        <v/>
      </c>
      <c r="F9" s="6">
        <f>TEXT(MAX(D9,E9),"0.00")&amp;"|"&amp;IF(E9&gt;0,"R","P")</f>
        <v/>
      </c>
      <c r="G9" s="6">
        <f>MATCH(F9,Raw_Book!$G$2:$G$128,0)</f>
        <v/>
      </c>
      <c r="H9" s="5">
        <f>IF(ISNA(G9),"",INDEX(Raw_Book!$A$2:$A$128,G9))</f>
        <v/>
      </c>
      <c r="I9" s="6">
        <f>IF(ISNA(G9),"",INDEX(Raw_Book!$B$2:$B$128,G9))</f>
        <v/>
      </c>
      <c r="J9" s="6">
        <f>IF(ISNA(G9),"",ABS(A9-H9))</f>
        <v/>
      </c>
      <c r="K9" s="6">
        <f>IF(OR(ISNA(G9),J9&gt;3),"UNMATCHED","MATCHED")</f>
        <v/>
      </c>
      <c r="L9" s="7">
        <f>MAX(D9,E9)</f>
        <v/>
      </c>
      <c r="M9" s="7">
        <f>IF(K9="MATCHED",0,L9)</f>
        <v/>
      </c>
      <c r="N9" s="6">
        <f>IF(K9="UNMATCHED",ROW()-1,"")</f>
        <v/>
      </c>
    </row>
    <row r="10">
      <c r="A10" s="5">
        <f>Raw_Bank!A10</f>
        <v/>
      </c>
      <c r="B10" s="6">
        <f>Raw_Bank!B10</f>
        <v/>
      </c>
      <c r="C10" s="6">
        <f>Raw_Bank!C10</f>
        <v/>
      </c>
      <c r="D10" s="7">
        <f>Raw_Bank!D10</f>
        <v/>
      </c>
      <c r="E10" s="7">
        <f>Raw_Bank!E10</f>
        <v/>
      </c>
      <c r="F10" s="6">
        <f>TEXT(MAX(D10,E10),"0.00")&amp;"|"&amp;IF(E10&gt;0,"R","P")</f>
        <v/>
      </c>
      <c r="G10" s="6">
        <f>MATCH(F10,Raw_Book!$G$2:$G$128,0)</f>
        <v/>
      </c>
      <c r="H10" s="5">
        <f>IF(ISNA(G10),"",INDEX(Raw_Book!$A$2:$A$128,G10))</f>
        <v/>
      </c>
      <c r="I10" s="6">
        <f>IF(ISNA(G10),"",INDEX(Raw_Book!$B$2:$B$128,G10))</f>
        <v/>
      </c>
      <c r="J10" s="6">
        <f>IF(ISNA(G10),"",ABS(A10-H10))</f>
        <v/>
      </c>
      <c r="K10" s="6">
        <f>IF(OR(ISNA(G10),J10&gt;3),"UNMATCHED","MATCHED")</f>
        <v/>
      </c>
      <c r="L10" s="7">
        <f>MAX(D10,E10)</f>
        <v/>
      </c>
      <c r="M10" s="7">
        <f>IF(K10="MATCHED",0,L10)</f>
        <v/>
      </c>
      <c r="N10" s="6">
        <f>IF(K10="UNMATCHED",ROW()-1,"")</f>
        <v/>
      </c>
    </row>
    <row r="11">
      <c r="A11" s="5">
        <f>Raw_Bank!A11</f>
        <v/>
      </c>
      <c r="B11" s="6">
        <f>Raw_Bank!B11</f>
        <v/>
      </c>
      <c r="C11" s="6">
        <f>Raw_Bank!C11</f>
        <v/>
      </c>
      <c r="D11" s="7">
        <f>Raw_Bank!D11</f>
        <v/>
      </c>
      <c r="E11" s="7">
        <f>Raw_Bank!E11</f>
        <v/>
      </c>
      <c r="F11" s="6">
        <f>TEXT(MAX(D11,E11),"0.00")&amp;"|"&amp;IF(E11&gt;0,"R","P")</f>
        <v/>
      </c>
      <c r="G11" s="6">
        <f>MATCH(F11,Raw_Book!$G$2:$G$128,0)</f>
        <v/>
      </c>
      <c r="H11" s="5">
        <f>IF(ISNA(G11),"",INDEX(Raw_Book!$A$2:$A$128,G11))</f>
        <v/>
      </c>
      <c r="I11" s="6">
        <f>IF(ISNA(G11),"",INDEX(Raw_Book!$B$2:$B$128,G11))</f>
        <v/>
      </c>
      <c r="J11" s="6">
        <f>IF(ISNA(G11),"",ABS(A11-H11))</f>
        <v/>
      </c>
      <c r="K11" s="6">
        <f>IF(OR(ISNA(G11),J11&gt;3),"UNMATCHED","MATCHED")</f>
        <v/>
      </c>
      <c r="L11" s="7">
        <f>MAX(D11,E11)</f>
        <v/>
      </c>
      <c r="M11" s="7">
        <f>IF(K11="MATCHED",0,L11)</f>
        <v/>
      </c>
      <c r="N11" s="6">
        <f>IF(K11="UNMATCHED",ROW()-1,"")</f>
        <v/>
      </c>
    </row>
    <row r="12">
      <c r="A12" s="5">
        <f>Raw_Bank!A12</f>
        <v/>
      </c>
      <c r="B12" s="6">
        <f>Raw_Bank!B12</f>
        <v/>
      </c>
      <c r="C12" s="6">
        <f>Raw_Bank!C12</f>
        <v/>
      </c>
      <c r="D12" s="7">
        <f>Raw_Bank!D12</f>
        <v/>
      </c>
      <c r="E12" s="7">
        <f>Raw_Bank!E12</f>
        <v/>
      </c>
      <c r="F12" s="6">
        <f>TEXT(MAX(D12,E12),"0.00")&amp;"|"&amp;IF(E12&gt;0,"R","P")</f>
        <v/>
      </c>
      <c r="G12" s="6">
        <f>MATCH(F12,Raw_Book!$G$2:$G$128,0)</f>
        <v/>
      </c>
      <c r="H12" s="5">
        <f>IF(ISNA(G12),"",INDEX(Raw_Book!$A$2:$A$128,G12))</f>
        <v/>
      </c>
      <c r="I12" s="6">
        <f>IF(ISNA(G12),"",INDEX(Raw_Book!$B$2:$B$128,G12))</f>
        <v/>
      </c>
      <c r="J12" s="6">
        <f>IF(ISNA(G12),"",ABS(A12-H12))</f>
        <v/>
      </c>
      <c r="K12" s="6">
        <f>IF(OR(ISNA(G12),J12&gt;3),"UNMATCHED","MATCHED")</f>
        <v/>
      </c>
      <c r="L12" s="7">
        <f>MAX(D12,E12)</f>
        <v/>
      </c>
      <c r="M12" s="7">
        <f>IF(K12="MATCHED",0,L12)</f>
        <v/>
      </c>
      <c r="N12" s="6">
        <f>IF(K12="UNMATCHED",ROW()-1,"")</f>
        <v/>
      </c>
    </row>
    <row r="13">
      <c r="A13" s="5">
        <f>Raw_Bank!A13</f>
        <v/>
      </c>
      <c r="B13" s="6">
        <f>Raw_Bank!B13</f>
        <v/>
      </c>
      <c r="C13" s="6">
        <f>Raw_Bank!C13</f>
        <v/>
      </c>
      <c r="D13" s="7">
        <f>Raw_Bank!D13</f>
        <v/>
      </c>
      <c r="E13" s="7">
        <f>Raw_Bank!E13</f>
        <v/>
      </c>
      <c r="F13" s="6">
        <f>TEXT(MAX(D13,E13),"0.00")&amp;"|"&amp;IF(E13&gt;0,"R","P")</f>
        <v/>
      </c>
      <c r="G13" s="6">
        <f>MATCH(F13,Raw_Book!$G$2:$G$128,0)</f>
        <v/>
      </c>
      <c r="H13" s="5">
        <f>IF(ISNA(G13),"",INDEX(Raw_Book!$A$2:$A$128,G13))</f>
        <v/>
      </c>
      <c r="I13" s="6">
        <f>IF(ISNA(G13),"",INDEX(Raw_Book!$B$2:$B$128,G13))</f>
        <v/>
      </c>
      <c r="J13" s="6">
        <f>IF(ISNA(G13),"",ABS(A13-H13))</f>
        <v/>
      </c>
      <c r="K13" s="6">
        <f>IF(OR(ISNA(G13),J13&gt;3),"UNMATCHED","MATCHED")</f>
        <v/>
      </c>
      <c r="L13" s="7">
        <f>MAX(D13,E13)</f>
        <v/>
      </c>
      <c r="M13" s="7">
        <f>IF(K13="MATCHED",0,L13)</f>
        <v/>
      </c>
      <c r="N13" s="6">
        <f>IF(K13="UNMATCHED",ROW()-1,"")</f>
        <v/>
      </c>
    </row>
    <row r="14">
      <c r="A14" s="5">
        <f>Raw_Bank!A14</f>
        <v/>
      </c>
      <c r="B14" s="6">
        <f>Raw_Bank!B14</f>
        <v/>
      </c>
      <c r="C14" s="6">
        <f>Raw_Bank!C14</f>
        <v/>
      </c>
      <c r="D14" s="7">
        <f>Raw_Bank!D14</f>
        <v/>
      </c>
      <c r="E14" s="7">
        <f>Raw_Bank!E14</f>
        <v/>
      </c>
      <c r="F14" s="6">
        <f>TEXT(MAX(D14,E14),"0.00")&amp;"|"&amp;IF(E14&gt;0,"R","P")</f>
        <v/>
      </c>
      <c r="G14" s="6">
        <f>MATCH(F14,Raw_Book!$G$2:$G$128,0)</f>
        <v/>
      </c>
      <c r="H14" s="5">
        <f>IF(ISNA(G14),"",INDEX(Raw_Book!$A$2:$A$128,G14))</f>
        <v/>
      </c>
      <c r="I14" s="6">
        <f>IF(ISNA(G14),"",INDEX(Raw_Book!$B$2:$B$128,G14))</f>
        <v/>
      </c>
      <c r="J14" s="6">
        <f>IF(ISNA(G14),"",ABS(A14-H14))</f>
        <v/>
      </c>
      <c r="K14" s="6">
        <f>IF(OR(ISNA(G14),J14&gt;3),"UNMATCHED","MATCHED")</f>
        <v/>
      </c>
      <c r="L14" s="7">
        <f>MAX(D14,E14)</f>
        <v/>
      </c>
      <c r="M14" s="7">
        <f>IF(K14="MATCHED",0,L14)</f>
        <v/>
      </c>
      <c r="N14" s="6">
        <f>IF(K14="UNMATCHED",ROW()-1,"")</f>
        <v/>
      </c>
    </row>
    <row r="15">
      <c r="A15" s="5">
        <f>Raw_Bank!A15</f>
        <v/>
      </c>
      <c r="B15" s="6">
        <f>Raw_Bank!B15</f>
        <v/>
      </c>
      <c r="C15" s="6">
        <f>Raw_Bank!C15</f>
        <v/>
      </c>
      <c r="D15" s="7">
        <f>Raw_Bank!D15</f>
        <v/>
      </c>
      <c r="E15" s="7">
        <f>Raw_Bank!E15</f>
        <v/>
      </c>
      <c r="F15" s="6">
        <f>TEXT(MAX(D15,E15),"0.00")&amp;"|"&amp;IF(E15&gt;0,"R","P")</f>
        <v/>
      </c>
      <c r="G15" s="6">
        <f>MATCH(F15,Raw_Book!$G$2:$G$128,0)</f>
        <v/>
      </c>
      <c r="H15" s="5">
        <f>IF(ISNA(G15),"",INDEX(Raw_Book!$A$2:$A$128,G15))</f>
        <v/>
      </c>
      <c r="I15" s="6">
        <f>IF(ISNA(G15),"",INDEX(Raw_Book!$B$2:$B$128,G15))</f>
        <v/>
      </c>
      <c r="J15" s="6">
        <f>IF(ISNA(G15),"",ABS(A15-H15))</f>
        <v/>
      </c>
      <c r="K15" s="6">
        <f>IF(OR(ISNA(G15),J15&gt;3),"UNMATCHED","MATCHED")</f>
        <v/>
      </c>
      <c r="L15" s="7">
        <f>MAX(D15,E15)</f>
        <v/>
      </c>
      <c r="M15" s="7">
        <f>IF(K15="MATCHED",0,L15)</f>
        <v/>
      </c>
      <c r="N15" s="6">
        <f>IF(K15="UNMATCHED",ROW()-1,"")</f>
        <v/>
      </c>
    </row>
    <row r="16">
      <c r="A16" s="5">
        <f>Raw_Bank!A16</f>
        <v/>
      </c>
      <c r="B16" s="6">
        <f>Raw_Bank!B16</f>
        <v/>
      </c>
      <c r="C16" s="6">
        <f>Raw_Bank!C16</f>
        <v/>
      </c>
      <c r="D16" s="7">
        <f>Raw_Bank!D16</f>
        <v/>
      </c>
      <c r="E16" s="7">
        <f>Raw_Bank!E16</f>
        <v/>
      </c>
      <c r="F16" s="6">
        <f>TEXT(MAX(D16,E16),"0.00")&amp;"|"&amp;IF(E16&gt;0,"R","P")</f>
        <v/>
      </c>
      <c r="G16" s="6">
        <f>MATCH(F16,Raw_Book!$G$2:$G$128,0)</f>
        <v/>
      </c>
      <c r="H16" s="5">
        <f>IF(ISNA(G16),"",INDEX(Raw_Book!$A$2:$A$128,G16))</f>
        <v/>
      </c>
      <c r="I16" s="6">
        <f>IF(ISNA(G16),"",INDEX(Raw_Book!$B$2:$B$128,G16))</f>
        <v/>
      </c>
      <c r="J16" s="6">
        <f>IF(ISNA(G16),"",ABS(A16-H16))</f>
        <v/>
      </c>
      <c r="K16" s="6">
        <f>IF(OR(ISNA(G16),J16&gt;3),"UNMATCHED","MATCHED")</f>
        <v/>
      </c>
      <c r="L16" s="7">
        <f>MAX(D16,E16)</f>
        <v/>
      </c>
      <c r="M16" s="7">
        <f>IF(K16="MATCHED",0,L16)</f>
        <v/>
      </c>
      <c r="N16" s="6">
        <f>IF(K16="UNMATCHED",ROW()-1,"")</f>
        <v/>
      </c>
    </row>
    <row r="17">
      <c r="A17" s="5">
        <f>Raw_Bank!A17</f>
        <v/>
      </c>
      <c r="B17" s="6">
        <f>Raw_Bank!B17</f>
        <v/>
      </c>
      <c r="C17" s="6">
        <f>Raw_Bank!C17</f>
        <v/>
      </c>
      <c r="D17" s="7">
        <f>Raw_Bank!D17</f>
        <v/>
      </c>
      <c r="E17" s="7">
        <f>Raw_Bank!E17</f>
        <v/>
      </c>
      <c r="F17" s="6">
        <f>TEXT(MAX(D17,E17),"0.00")&amp;"|"&amp;IF(E17&gt;0,"R","P")</f>
        <v/>
      </c>
      <c r="G17" s="6">
        <f>MATCH(F17,Raw_Book!$G$2:$G$128,0)</f>
        <v/>
      </c>
      <c r="H17" s="5">
        <f>IF(ISNA(G17),"",INDEX(Raw_Book!$A$2:$A$128,G17))</f>
        <v/>
      </c>
      <c r="I17" s="6">
        <f>IF(ISNA(G17),"",INDEX(Raw_Book!$B$2:$B$128,G17))</f>
        <v/>
      </c>
      <c r="J17" s="6">
        <f>IF(ISNA(G17),"",ABS(A17-H17))</f>
        <v/>
      </c>
      <c r="K17" s="6">
        <f>IF(OR(ISNA(G17),J17&gt;3),"UNMATCHED","MATCHED")</f>
        <v/>
      </c>
      <c r="L17" s="7">
        <f>MAX(D17,E17)</f>
        <v/>
      </c>
      <c r="M17" s="7">
        <f>IF(K17="MATCHED",0,L17)</f>
        <v/>
      </c>
      <c r="N17" s="6">
        <f>IF(K17="UNMATCHED",ROW()-1,"")</f>
        <v/>
      </c>
    </row>
    <row r="18">
      <c r="A18" s="5">
        <f>Raw_Bank!A18</f>
        <v/>
      </c>
      <c r="B18" s="6">
        <f>Raw_Bank!B18</f>
        <v/>
      </c>
      <c r="C18" s="6">
        <f>Raw_Bank!C18</f>
        <v/>
      </c>
      <c r="D18" s="7">
        <f>Raw_Bank!D18</f>
        <v/>
      </c>
      <c r="E18" s="7">
        <f>Raw_Bank!E18</f>
        <v/>
      </c>
      <c r="F18" s="6">
        <f>TEXT(MAX(D18,E18),"0.00")&amp;"|"&amp;IF(E18&gt;0,"R","P")</f>
        <v/>
      </c>
      <c r="G18" s="6">
        <f>MATCH(F18,Raw_Book!$G$2:$G$128,0)</f>
        <v/>
      </c>
      <c r="H18" s="5">
        <f>IF(ISNA(G18),"",INDEX(Raw_Book!$A$2:$A$128,G18))</f>
        <v/>
      </c>
      <c r="I18" s="6">
        <f>IF(ISNA(G18),"",INDEX(Raw_Book!$B$2:$B$128,G18))</f>
        <v/>
      </c>
      <c r="J18" s="6">
        <f>IF(ISNA(G18),"",ABS(A18-H18))</f>
        <v/>
      </c>
      <c r="K18" s="6">
        <f>IF(OR(ISNA(G18),J18&gt;3),"UNMATCHED","MATCHED")</f>
        <v/>
      </c>
      <c r="L18" s="7">
        <f>MAX(D18,E18)</f>
        <v/>
      </c>
      <c r="M18" s="7">
        <f>IF(K18="MATCHED",0,L18)</f>
        <v/>
      </c>
      <c r="N18" s="6">
        <f>IF(K18="UNMATCHED",ROW()-1,"")</f>
        <v/>
      </c>
    </row>
    <row r="19">
      <c r="A19" s="5">
        <f>Raw_Bank!A19</f>
        <v/>
      </c>
      <c r="B19" s="6">
        <f>Raw_Bank!B19</f>
        <v/>
      </c>
      <c r="C19" s="6">
        <f>Raw_Bank!C19</f>
        <v/>
      </c>
      <c r="D19" s="7">
        <f>Raw_Bank!D19</f>
        <v/>
      </c>
      <c r="E19" s="7">
        <f>Raw_Bank!E19</f>
        <v/>
      </c>
      <c r="F19" s="6">
        <f>TEXT(MAX(D19,E19),"0.00")&amp;"|"&amp;IF(E19&gt;0,"R","P")</f>
        <v/>
      </c>
      <c r="G19" s="6">
        <f>MATCH(F19,Raw_Book!$G$2:$G$128,0)</f>
        <v/>
      </c>
      <c r="H19" s="5">
        <f>IF(ISNA(G19),"",INDEX(Raw_Book!$A$2:$A$128,G19))</f>
        <v/>
      </c>
      <c r="I19" s="6">
        <f>IF(ISNA(G19),"",INDEX(Raw_Book!$B$2:$B$128,G19))</f>
        <v/>
      </c>
      <c r="J19" s="6">
        <f>IF(ISNA(G19),"",ABS(A19-H19))</f>
        <v/>
      </c>
      <c r="K19" s="6">
        <f>IF(OR(ISNA(G19),J19&gt;3),"UNMATCHED","MATCHED")</f>
        <v/>
      </c>
      <c r="L19" s="7">
        <f>MAX(D19,E19)</f>
        <v/>
      </c>
      <c r="M19" s="7">
        <f>IF(K19="MATCHED",0,L19)</f>
        <v/>
      </c>
      <c r="N19" s="6">
        <f>IF(K19="UNMATCHED",ROW()-1,"")</f>
        <v/>
      </c>
    </row>
    <row r="20">
      <c r="A20" s="5">
        <f>Raw_Bank!A20</f>
        <v/>
      </c>
      <c r="B20" s="6">
        <f>Raw_Bank!B20</f>
        <v/>
      </c>
      <c r="C20" s="6">
        <f>Raw_Bank!C20</f>
        <v/>
      </c>
      <c r="D20" s="7">
        <f>Raw_Bank!D20</f>
        <v/>
      </c>
      <c r="E20" s="7">
        <f>Raw_Bank!E20</f>
        <v/>
      </c>
      <c r="F20" s="6">
        <f>TEXT(MAX(D20,E20),"0.00")&amp;"|"&amp;IF(E20&gt;0,"R","P")</f>
        <v/>
      </c>
      <c r="G20" s="6">
        <f>MATCH(F20,Raw_Book!$G$2:$G$128,0)</f>
        <v/>
      </c>
      <c r="H20" s="5">
        <f>IF(ISNA(G20),"",INDEX(Raw_Book!$A$2:$A$128,G20))</f>
        <v/>
      </c>
      <c r="I20" s="6">
        <f>IF(ISNA(G20),"",INDEX(Raw_Book!$B$2:$B$128,G20))</f>
        <v/>
      </c>
      <c r="J20" s="6">
        <f>IF(ISNA(G20),"",ABS(A20-H20))</f>
        <v/>
      </c>
      <c r="K20" s="6">
        <f>IF(OR(ISNA(G20),J20&gt;3),"UNMATCHED","MATCHED")</f>
        <v/>
      </c>
      <c r="L20" s="7">
        <f>MAX(D20,E20)</f>
        <v/>
      </c>
      <c r="M20" s="7">
        <f>IF(K20="MATCHED",0,L20)</f>
        <v/>
      </c>
      <c r="N20" s="6">
        <f>IF(K20="UNMATCHED",ROW()-1,"")</f>
        <v/>
      </c>
    </row>
    <row r="21">
      <c r="A21" s="5">
        <f>Raw_Bank!A21</f>
        <v/>
      </c>
      <c r="B21" s="6">
        <f>Raw_Bank!B21</f>
        <v/>
      </c>
      <c r="C21" s="6">
        <f>Raw_Bank!C21</f>
        <v/>
      </c>
      <c r="D21" s="7">
        <f>Raw_Bank!D21</f>
        <v/>
      </c>
      <c r="E21" s="7">
        <f>Raw_Bank!E21</f>
        <v/>
      </c>
      <c r="F21" s="6">
        <f>TEXT(MAX(D21,E21),"0.00")&amp;"|"&amp;IF(E21&gt;0,"R","P")</f>
        <v/>
      </c>
      <c r="G21" s="6">
        <f>MATCH(F21,Raw_Book!$G$2:$G$128,0)</f>
        <v/>
      </c>
      <c r="H21" s="5">
        <f>IF(ISNA(G21),"",INDEX(Raw_Book!$A$2:$A$128,G21))</f>
        <v/>
      </c>
      <c r="I21" s="6">
        <f>IF(ISNA(G21),"",INDEX(Raw_Book!$B$2:$B$128,G21))</f>
        <v/>
      </c>
      <c r="J21" s="6">
        <f>IF(ISNA(G21),"",ABS(A21-H21))</f>
        <v/>
      </c>
      <c r="K21" s="6">
        <f>IF(OR(ISNA(G21),J21&gt;3),"UNMATCHED","MATCHED")</f>
        <v/>
      </c>
      <c r="L21" s="7">
        <f>MAX(D21,E21)</f>
        <v/>
      </c>
      <c r="M21" s="7">
        <f>IF(K21="MATCHED",0,L21)</f>
        <v/>
      </c>
      <c r="N21" s="6">
        <f>IF(K21="UNMATCHED",ROW()-1,"")</f>
        <v/>
      </c>
    </row>
    <row r="22">
      <c r="A22" s="5">
        <f>Raw_Bank!A22</f>
        <v/>
      </c>
      <c r="B22" s="6">
        <f>Raw_Bank!B22</f>
        <v/>
      </c>
      <c r="C22" s="6">
        <f>Raw_Bank!C22</f>
        <v/>
      </c>
      <c r="D22" s="7">
        <f>Raw_Bank!D22</f>
        <v/>
      </c>
      <c r="E22" s="7">
        <f>Raw_Bank!E22</f>
        <v/>
      </c>
      <c r="F22" s="6">
        <f>TEXT(MAX(D22,E22),"0.00")&amp;"|"&amp;IF(E22&gt;0,"R","P")</f>
        <v/>
      </c>
      <c r="G22" s="6">
        <f>MATCH(F22,Raw_Book!$G$2:$G$128,0)</f>
        <v/>
      </c>
      <c r="H22" s="5">
        <f>IF(ISNA(G22),"",INDEX(Raw_Book!$A$2:$A$128,G22))</f>
        <v/>
      </c>
      <c r="I22" s="6">
        <f>IF(ISNA(G22),"",INDEX(Raw_Book!$B$2:$B$128,G22))</f>
        <v/>
      </c>
      <c r="J22" s="6">
        <f>IF(ISNA(G22),"",ABS(A22-H22))</f>
        <v/>
      </c>
      <c r="K22" s="6">
        <f>IF(OR(ISNA(G22),J22&gt;3),"UNMATCHED","MATCHED")</f>
        <v/>
      </c>
      <c r="L22" s="7">
        <f>MAX(D22,E22)</f>
        <v/>
      </c>
      <c r="M22" s="7">
        <f>IF(K22="MATCHED",0,L22)</f>
        <v/>
      </c>
      <c r="N22" s="6">
        <f>IF(K22="UNMATCHED",ROW()-1,"")</f>
        <v/>
      </c>
    </row>
    <row r="23">
      <c r="A23" s="5">
        <f>Raw_Bank!A23</f>
        <v/>
      </c>
      <c r="B23" s="6">
        <f>Raw_Bank!B23</f>
        <v/>
      </c>
      <c r="C23" s="6">
        <f>Raw_Bank!C23</f>
        <v/>
      </c>
      <c r="D23" s="7">
        <f>Raw_Bank!D23</f>
        <v/>
      </c>
      <c r="E23" s="7">
        <f>Raw_Bank!E23</f>
        <v/>
      </c>
      <c r="F23" s="6">
        <f>TEXT(MAX(D23,E23),"0.00")&amp;"|"&amp;IF(E23&gt;0,"R","P")</f>
        <v/>
      </c>
      <c r="G23" s="6">
        <f>MATCH(F23,Raw_Book!$G$2:$G$128,0)</f>
        <v/>
      </c>
      <c r="H23" s="5">
        <f>IF(ISNA(G23),"",INDEX(Raw_Book!$A$2:$A$128,G23))</f>
        <v/>
      </c>
      <c r="I23" s="6">
        <f>IF(ISNA(G23),"",INDEX(Raw_Book!$B$2:$B$128,G23))</f>
        <v/>
      </c>
      <c r="J23" s="6">
        <f>IF(ISNA(G23),"",ABS(A23-H23))</f>
        <v/>
      </c>
      <c r="K23" s="6">
        <f>IF(OR(ISNA(G23),J23&gt;3),"UNMATCHED","MATCHED")</f>
        <v/>
      </c>
      <c r="L23" s="7">
        <f>MAX(D23,E23)</f>
        <v/>
      </c>
      <c r="M23" s="7">
        <f>IF(K23="MATCHED",0,L23)</f>
        <v/>
      </c>
      <c r="N23" s="6">
        <f>IF(K23="UNMATCHED",ROW()-1,"")</f>
        <v/>
      </c>
    </row>
    <row r="24">
      <c r="A24" s="5">
        <f>Raw_Bank!A24</f>
        <v/>
      </c>
      <c r="B24" s="6">
        <f>Raw_Bank!B24</f>
        <v/>
      </c>
      <c r="C24" s="6">
        <f>Raw_Bank!C24</f>
        <v/>
      </c>
      <c r="D24" s="7">
        <f>Raw_Bank!D24</f>
        <v/>
      </c>
      <c r="E24" s="7">
        <f>Raw_Bank!E24</f>
        <v/>
      </c>
      <c r="F24" s="6">
        <f>TEXT(MAX(D24,E24),"0.00")&amp;"|"&amp;IF(E24&gt;0,"R","P")</f>
        <v/>
      </c>
      <c r="G24" s="6">
        <f>MATCH(F24,Raw_Book!$G$2:$G$128,0)</f>
        <v/>
      </c>
      <c r="H24" s="5">
        <f>IF(ISNA(G24),"",INDEX(Raw_Book!$A$2:$A$128,G24))</f>
        <v/>
      </c>
      <c r="I24" s="6">
        <f>IF(ISNA(G24),"",INDEX(Raw_Book!$B$2:$B$128,G24))</f>
        <v/>
      </c>
      <c r="J24" s="6">
        <f>IF(ISNA(G24),"",ABS(A24-H24))</f>
        <v/>
      </c>
      <c r="K24" s="6">
        <f>IF(OR(ISNA(G24),J24&gt;3),"UNMATCHED","MATCHED")</f>
        <v/>
      </c>
      <c r="L24" s="7">
        <f>MAX(D24,E24)</f>
        <v/>
      </c>
      <c r="M24" s="7">
        <f>IF(K24="MATCHED",0,L24)</f>
        <v/>
      </c>
      <c r="N24" s="6">
        <f>IF(K24="UNMATCHED",ROW()-1,"")</f>
        <v/>
      </c>
    </row>
    <row r="25">
      <c r="A25" s="5">
        <f>Raw_Bank!A25</f>
        <v/>
      </c>
      <c r="B25" s="6">
        <f>Raw_Bank!B25</f>
        <v/>
      </c>
      <c r="C25" s="6">
        <f>Raw_Bank!C25</f>
        <v/>
      </c>
      <c r="D25" s="7">
        <f>Raw_Bank!D25</f>
        <v/>
      </c>
      <c r="E25" s="7">
        <f>Raw_Bank!E25</f>
        <v/>
      </c>
      <c r="F25" s="6">
        <f>TEXT(MAX(D25,E25),"0.00")&amp;"|"&amp;IF(E25&gt;0,"R","P")</f>
        <v/>
      </c>
      <c r="G25" s="6">
        <f>MATCH(F25,Raw_Book!$G$2:$G$128,0)</f>
        <v/>
      </c>
      <c r="H25" s="5">
        <f>IF(ISNA(G25),"",INDEX(Raw_Book!$A$2:$A$128,G25))</f>
        <v/>
      </c>
      <c r="I25" s="6">
        <f>IF(ISNA(G25),"",INDEX(Raw_Book!$B$2:$B$128,G25))</f>
        <v/>
      </c>
      <c r="J25" s="6">
        <f>IF(ISNA(G25),"",ABS(A25-H25))</f>
        <v/>
      </c>
      <c r="K25" s="6">
        <f>IF(OR(ISNA(G25),J25&gt;3),"UNMATCHED","MATCHED")</f>
        <v/>
      </c>
      <c r="L25" s="7">
        <f>MAX(D25,E25)</f>
        <v/>
      </c>
      <c r="M25" s="7">
        <f>IF(K25="MATCHED",0,L25)</f>
        <v/>
      </c>
      <c r="N25" s="6">
        <f>IF(K25="UNMATCHED",ROW()-1,"")</f>
        <v/>
      </c>
    </row>
    <row r="26">
      <c r="A26" s="5">
        <f>Raw_Bank!A26</f>
        <v/>
      </c>
      <c r="B26" s="6">
        <f>Raw_Bank!B26</f>
        <v/>
      </c>
      <c r="C26" s="6">
        <f>Raw_Bank!C26</f>
        <v/>
      </c>
      <c r="D26" s="7">
        <f>Raw_Bank!D26</f>
        <v/>
      </c>
      <c r="E26" s="7">
        <f>Raw_Bank!E26</f>
        <v/>
      </c>
      <c r="F26" s="6">
        <f>TEXT(MAX(D26,E26),"0.00")&amp;"|"&amp;IF(E26&gt;0,"R","P")</f>
        <v/>
      </c>
      <c r="G26" s="6">
        <f>MATCH(F26,Raw_Book!$G$2:$G$128,0)</f>
        <v/>
      </c>
      <c r="H26" s="5">
        <f>IF(ISNA(G26),"",INDEX(Raw_Book!$A$2:$A$128,G26))</f>
        <v/>
      </c>
      <c r="I26" s="6">
        <f>IF(ISNA(G26),"",INDEX(Raw_Book!$B$2:$B$128,G26))</f>
        <v/>
      </c>
      <c r="J26" s="6">
        <f>IF(ISNA(G26),"",ABS(A26-H26))</f>
        <v/>
      </c>
      <c r="K26" s="6">
        <f>IF(OR(ISNA(G26),J26&gt;3),"UNMATCHED","MATCHED")</f>
        <v/>
      </c>
      <c r="L26" s="7">
        <f>MAX(D26,E26)</f>
        <v/>
      </c>
      <c r="M26" s="7">
        <f>IF(K26="MATCHED",0,L26)</f>
        <v/>
      </c>
      <c r="N26" s="6">
        <f>IF(K26="UNMATCHED",ROW()-1,"")</f>
        <v/>
      </c>
    </row>
    <row r="27">
      <c r="A27" s="5">
        <f>Raw_Bank!A27</f>
        <v/>
      </c>
      <c r="B27" s="6">
        <f>Raw_Bank!B27</f>
        <v/>
      </c>
      <c r="C27" s="6">
        <f>Raw_Bank!C27</f>
        <v/>
      </c>
      <c r="D27" s="7">
        <f>Raw_Bank!D27</f>
        <v/>
      </c>
      <c r="E27" s="7">
        <f>Raw_Bank!E27</f>
        <v/>
      </c>
      <c r="F27" s="6">
        <f>TEXT(MAX(D27,E27),"0.00")&amp;"|"&amp;IF(E27&gt;0,"R","P")</f>
        <v/>
      </c>
      <c r="G27" s="6">
        <f>MATCH(F27,Raw_Book!$G$2:$G$128,0)</f>
        <v/>
      </c>
      <c r="H27" s="5">
        <f>IF(ISNA(G27),"",INDEX(Raw_Book!$A$2:$A$128,G27))</f>
        <v/>
      </c>
      <c r="I27" s="6">
        <f>IF(ISNA(G27),"",INDEX(Raw_Book!$B$2:$B$128,G27))</f>
        <v/>
      </c>
      <c r="J27" s="6">
        <f>IF(ISNA(G27),"",ABS(A27-H27))</f>
        <v/>
      </c>
      <c r="K27" s="6">
        <f>IF(OR(ISNA(G27),J27&gt;3),"UNMATCHED","MATCHED")</f>
        <v/>
      </c>
      <c r="L27" s="7">
        <f>MAX(D27,E27)</f>
        <v/>
      </c>
      <c r="M27" s="7">
        <f>IF(K27="MATCHED",0,L27)</f>
        <v/>
      </c>
      <c r="N27" s="6">
        <f>IF(K27="UNMATCHED",ROW()-1,"")</f>
        <v/>
      </c>
    </row>
    <row r="28">
      <c r="A28" s="5">
        <f>Raw_Bank!A28</f>
        <v/>
      </c>
      <c r="B28" s="6">
        <f>Raw_Bank!B28</f>
        <v/>
      </c>
      <c r="C28" s="6">
        <f>Raw_Bank!C28</f>
        <v/>
      </c>
      <c r="D28" s="7">
        <f>Raw_Bank!D28</f>
        <v/>
      </c>
      <c r="E28" s="7">
        <f>Raw_Bank!E28</f>
        <v/>
      </c>
      <c r="F28" s="6">
        <f>TEXT(MAX(D28,E28),"0.00")&amp;"|"&amp;IF(E28&gt;0,"R","P")</f>
        <v/>
      </c>
      <c r="G28" s="6">
        <f>MATCH(F28,Raw_Book!$G$2:$G$128,0)</f>
        <v/>
      </c>
      <c r="H28" s="5">
        <f>IF(ISNA(G28),"",INDEX(Raw_Book!$A$2:$A$128,G28))</f>
        <v/>
      </c>
      <c r="I28" s="6">
        <f>IF(ISNA(G28),"",INDEX(Raw_Book!$B$2:$B$128,G28))</f>
        <v/>
      </c>
      <c r="J28" s="6">
        <f>IF(ISNA(G28),"",ABS(A28-H28))</f>
        <v/>
      </c>
      <c r="K28" s="6">
        <f>IF(OR(ISNA(G28),J28&gt;3),"UNMATCHED","MATCHED")</f>
        <v/>
      </c>
      <c r="L28" s="7">
        <f>MAX(D28,E28)</f>
        <v/>
      </c>
      <c r="M28" s="7">
        <f>IF(K28="MATCHED",0,L28)</f>
        <v/>
      </c>
      <c r="N28" s="6">
        <f>IF(K28="UNMATCHED",ROW()-1,"")</f>
        <v/>
      </c>
    </row>
    <row r="29">
      <c r="A29" s="5">
        <f>Raw_Bank!A29</f>
        <v/>
      </c>
      <c r="B29" s="6">
        <f>Raw_Bank!B29</f>
        <v/>
      </c>
      <c r="C29" s="6">
        <f>Raw_Bank!C29</f>
        <v/>
      </c>
      <c r="D29" s="7">
        <f>Raw_Bank!D29</f>
        <v/>
      </c>
      <c r="E29" s="7">
        <f>Raw_Bank!E29</f>
        <v/>
      </c>
      <c r="F29" s="6">
        <f>TEXT(MAX(D29,E29),"0.00")&amp;"|"&amp;IF(E29&gt;0,"R","P")</f>
        <v/>
      </c>
      <c r="G29" s="6">
        <f>MATCH(F29,Raw_Book!$G$2:$G$128,0)</f>
        <v/>
      </c>
      <c r="H29" s="5">
        <f>IF(ISNA(G29),"",INDEX(Raw_Book!$A$2:$A$128,G29))</f>
        <v/>
      </c>
      <c r="I29" s="6">
        <f>IF(ISNA(G29),"",INDEX(Raw_Book!$B$2:$B$128,G29))</f>
        <v/>
      </c>
      <c r="J29" s="6">
        <f>IF(ISNA(G29),"",ABS(A29-H29))</f>
        <v/>
      </c>
      <c r="K29" s="6">
        <f>IF(OR(ISNA(G29),J29&gt;3),"UNMATCHED","MATCHED")</f>
        <v/>
      </c>
      <c r="L29" s="7">
        <f>MAX(D29,E29)</f>
        <v/>
      </c>
      <c r="M29" s="7">
        <f>IF(K29="MATCHED",0,L29)</f>
        <v/>
      </c>
      <c r="N29" s="6">
        <f>IF(K29="UNMATCHED",ROW()-1,"")</f>
        <v/>
      </c>
    </row>
    <row r="30">
      <c r="A30" s="5">
        <f>Raw_Bank!A30</f>
        <v/>
      </c>
      <c r="B30" s="6">
        <f>Raw_Bank!B30</f>
        <v/>
      </c>
      <c r="C30" s="6">
        <f>Raw_Bank!C30</f>
        <v/>
      </c>
      <c r="D30" s="7">
        <f>Raw_Bank!D30</f>
        <v/>
      </c>
      <c r="E30" s="7">
        <f>Raw_Bank!E30</f>
        <v/>
      </c>
      <c r="F30" s="6">
        <f>TEXT(MAX(D30,E30),"0.00")&amp;"|"&amp;IF(E30&gt;0,"R","P")</f>
        <v/>
      </c>
      <c r="G30" s="6">
        <f>MATCH(F30,Raw_Book!$G$2:$G$128,0)</f>
        <v/>
      </c>
      <c r="H30" s="5">
        <f>IF(ISNA(G30),"",INDEX(Raw_Book!$A$2:$A$128,G30))</f>
        <v/>
      </c>
      <c r="I30" s="6">
        <f>IF(ISNA(G30),"",INDEX(Raw_Book!$B$2:$B$128,G30))</f>
        <v/>
      </c>
      <c r="J30" s="6">
        <f>IF(ISNA(G30),"",ABS(A30-H30))</f>
        <v/>
      </c>
      <c r="K30" s="6">
        <f>IF(OR(ISNA(G30),J30&gt;3),"UNMATCHED","MATCHED")</f>
        <v/>
      </c>
      <c r="L30" s="7">
        <f>MAX(D30,E30)</f>
        <v/>
      </c>
      <c r="M30" s="7">
        <f>IF(K30="MATCHED",0,L30)</f>
        <v/>
      </c>
      <c r="N30" s="6">
        <f>IF(K30="UNMATCHED",ROW()-1,"")</f>
        <v/>
      </c>
    </row>
    <row r="31">
      <c r="A31" s="5">
        <f>Raw_Bank!A31</f>
        <v/>
      </c>
      <c r="B31" s="6">
        <f>Raw_Bank!B31</f>
        <v/>
      </c>
      <c r="C31" s="6">
        <f>Raw_Bank!C31</f>
        <v/>
      </c>
      <c r="D31" s="7">
        <f>Raw_Bank!D31</f>
        <v/>
      </c>
      <c r="E31" s="7">
        <f>Raw_Bank!E31</f>
        <v/>
      </c>
      <c r="F31" s="6">
        <f>TEXT(MAX(D31,E31),"0.00")&amp;"|"&amp;IF(E31&gt;0,"R","P")</f>
        <v/>
      </c>
      <c r="G31" s="6">
        <f>MATCH(F31,Raw_Book!$G$2:$G$128,0)</f>
        <v/>
      </c>
      <c r="H31" s="5">
        <f>IF(ISNA(G31),"",INDEX(Raw_Book!$A$2:$A$128,G31))</f>
        <v/>
      </c>
      <c r="I31" s="6">
        <f>IF(ISNA(G31),"",INDEX(Raw_Book!$B$2:$B$128,G31))</f>
        <v/>
      </c>
      <c r="J31" s="6">
        <f>IF(ISNA(G31),"",ABS(A31-H31))</f>
        <v/>
      </c>
      <c r="K31" s="6">
        <f>IF(OR(ISNA(G31),J31&gt;3),"UNMATCHED","MATCHED")</f>
        <v/>
      </c>
      <c r="L31" s="7">
        <f>MAX(D31,E31)</f>
        <v/>
      </c>
      <c r="M31" s="7">
        <f>IF(K31="MATCHED",0,L31)</f>
        <v/>
      </c>
      <c r="N31" s="6">
        <f>IF(K31="UNMATCHED",ROW()-1,"")</f>
        <v/>
      </c>
    </row>
    <row r="32">
      <c r="A32" s="5">
        <f>Raw_Bank!A32</f>
        <v/>
      </c>
      <c r="B32" s="6">
        <f>Raw_Bank!B32</f>
        <v/>
      </c>
      <c r="C32" s="6">
        <f>Raw_Bank!C32</f>
        <v/>
      </c>
      <c r="D32" s="7">
        <f>Raw_Bank!D32</f>
        <v/>
      </c>
      <c r="E32" s="7">
        <f>Raw_Bank!E32</f>
        <v/>
      </c>
      <c r="F32" s="6">
        <f>TEXT(MAX(D32,E32),"0.00")&amp;"|"&amp;IF(E32&gt;0,"R","P")</f>
        <v/>
      </c>
      <c r="G32" s="6">
        <f>MATCH(F32,Raw_Book!$G$2:$G$128,0)</f>
        <v/>
      </c>
      <c r="H32" s="5">
        <f>IF(ISNA(G32),"",INDEX(Raw_Book!$A$2:$A$128,G32))</f>
        <v/>
      </c>
      <c r="I32" s="6">
        <f>IF(ISNA(G32),"",INDEX(Raw_Book!$B$2:$B$128,G32))</f>
        <v/>
      </c>
      <c r="J32" s="6">
        <f>IF(ISNA(G32),"",ABS(A32-H32))</f>
        <v/>
      </c>
      <c r="K32" s="6">
        <f>IF(OR(ISNA(G32),J32&gt;3),"UNMATCHED","MATCHED")</f>
        <v/>
      </c>
      <c r="L32" s="7">
        <f>MAX(D32,E32)</f>
        <v/>
      </c>
      <c r="M32" s="7">
        <f>IF(K32="MATCHED",0,L32)</f>
        <v/>
      </c>
      <c r="N32" s="6">
        <f>IF(K32="UNMATCHED",ROW()-1,"")</f>
        <v/>
      </c>
    </row>
    <row r="33">
      <c r="A33" s="5">
        <f>Raw_Bank!A33</f>
        <v/>
      </c>
      <c r="B33" s="6">
        <f>Raw_Bank!B33</f>
        <v/>
      </c>
      <c r="C33" s="6">
        <f>Raw_Bank!C33</f>
        <v/>
      </c>
      <c r="D33" s="7">
        <f>Raw_Bank!D33</f>
        <v/>
      </c>
      <c r="E33" s="7">
        <f>Raw_Bank!E33</f>
        <v/>
      </c>
      <c r="F33" s="6">
        <f>TEXT(MAX(D33,E33),"0.00")&amp;"|"&amp;IF(E33&gt;0,"R","P")</f>
        <v/>
      </c>
      <c r="G33" s="6">
        <f>MATCH(F33,Raw_Book!$G$2:$G$128,0)</f>
        <v/>
      </c>
      <c r="H33" s="5">
        <f>IF(ISNA(G33),"",INDEX(Raw_Book!$A$2:$A$128,G33))</f>
        <v/>
      </c>
      <c r="I33" s="6">
        <f>IF(ISNA(G33),"",INDEX(Raw_Book!$B$2:$B$128,G33))</f>
        <v/>
      </c>
      <c r="J33" s="6">
        <f>IF(ISNA(G33),"",ABS(A33-H33))</f>
        <v/>
      </c>
      <c r="K33" s="6">
        <f>IF(OR(ISNA(G33),J33&gt;3),"UNMATCHED","MATCHED")</f>
        <v/>
      </c>
      <c r="L33" s="7">
        <f>MAX(D33,E33)</f>
        <v/>
      </c>
      <c r="M33" s="7">
        <f>IF(K33="MATCHED",0,L33)</f>
        <v/>
      </c>
      <c r="N33" s="6">
        <f>IF(K33="UNMATCHED",ROW()-1,"")</f>
        <v/>
      </c>
    </row>
    <row r="34">
      <c r="A34" s="5">
        <f>Raw_Bank!A34</f>
        <v/>
      </c>
      <c r="B34" s="6">
        <f>Raw_Bank!B34</f>
        <v/>
      </c>
      <c r="C34" s="6">
        <f>Raw_Bank!C34</f>
        <v/>
      </c>
      <c r="D34" s="7">
        <f>Raw_Bank!D34</f>
        <v/>
      </c>
      <c r="E34" s="7">
        <f>Raw_Bank!E34</f>
        <v/>
      </c>
      <c r="F34" s="6">
        <f>TEXT(MAX(D34,E34),"0.00")&amp;"|"&amp;IF(E34&gt;0,"R","P")</f>
        <v/>
      </c>
      <c r="G34" s="6">
        <f>MATCH(F34,Raw_Book!$G$2:$G$128,0)</f>
        <v/>
      </c>
      <c r="H34" s="5">
        <f>IF(ISNA(G34),"",INDEX(Raw_Book!$A$2:$A$128,G34))</f>
        <v/>
      </c>
      <c r="I34" s="6">
        <f>IF(ISNA(G34),"",INDEX(Raw_Book!$B$2:$B$128,G34))</f>
        <v/>
      </c>
      <c r="J34" s="6">
        <f>IF(ISNA(G34),"",ABS(A34-H34))</f>
        <v/>
      </c>
      <c r="K34" s="6">
        <f>IF(OR(ISNA(G34),J34&gt;3),"UNMATCHED","MATCHED")</f>
        <v/>
      </c>
      <c r="L34" s="7">
        <f>MAX(D34,E34)</f>
        <v/>
      </c>
      <c r="M34" s="7">
        <f>IF(K34="MATCHED",0,L34)</f>
        <v/>
      </c>
      <c r="N34" s="6">
        <f>IF(K34="UNMATCHED",ROW()-1,"")</f>
        <v/>
      </c>
    </row>
    <row r="35">
      <c r="A35" s="5">
        <f>Raw_Bank!A35</f>
        <v/>
      </c>
      <c r="B35" s="6">
        <f>Raw_Bank!B35</f>
        <v/>
      </c>
      <c r="C35" s="6">
        <f>Raw_Bank!C35</f>
        <v/>
      </c>
      <c r="D35" s="7">
        <f>Raw_Bank!D35</f>
        <v/>
      </c>
      <c r="E35" s="7">
        <f>Raw_Bank!E35</f>
        <v/>
      </c>
      <c r="F35" s="6">
        <f>TEXT(MAX(D35,E35),"0.00")&amp;"|"&amp;IF(E35&gt;0,"R","P")</f>
        <v/>
      </c>
      <c r="G35" s="6">
        <f>MATCH(F35,Raw_Book!$G$2:$G$128,0)</f>
        <v/>
      </c>
      <c r="H35" s="5">
        <f>IF(ISNA(G35),"",INDEX(Raw_Book!$A$2:$A$128,G35))</f>
        <v/>
      </c>
      <c r="I35" s="6">
        <f>IF(ISNA(G35),"",INDEX(Raw_Book!$B$2:$B$128,G35))</f>
        <v/>
      </c>
      <c r="J35" s="6">
        <f>IF(ISNA(G35),"",ABS(A35-H35))</f>
        <v/>
      </c>
      <c r="K35" s="6">
        <f>IF(OR(ISNA(G35),J35&gt;3),"UNMATCHED","MATCHED")</f>
        <v/>
      </c>
      <c r="L35" s="7">
        <f>MAX(D35,E35)</f>
        <v/>
      </c>
      <c r="M35" s="7">
        <f>IF(K35="MATCHED",0,L35)</f>
        <v/>
      </c>
      <c r="N35" s="6">
        <f>IF(K35="UNMATCHED",ROW()-1,"")</f>
        <v/>
      </c>
    </row>
    <row r="36">
      <c r="A36" s="5">
        <f>Raw_Bank!A36</f>
        <v/>
      </c>
      <c r="B36" s="6">
        <f>Raw_Bank!B36</f>
        <v/>
      </c>
      <c r="C36" s="6">
        <f>Raw_Bank!C36</f>
        <v/>
      </c>
      <c r="D36" s="7">
        <f>Raw_Bank!D36</f>
        <v/>
      </c>
      <c r="E36" s="7">
        <f>Raw_Bank!E36</f>
        <v/>
      </c>
      <c r="F36" s="6">
        <f>TEXT(MAX(D36,E36),"0.00")&amp;"|"&amp;IF(E36&gt;0,"R","P")</f>
        <v/>
      </c>
      <c r="G36" s="6">
        <f>MATCH(F36,Raw_Book!$G$2:$G$128,0)</f>
        <v/>
      </c>
      <c r="H36" s="5">
        <f>IF(ISNA(G36),"",INDEX(Raw_Book!$A$2:$A$128,G36))</f>
        <v/>
      </c>
      <c r="I36" s="6">
        <f>IF(ISNA(G36),"",INDEX(Raw_Book!$B$2:$B$128,G36))</f>
        <v/>
      </c>
      <c r="J36" s="6">
        <f>IF(ISNA(G36),"",ABS(A36-H36))</f>
        <v/>
      </c>
      <c r="K36" s="6">
        <f>IF(OR(ISNA(G36),J36&gt;3),"UNMATCHED","MATCHED")</f>
        <v/>
      </c>
      <c r="L36" s="7">
        <f>MAX(D36,E36)</f>
        <v/>
      </c>
      <c r="M36" s="7">
        <f>IF(K36="MATCHED",0,L36)</f>
        <v/>
      </c>
      <c r="N36" s="6">
        <f>IF(K36="UNMATCHED",ROW()-1,"")</f>
        <v/>
      </c>
    </row>
    <row r="37">
      <c r="A37" s="5">
        <f>Raw_Bank!A37</f>
        <v/>
      </c>
      <c r="B37" s="6">
        <f>Raw_Bank!B37</f>
        <v/>
      </c>
      <c r="C37" s="6">
        <f>Raw_Bank!C37</f>
        <v/>
      </c>
      <c r="D37" s="7">
        <f>Raw_Bank!D37</f>
        <v/>
      </c>
      <c r="E37" s="7">
        <f>Raw_Bank!E37</f>
        <v/>
      </c>
      <c r="F37" s="6">
        <f>TEXT(MAX(D37,E37),"0.00")&amp;"|"&amp;IF(E37&gt;0,"R","P")</f>
        <v/>
      </c>
      <c r="G37" s="6">
        <f>MATCH(F37,Raw_Book!$G$2:$G$128,0)</f>
        <v/>
      </c>
      <c r="H37" s="5">
        <f>IF(ISNA(G37),"",INDEX(Raw_Book!$A$2:$A$128,G37))</f>
        <v/>
      </c>
      <c r="I37" s="6">
        <f>IF(ISNA(G37),"",INDEX(Raw_Book!$B$2:$B$128,G37))</f>
        <v/>
      </c>
      <c r="J37" s="6">
        <f>IF(ISNA(G37),"",ABS(A37-H37))</f>
        <v/>
      </c>
      <c r="K37" s="6">
        <f>IF(OR(ISNA(G37),J37&gt;3),"UNMATCHED","MATCHED")</f>
        <v/>
      </c>
      <c r="L37" s="7">
        <f>MAX(D37,E37)</f>
        <v/>
      </c>
      <c r="M37" s="7">
        <f>IF(K37="MATCHED",0,L37)</f>
        <v/>
      </c>
      <c r="N37" s="6">
        <f>IF(K37="UNMATCHED",ROW()-1,"")</f>
        <v/>
      </c>
    </row>
    <row r="38">
      <c r="A38" s="5">
        <f>Raw_Bank!A38</f>
        <v/>
      </c>
      <c r="B38" s="6">
        <f>Raw_Bank!B38</f>
        <v/>
      </c>
      <c r="C38" s="6">
        <f>Raw_Bank!C38</f>
        <v/>
      </c>
      <c r="D38" s="7">
        <f>Raw_Bank!D38</f>
        <v/>
      </c>
      <c r="E38" s="7">
        <f>Raw_Bank!E38</f>
        <v/>
      </c>
      <c r="F38" s="6">
        <f>TEXT(MAX(D38,E38),"0.00")&amp;"|"&amp;IF(E38&gt;0,"R","P")</f>
        <v/>
      </c>
      <c r="G38" s="6">
        <f>MATCH(F38,Raw_Book!$G$2:$G$128,0)</f>
        <v/>
      </c>
      <c r="H38" s="5">
        <f>IF(ISNA(G38),"",INDEX(Raw_Book!$A$2:$A$128,G38))</f>
        <v/>
      </c>
      <c r="I38" s="6">
        <f>IF(ISNA(G38),"",INDEX(Raw_Book!$B$2:$B$128,G38))</f>
        <v/>
      </c>
      <c r="J38" s="6">
        <f>IF(ISNA(G38),"",ABS(A38-H38))</f>
        <v/>
      </c>
      <c r="K38" s="6">
        <f>IF(OR(ISNA(G38),J38&gt;3),"UNMATCHED","MATCHED")</f>
        <v/>
      </c>
      <c r="L38" s="7">
        <f>MAX(D38,E38)</f>
        <v/>
      </c>
      <c r="M38" s="7">
        <f>IF(K38="MATCHED",0,L38)</f>
        <v/>
      </c>
      <c r="N38" s="6">
        <f>IF(K38="UNMATCHED",ROW()-1,"")</f>
        <v/>
      </c>
    </row>
    <row r="39">
      <c r="A39" s="5">
        <f>Raw_Bank!A39</f>
        <v/>
      </c>
      <c r="B39" s="6">
        <f>Raw_Bank!B39</f>
        <v/>
      </c>
      <c r="C39" s="6">
        <f>Raw_Bank!C39</f>
        <v/>
      </c>
      <c r="D39" s="7">
        <f>Raw_Bank!D39</f>
        <v/>
      </c>
      <c r="E39" s="7">
        <f>Raw_Bank!E39</f>
        <v/>
      </c>
      <c r="F39" s="6">
        <f>TEXT(MAX(D39,E39),"0.00")&amp;"|"&amp;IF(E39&gt;0,"R","P")</f>
        <v/>
      </c>
      <c r="G39" s="6">
        <f>MATCH(F39,Raw_Book!$G$2:$G$128,0)</f>
        <v/>
      </c>
      <c r="H39" s="5">
        <f>IF(ISNA(G39),"",INDEX(Raw_Book!$A$2:$A$128,G39))</f>
        <v/>
      </c>
      <c r="I39" s="6">
        <f>IF(ISNA(G39),"",INDEX(Raw_Book!$B$2:$B$128,G39))</f>
        <v/>
      </c>
      <c r="J39" s="6">
        <f>IF(ISNA(G39),"",ABS(A39-H39))</f>
        <v/>
      </c>
      <c r="K39" s="6">
        <f>IF(OR(ISNA(G39),J39&gt;3),"UNMATCHED","MATCHED")</f>
        <v/>
      </c>
      <c r="L39" s="7">
        <f>MAX(D39,E39)</f>
        <v/>
      </c>
      <c r="M39" s="7">
        <f>IF(K39="MATCHED",0,L39)</f>
        <v/>
      </c>
      <c r="N39" s="6">
        <f>IF(K39="UNMATCHED",ROW()-1,"")</f>
        <v/>
      </c>
    </row>
    <row r="40">
      <c r="A40" s="5">
        <f>Raw_Bank!A40</f>
        <v/>
      </c>
      <c r="B40" s="6">
        <f>Raw_Bank!B40</f>
        <v/>
      </c>
      <c r="C40" s="6">
        <f>Raw_Bank!C40</f>
        <v/>
      </c>
      <c r="D40" s="7">
        <f>Raw_Bank!D40</f>
        <v/>
      </c>
      <c r="E40" s="7">
        <f>Raw_Bank!E40</f>
        <v/>
      </c>
      <c r="F40" s="6">
        <f>TEXT(MAX(D40,E40),"0.00")&amp;"|"&amp;IF(E40&gt;0,"R","P")</f>
        <v/>
      </c>
      <c r="G40" s="6">
        <f>MATCH(F40,Raw_Book!$G$2:$G$128,0)</f>
        <v/>
      </c>
      <c r="H40" s="5">
        <f>IF(ISNA(G40),"",INDEX(Raw_Book!$A$2:$A$128,G40))</f>
        <v/>
      </c>
      <c r="I40" s="6">
        <f>IF(ISNA(G40),"",INDEX(Raw_Book!$B$2:$B$128,G40))</f>
        <v/>
      </c>
      <c r="J40" s="6">
        <f>IF(ISNA(G40),"",ABS(A40-H40))</f>
        <v/>
      </c>
      <c r="K40" s="6">
        <f>IF(OR(ISNA(G40),J40&gt;3),"UNMATCHED","MATCHED")</f>
        <v/>
      </c>
      <c r="L40" s="7">
        <f>MAX(D40,E40)</f>
        <v/>
      </c>
      <c r="M40" s="7">
        <f>IF(K40="MATCHED",0,L40)</f>
        <v/>
      </c>
      <c r="N40" s="6">
        <f>IF(K40="UNMATCHED",ROW()-1,"")</f>
        <v/>
      </c>
    </row>
    <row r="41">
      <c r="A41" s="5">
        <f>Raw_Bank!A41</f>
        <v/>
      </c>
      <c r="B41" s="6">
        <f>Raw_Bank!B41</f>
        <v/>
      </c>
      <c r="C41" s="6">
        <f>Raw_Bank!C41</f>
        <v/>
      </c>
      <c r="D41" s="7">
        <f>Raw_Bank!D41</f>
        <v/>
      </c>
      <c r="E41" s="7">
        <f>Raw_Bank!E41</f>
        <v/>
      </c>
      <c r="F41" s="6">
        <f>TEXT(MAX(D41,E41),"0.00")&amp;"|"&amp;IF(E41&gt;0,"R","P")</f>
        <v/>
      </c>
      <c r="G41" s="6">
        <f>MATCH(F41,Raw_Book!$G$2:$G$128,0)</f>
        <v/>
      </c>
      <c r="H41" s="5">
        <f>IF(ISNA(G41),"",INDEX(Raw_Book!$A$2:$A$128,G41))</f>
        <v/>
      </c>
      <c r="I41" s="6">
        <f>IF(ISNA(G41),"",INDEX(Raw_Book!$B$2:$B$128,G41))</f>
        <v/>
      </c>
      <c r="J41" s="6">
        <f>IF(ISNA(G41),"",ABS(A41-H41))</f>
        <v/>
      </c>
      <c r="K41" s="6">
        <f>IF(OR(ISNA(G41),J41&gt;3),"UNMATCHED","MATCHED")</f>
        <v/>
      </c>
      <c r="L41" s="7">
        <f>MAX(D41,E41)</f>
        <v/>
      </c>
      <c r="M41" s="7">
        <f>IF(K41="MATCHED",0,L41)</f>
        <v/>
      </c>
      <c r="N41" s="6">
        <f>IF(K41="UNMATCHED",ROW()-1,"")</f>
        <v/>
      </c>
    </row>
    <row r="42">
      <c r="A42" s="5">
        <f>Raw_Bank!A42</f>
        <v/>
      </c>
      <c r="B42" s="6">
        <f>Raw_Bank!B42</f>
        <v/>
      </c>
      <c r="C42" s="6">
        <f>Raw_Bank!C42</f>
        <v/>
      </c>
      <c r="D42" s="7">
        <f>Raw_Bank!D42</f>
        <v/>
      </c>
      <c r="E42" s="7">
        <f>Raw_Bank!E42</f>
        <v/>
      </c>
      <c r="F42" s="6">
        <f>TEXT(MAX(D42,E42),"0.00")&amp;"|"&amp;IF(E42&gt;0,"R","P")</f>
        <v/>
      </c>
      <c r="G42" s="6">
        <f>MATCH(F42,Raw_Book!$G$2:$G$128,0)</f>
        <v/>
      </c>
      <c r="H42" s="5">
        <f>IF(ISNA(G42),"",INDEX(Raw_Book!$A$2:$A$128,G42))</f>
        <v/>
      </c>
      <c r="I42" s="6">
        <f>IF(ISNA(G42),"",INDEX(Raw_Book!$B$2:$B$128,G42))</f>
        <v/>
      </c>
      <c r="J42" s="6">
        <f>IF(ISNA(G42),"",ABS(A42-H42))</f>
        <v/>
      </c>
      <c r="K42" s="6">
        <f>IF(OR(ISNA(G42),J42&gt;3),"UNMATCHED","MATCHED")</f>
        <v/>
      </c>
      <c r="L42" s="7">
        <f>MAX(D42,E42)</f>
        <v/>
      </c>
      <c r="M42" s="7">
        <f>IF(K42="MATCHED",0,L42)</f>
        <v/>
      </c>
      <c r="N42" s="6">
        <f>IF(K42="UNMATCHED",ROW()-1,"")</f>
        <v/>
      </c>
    </row>
    <row r="43">
      <c r="A43" s="5">
        <f>Raw_Bank!A43</f>
        <v/>
      </c>
      <c r="B43" s="6">
        <f>Raw_Bank!B43</f>
        <v/>
      </c>
      <c r="C43" s="6">
        <f>Raw_Bank!C43</f>
        <v/>
      </c>
      <c r="D43" s="7">
        <f>Raw_Bank!D43</f>
        <v/>
      </c>
      <c r="E43" s="7">
        <f>Raw_Bank!E43</f>
        <v/>
      </c>
      <c r="F43" s="6">
        <f>TEXT(MAX(D43,E43),"0.00")&amp;"|"&amp;IF(E43&gt;0,"R","P")</f>
        <v/>
      </c>
      <c r="G43" s="6">
        <f>MATCH(F43,Raw_Book!$G$2:$G$128,0)</f>
        <v/>
      </c>
      <c r="H43" s="5">
        <f>IF(ISNA(G43),"",INDEX(Raw_Book!$A$2:$A$128,G43))</f>
        <v/>
      </c>
      <c r="I43" s="6">
        <f>IF(ISNA(G43),"",INDEX(Raw_Book!$B$2:$B$128,G43))</f>
        <v/>
      </c>
      <c r="J43" s="6">
        <f>IF(ISNA(G43),"",ABS(A43-H43))</f>
        <v/>
      </c>
      <c r="K43" s="6">
        <f>IF(OR(ISNA(G43),J43&gt;3),"UNMATCHED","MATCHED")</f>
        <v/>
      </c>
      <c r="L43" s="7">
        <f>MAX(D43,E43)</f>
        <v/>
      </c>
      <c r="M43" s="7">
        <f>IF(K43="MATCHED",0,L43)</f>
        <v/>
      </c>
      <c r="N43" s="6">
        <f>IF(K43="UNMATCHED",ROW()-1,"")</f>
        <v/>
      </c>
    </row>
    <row r="44">
      <c r="A44" s="5">
        <f>Raw_Bank!A44</f>
        <v/>
      </c>
      <c r="B44" s="6">
        <f>Raw_Bank!B44</f>
        <v/>
      </c>
      <c r="C44" s="6">
        <f>Raw_Bank!C44</f>
        <v/>
      </c>
      <c r="D44" s="7">
        <f>Raw_Bank!D44</f>
        <v/>
      </c>
      <c r="E44" s="7">
        <f>Raw_Bank!E44</f>
        <v/>
      </c>
      <c r="F44" s="6">
        <f>TEXT(MAX(D44,E44),"0.00")&amp;"|"&amp;IF(E44&gt;0,"R","P")</f>
        <v/>
      </c>
      <c r="G44" s="6">
        <f>MATCH(F44,Raw_Book!$G$2:$G$128,0)</f>
        <v/>
      </c>
      <c r="H44" s="5">
        <f>IF(ISNA(G44),"",INDEX(Raw_Book!$A$2:$A$128,G44))</f>
        <v/>
      </c>
      <c r="I44" s="6">
        <f>IF(ISNA(G44),"",INDEX(Raw_Book!$B$2:$B$128,G44))</f>
        <v/>
      </c>
      <c r="J44" s="6">
        <f>IF(ISNA(G44),"",ABS(A44-H44))</f>
        <v/>
      </c>
      <c r="K44" s="6">
        <f>IF(OR(ISNA(G44),J44&gt;3),"UNMATCHED","MATCHED")</f>
        <v/>
      </c>
      <c r="L44" s="7">
        <f>MAX(D44,E44)</f>
        <v/>
      </c>
      <c r="M44" s="7">
        <f>IF(K44="MATCHED",0,L44)</f>
        <v/>
      </c>
      <c r="N44" s="6">
        <f>IF(K44="UNMATCHED",ROW()-1,"")</f>
        <v/>
      </c>
    </row>
    <row r="45">
      <c r="A45" s="5">
        <f>Raw_Bank!A45</f>
        <v/>
      </c>
      <c r="B45" s="6">
        <f>Raw_Bank!B45</f>
        <v/>
      </c>
      <c r="C45" s="6">
        <f>Raw_Bank!C45</f>
        <v/>
      </c>
      <c r="D45" s="7">
        <f>Raw_Bank!D45</f>
        <v/>
      </c>
      <c r="E45" s="7">
        <f>Raw_Bank!E45</f>
        <v/>
      </c>
      <c r="F45" s="6">
        <f>TEXT(MAX(D45,E45),"0.00")&amp;"|"&amp;IF(E45&gt;0,"R","P")</f>
        <v/>
      </c>
      <c r="G45" s="6">
        <f>MATCH(F45,Raw_Book!$G$2:$G$128,0)</f>
        <v/>
      </c>
      <c r="H45" s="5">
        <f>IF(ISNA(G45),"",INDEX(Raw_Book!$A$2:$A$128,G45))</f>
        <v/>
      </c>
      <c r="I45" s="6">
        <f>IF(ISNA(G45),"",INDEX(Raw_Book!$B$2:$B$128,G45))</f>
        <v/>
      </c>
      <c r="J45" s="6">
        <f>IF(ISNA(G45),"",ABS(A45-H45))</f>
        <v/>
      </c>
      <c r="K45" s="6">
        <f>IF(OR(ISNA(G45),J45&gt;3),"UNMATCHED","MATCHED")</f>
        <v/>
      </c>
      <c r="L45" s="7">
        <f>MAX(D45,E45)</f>
        <v/>
      </c>
      <c r="M45" s="7">
        <f>IF(K45="MATCHED",0,L45)</f>
        <v/>
      </c>
      <c r="N45" s="6">
        <f>IF(K45="UNMATCHED",ROW()-1,"")</f>
        <v/>
      </c>
    </row>
    <row r="46">
      <c r="A46" s="5">
        <f>Raw_Bank!A46</f>
        <v/>
      </c>
      <c r="B46" s="6">
        <f>Raw_Bank!B46</f>
        <v/>
      </c>
      <c r="C46" s="6">
        <f>Raw_Bank!C46</f>
        <v/>
      </c>
      <c r="D46" s="7">
        <f>Raw_Bank!D46</f>
        <v/>
      </c>
      <c r="E46" s="7">
        <f>Raw_Bank!E46</f>
        <v/>
      </c>
      <c r="F46" s="6">
        <f>TEXT(MAX(D46,E46),"0.00")&amp;"|"&amp;IF(E46&gt;0,"R","P")</f>
        <v/>
      </c>
      <c r="G46" s="6">
        <f>MATCH(F46,Raw_Book!$G$2:$G$128,0)</f>
        <v/>
      </c>
      <c r="H46" s="5">
        <f>IF(ISNA(G46),"",INDEX(Raw_Book!$A$2:$A$128,G46))</f>
        <v/>
      </c>
      <c r="I46" s="6">
        <f>IF(ISNA(G46),"",INDEX(Raw_Book!$B$2:$B$128,G46))</f>
        <v/>
      </c>
      <c r="J46" s="6">
        <f>IF(ISNA(G46),"",ABS(A46-H46))</f>
        <v/>
      </c>
      <c r="K46" s="6">
        <f>IF(OR(ISNA(G46),J46&gt;3),"UNMATCHED","MATCHED")</f>
        <v/>
      </c>
      <c r="L46" s="7">
        <f>MAX(D46,E46)</f>
        <v/>
      </c>
      <c r="M46" s="7">
        <f>IF(K46="MATCHED",0,L46)</f>
        <v/>
      </c>
      <c r="N46" s="6">
        <f>IF(K46="UNMATCHED",ROW()-1,"")</f>
        <v/>
      </c>
    </row>
    <row r="47">
      <c r="A47" s="5">
        <f>Raw_Bank!A47</f>
        <v/>
      </c>
      <c r="B47" s="6">
        <f>Raw_Bank!B47</f>
        <v/>
      </c>
      <c r="C47" s="6">
        <f>Raw_Bank!C47</f>
        <v/>
      </c>
      <c r="D47" s="7">
        <f>Raw_Bank!D47</f>
        <v/>
      </c>
      <c r="E47" s="7">
        <f>Raw_Bank!E47</f>
        <v/>
      </c>
      <c r="F47" s="6">
        <f>TEXT(MAX(D47,E47),"0.00")&amp;"|"&amp;IF(E47&gt;0,"R","P")</f>
        <v/>
      </c>
      <c r="G47" s="6">
        <f>MATCH(F47,Raw_Book!$G$2:$G$128,0)</f>
        <v/>
      </c>
      <c r="H47" s="5">
        <f>IF(ISNA(G47),"",INDEX(Raw_Book!$A$2:$A$128,G47))</f>
        <v/>
      </c>
      <c r="I47" s="6">
        <f>IF(ISNA(G47),"",INDEX(Raw_Book!$B$2:$B$128,G47))</f>
        <v/>
      </c>
      <c r="J47" s="6">
        <f>IF(ISNA(G47),"",ABS(A47-H47))</f>
        <v/>
      </c>
      <c r="K47" s="6">
        <f>IF(OR(ISNA(G47),J47&gt;3),"UNMATCHED","MATCHED")</f>
        <v/>
      </c>
      <c r="L47" s="7">
        <f>MAX(D47,E47)</f>
        <v/>
      </c>
      <c r="M47" s="7">
        <f>IF(K47="MATCHED",0,L47)</f>
        <v/>
      </c>
      <c r="N47" s="6">
        <f>IF(K47="UNMATCHED",ROW()-1,"")</f>
        <v/>
      </c>
    </row>
    <row r="48">
      <c r="A48" s="5">
        <f>Raw_Bank!A48</f>
        <v/>
      </c>
      <c r="B48" s="6">
        <f>Raw_Bank!B48</f>
        <v/>
      </c>
      <c r="C48" s="6">
        <f>Raw_Bank!C48</f>
        <v/>
      </c>
      <c r="D48" s="7">
        <f>Raw_Bank!D48</f>
        <v/>
      </c>
      <c r="E48" s="7">
        <f>Raw_Bank!E48</f>
        <v/>
      </c>
      <c r="F48" s="6">
        <f>TEXT(MAX(D48,E48),"0.00")&amp;"|"&amp;IF(E48&gt;0,"R","P")</f>
        <v/>
      </c>
      <c r="G48" s="6">
        <f>MATCH(F48,Raw_Book!$G$2:$G$128,0)</f>
        <v/>
      </c>
      <c r="H48" s="5">
        <f>IF(ISNA(G48),"",INDEX(Raw_Book!$A$2:$A$128,G48))</f>
        <v/>
      </c>
      <c r="I48" s="6">
        <f>IF(ISNA(G48),"",INDEX(Raw_Book!$B$2:$B$128,G48))</f>
        <v/>
      </c>
      <c r="J48" s="6">
        <f>IF(ISNA(G48),"",ABS(A48-H48))</f>
        <v/>
      </c>
      <c r="K48" s="6">
        <f>IF(OR(ISNA(G48),J48&gt;3),"UNMATCHED","MATCHED")</f>
        <v/>
      </c>
      <c r="L48" s="7">
        <f>MAX(D48,E48)</f>
        <v/>
      </c>
      <c r="M48" s="7">
        <f>IF(K48="MATCHED",0,L48)</f>
        <v/>
      </c>
      <c r="N48" s="6">
        <f>IF(K48="UNMATCHED",ROW()-1,"")</f>
        <v/>
      </c>
    </row>
    <row r="49">
      <c r="A49" s="5">
        <f>Raw_Bank!A49</f>
        <v/>
      </c>
      <c r="B49" s="6">
        <f>Raw_Bank!B49</f>
        <v/>
      </c>
      <c r="C49" s="6">
        <f>Raw_Bank!C49</f>
        <v/>
      </c>
      <c r="D49" s="7">
        <f>Raw_Bank!D49</f>
        <v/>
      </c>
      <c r="E49" s="7">
        <f>Raw_Bank!E49</f>
        <v/>
      </c>
      <c r="F49" s="6">
        <f>TEXT(MAX(D49,E49),"0.00")&amp;"|"&amp;IF(E49&gt;0,"R","P")</f>
        <v/>
      </c>
      <c r="G49" s="6">
        <f>MATCH(F49,Raw_Book!$G$2:$G$128,0)</f>
        <v/>
      </c>
      <c r="H49" s="5">
        <f>IF(ISNA(G49),"",INDEX(Raw_Book!$A$2:$A$128,G49))</f>
        <v/>
      </c>
      <c r="I49" s="6">
        <f>IF(ISNA(G49),"",INDEX(Raw_Book!$B$2:$B$128,G49))</f>
        <v/>
      </c>
      <c r="J49" s="6">
        <f>IF(ISNA(G49),"",ABS(A49-H49))</f>
        <v/>
      </c>
      <c r="K49" s="6">
        <f>IF(OR(ISNA(G49),J49&gt;3),"UNMATCHED","MATCHED")</f>
        <v/>
      </c>
      <c r="L49" s="7">
        <f>MAX(D49,E49)</f>
        <v/>
      </c>
      <c r="M49" s="7">
        <f>IF(K49="MATCHED",0,L49)</f>
        <v/>
      </c>
      <c r="N49" s="6">
        <f>IF(K49="UNMATCHED",ROW()-1,"")</f>
        <v/>
      </c>
    </row>
    <row r="50">
      <c r="A50" s="5">
        <f>Raw_Bank!A50</f>
        <v/>
      </c>
      <c r="B50" s="6">
        <f>Raw_Bank!B50</f>
        <v/>
      </c>
      <c r="C50" s="6">
        <f>Raw_Bank!C50</f>
        <v/>
      </c>
      <c r="D50" s="7">
        <f>Raw_Bank!D50</f>
        <v/>
      </c>
      <c r="E50" s="7">
        <f>Raw_Bank!E50</f>
        <v/>
      </c>
      <c r="F50" s="6">
        <f>TEXT(MAX(D50,E50),"0.00")&amp;"|"&amp;IF(E50&gt;0,"R","P")</f>
        <v/>
      </c>
      <c r="G50" s="6">
        <f>MATCH(F50,Raw_Book!$G$2:$G$128,0)</f>
        <v/>
      </c>
      <c r="H50" s="5">
        <f>IF(ISNA(G50),"",INDEX(Raw_Book!$A$2:$A$128,G50))</f>
        <v/>
      </c>
      <c r="I50" s="6">
        <f>IF(ISNA(G50),"",INDEX(Raw_Book!$B$2:$B$128,G50))</f>
        <v/>
      </c>
      <c r="J50" s="6">
        <f>IF(ISNA(G50),"",ABS(A50-H50))</f>
        <v/>
      </c>
      <c r="K50" s="6">
        <f>IF(OR(ISNA(G50),J50&gt;3),"UNMATCHED","MATCHED")</f>
        <v/>
      </c>
      <c r="L50" s="7">
        <f>MAX(D50,E50)</f>
        <v/>
      </c>
      <c r="M50" s="7">
        <f>IF(K50="MATCHED",0,L50)</f>
        <v/>
      </c>
      <c r="N50" s="6">
        <f>IF(K50="UNMATCHED",ROW()-1,"")</f>
        <v/>
      </c>
    </row>
    <row r="51">
      <c r="A51" s="5">
        <f>Raw_Bank!A51</f>
        <v/>
      </c>
      <c r="B51" s="6">
        <f>Raw_Bank!B51</f>
        <v/>
      </c>
      <c r="C51" s="6">
        <f>Raw_Bank!C51</f>
        <v/>
      </c>
      <c r="D51" s="7">
        <f>Raw_Bank!D51</f>
        <v/>
      </c>
      <c r="E51" s="7">
        <f>Raw_Bank!E51</f>
        <v/>
      </c>
      <c r="F51" s="6">
        <f>TEXT(MAX(D51,E51),"0.00")&amp;"|"&amp;IF(E51&gt;0,"R","P")</f>
        <v/>
      </c>
      <c r="G51" s="6">
        <f>MATCH(F51,Raw_Book!$G$2:$G$128,0)</f>
        <v/>
      </c>
      <c r="H51" s="5">
        <f>IF(ISNA(G51),"",INDEX(Raw_Book!$A$2:$A$128,G51))</f>
        <v/>
      </c>
      <c r="I51" s="6">
        <f>IF(ISNA(G51),"",INDEX(Raw_Book!$B$2:$B$128,G51))</f>
        <v/>
      </c>
      <c r="J51" s="6">
        <f>IF(ISNA(G51),"",ABS(A51-H51))</f>
        <v/>
      </c>
      <c r="K51" s="6">
        <f>IF(OR(ISNA(G51),J51&gt;3),"UNMATCHED","MATCHED")</f>
        <v/>
      </c>
      <c r="L51" s="7">
        <f>MAX(D51,E51)</f>
        <v/>
      </c>
      <c r="M51" s="7">
        <f>IF(K51="MATCHED",0,L51)</f>
        <v/>
      </c>
      <c r="N51" s="6">
        <f>IF(K51="UNMATCHED",ROW()-1,"")</f>
        <v/>
      </c>
    </row>
    <row r="52">
      <c r="A52" s="5">
        <f>Raw_Bank!A52</f>
        <v/>
      </c>
      <c r="B52" s="6">
        <f>Raw_Bank!B52</f>
        <v/>
      </c>
      <c r="C52" s="6">
        <f>Raw_Bank!C52</f>
        <v/>
      </c>
      <c r="D52" s="7">
        <f>Raw_Bank!D52</f>
        <v/>
      </c>
      <c r="E52" s="7">
        <f>Raw_Bank!E52</f>
        <v/>
      </c>
      <c r="F52" s="6">
        <f>TEXT(MAX(D52,E52),"0.00")&amp;"|"&amp;IF(E52&gt;0,"R","P")</f>
        <v/>
      </c>
      <c r="G52" s="6">
        <f>MATCH(F52,Raw_Book!$G$2:$G$128,0)</f>
        <v/>
      </c>
      <c r="H52" s="5">
        <f>IF(ISNA(G52),"",INDEX(Raw_Book!$A$2:$A$128,G52))</f>
        <v/>
      </c>
      <c r="I52" s="6">
        <f>IF(ISNA(G52),"",INDEX(Raw_Book!$B$2:$B$128,G52))</f>
        <v/>
      </c>
      <c r="J52" s="6">
        <f>IF(ISNA(G52),"",ABS(A52-H52))</f>
        <v/>
      </c>
      <c r="K52" s="6">
        <f>IF(OR(ISNA(G52),J52&gt;3),"UNMATCHED","MATCHED")</f>
        <v/>
      </c>
      <c r="L52" s="7">
        <f>MAX(D52,E52)</f>
        <v/>
      </c>
      <c r="M52" s="7">
        <f>IF(K52="MATCHED",0,L52)</f>
        <v/>
      </c>
      <c r="N52" s="6">
        <f>IF(K52="UNMATCHED",ROW()-1,"")</f>
        <v/>
      </c>
    </row>
    <row r="53">
      <c r="A53" s="5">
        <f>Raw_Bank!A53</f>
        <v/>
      </c>
      <c r="B53" s="6">
        <f>Raw_Bank!B53</f>
        <v/>
      </c>
      <c r="C53" s="6">
        <f>Raw_Bank!C53</f>
        <v/>
      </c>
      <c r="D53" s="7">
        <f>Raw_Bank!D53</f>
        <v/>
      </c>
      <c r="E53" s="7">
        <f>Raw_Bank!E53</f>
        <v/>
      </c>
      <c r="F53" s="6">
        <f>TEXT(MAX(D53,E53),"0.00")&amp;"|"&amp;IF(E53&gt;0,"R","P")</f>
        <v/>
      </c>
      <c r="G53" s="6">
        <f>MATCH(F53,Raw_Book!$G$2:$G$128,0)</f>
        <v/>
      </c>
      <c r="H53" s="5">
        <f>IF(ISNA(G53),"",INDEX(Raw_Book!$A$2:$A$128,G53))</f>
        <v/>
      </c>
      <c r="I53" s="6">
        <f>IF(ISNA(G53),"",INDEX(Raw_Book!$B$2:$B$128,G53))</f>
        <v/>
      </c>
      <c r="J53" s="6">
        <f>IF(ISNA(G53),"",ABS(A53-H53))</f>
        <v/>
      </c>
      <c r="K53" s="6">
        <f>IF(OR(ISNA(G53),J53&gt;3),"UNMATCHED","MATCHED")</f>
        <v/>
      </c>
      <c r="L53" s="7">
        <f>MAX(D53,E53)</f>
        <v/>
      </c>
      <c r="M53" s="7">
        <f>IF(K53="MATCHED",0,L53)</f>
        <v/>
      </c>
      <c r="N53" s="6">
        <f>IF(K53="UNMATCHED",ROW()-1,"")</f>
        <v/>
      </c>
    </row>
    <row r="54">
      <c r="A54" s="5">
        <f>Raw_Bank!A54</f>
        <v/>
      </c>
      <c r="B54" s="6">
        <f>Raw_Bank!B54</f>
        <v/>
      </c>
      <c r="C54" s="6">
        <f>Raw_Bank!C54</f>
        <v/>
      </c>
      <c r="D54" s="7">
        <f>Raw_Bank!D54</f>
        <v/>
      </c>
      <c r="E54" s="7">
        <f>Raw_Bank!E54</f>
        <v/>
      </c>
      <c r="F54" s="6">
        <f>TEXT(MAX(D54,E54),"0.00")&amp;"|"&amp;IF(E54&gt;0,"R","P")</f>
        <v/>
      </c>
      <c r="G54" s="6">
        <f>MATCH(F54,Raw_Book!$G$2:$G$128,0)</f>
        <v/>
      </c>
      <c r="H54" s="5">
        <f>IF(ISNA(G54),"",INDEX(Raw_Book!$A$2:$A$128,G54))</f>
        <v/>
      </c>
      <c r="I54" s="6">
        <f>IF(ISNA(G54),"",INDEX(Raw_Book!$B$2:$B$128,G54))</f>
        <v/>
      </c>
      <c r="J54" s="6">
        <f>IF(ISNA(G54),"",ABS(A54-H54))</f>
        <v/>
      </c>
      <c r="K54" s="6">
        <f>IF(OR(ISNA(G54),J54&gt;3),"UNMATCHED","MATCHED")</f>
        <v/>
      </c>
      <c r="L54" s="7">
        <f>MAX(D54,E54)</f>
        <v/>
      </c>
      <c r="M54" s="7">
        <f>IF(K54="MATCHED",0,L54)</f>
        <v/>
      </c>
      <c r="N54" s="6">
        <f>IF(K54="UNMATCHED",ROW()-1,"")</f>
        <v/>
      </c>
    </row>
    <row r="55">
      <c r="A55" s="5">
        <f>Raw_Bank!A55</f>
        <v/>
      </c>
      <c r="B55" s="6">
        <f>Raw_Bank!B55</f>
        <v/>
      </c>
      <c r="C55" s="6">
        <f>Raw_Bank!C55</f>
        <v/>
      </c>
      <c r="D55" s="7">
        <f>Raw_Bank!D55</f>
        <v/>
      </c>
      <c r="E55" s="7">
        <f>Raw_Bank!E55</f>
        <v/>
      </c>
      <c r="F55" s="6">
        <f>TEXT(MAX(D55,E55),"0.00")&amp;"|"&amp;IF(E55&gt;0,"R","P")</f>
        <v/>
      </c>
      <c r="G55" s="6">
        <f>MATCH(F55,Raw_Book!$G$2:$G$128,0)</f>
        <v/>
      </c>
      <c r="H55" s="5">
        <f>IF(ISNA(G55),"",INDEX(Raw_Book!$A$2:$A$128,G55))</f>
        <v/>
      </c>
      <c r="I55" s="6">
        <f>IF(ISNA(G55),"",INDEX(Raw_Book!$B$2:$B$128,G55))</f>
        <v/>
      </c>
      <c r="J55" s="6">
        <f>IF(ISNA(G55),"",ABS(A55-H55))</f>
        <v/>
      </c>
      <c r="K55" s="6">
        <f>IF(OR(ISNA(G55),J55&gt;3),"UNMATCHED","MATCHED")</f>
        <v/>
      </c>
      <c r="L55" s="7">
        <f>MAX(D55,E55)</f>
        <v/>
      </c>
      <c r="M55" s="7">
        <f>IF(K55="MATCHED",0,L55)</f>
        <v/>
      </c>
      <c r="N55" s="6">
        <f>IF(K55="UNMATCHED",ROW()-1,"")</f>
        <v/>
      </c>
    </row>
    <row r="56">
      <c r="A56" s="5">
        <f>Raw_Bank!A56</f>
        <v/>
      </c>
      <c r="B56" s="6">
        <f>Raw_Bank!B56</f>
        <v/>
      </c>
      <c r="C56" s="6">
        <f>Raw_Bank!C56</f>
        <v/>
      </c>
      <c r="D56" s="7">
        <f>Raw_Bank!D56</f>
        <v/>
      </c>
      <c r="E56" s="7">
        <f>Raw_Bank!E56</f>
        <v/>
      </c>
      <c r="F56" s="6">
        <f>TEXT(MAX(D56,E56),"0.00")&amp;"|"&amp;IF(E56&gt;0,"R","P")</f>
        <v/>
      </c>
      <c r="G56" s="6">
        <f>MATCH(F56,Raw_Book!$G$2:$G$128,0)</f>
        <v/>
      </c>
      <c r="H56" s="5">
        <f>IF(ISNA(G56),"",INDEX(Raw_Book!$A$2:$A$128,G56))</f>
        <v/>
      </c>
      <c r="I56" s="6">
        <f>IF(ISNA(G56),"",INDEX(Raw_Book!$B$2:$B$128,G56))</f>
        <v/>
      </c>
      <c r="J56" s="6">
        <f>IF(ISNA(G56),"",ABS(A56-H56))</f>
        <v/>
      </c>
      <c r="K56" s="6">
        <f>IF(OR(ISNA(G56),J56&gt;3),"UNMATCHED","MATCHED")</f>
        <v/>
      </c>
      <c r="L56" s="7">
        <f>MAX(D56,E56)</f>
        <v/>
      </c>
      <c r="M56" s="7">
        <f>IF(K56="MATCHED",0,L56)</f>
        <v/>
      </c>
      <c r="N56" s="6">
        <f>IF(K56="UNMATCHED",ROW()-1,"")</f>
        <v/>
      </c>
    </row>
    <row r="57">
      <c r="A57" s="5">
        <f>Raw_Bank!A57</f>
        <v/>
      </c>
      <c r="B57" s="6">
        <f>Raw_Bank!B57</f>
        <v/>
      </c>
      <c r="C57" s="6">
        <f>Raw_Bank!C57</f>
        <v/>
      </c>
      <c r="D57" s="7">
        <f>Raw_Bank!D57</f>
        <v/>
      </c>
      <c r="E57" s="7">
        <f>Raw_Bank!E57</f>
        <v/>
      </c>
      <c r="F57" s="6">
        <f>TEXT(MAX(D57,E57),"0.00")&amp;"|"&amp;IF(E57&gt;0,"R","P")</f>
        <v/>
      </c>
      <c r="G57" s="6">
        <f>MATCH(F57,Raw_Book!$G$2:$G$128,0)</f>
        <v/>
      </c>
      <c r="H57" s="5">
        <f>IF(ISNA(G57),"",INDEX(Raw_Book!$A$2:$A$128,G57))</f>
        <v/>
      </c>
      <c r="I57" s="6">
        <f>IF(ISNA(G57),"",INDEX(Raw_Book!$B$2:$B$128,G57))</f>
        <v/>
      </c>
      <c r="J57" s="6">
        <f>IF(ISNA(G57),"",ABS(A57-H57))</f>
        <v/>
      </c>
      <c r="K57" s="6">
        <f>IF(OR(ISNA(G57),J57&gt;3),"UNMATCHED","MATCHED")</f>
        <v/>
      </c>
      <c r="L57" s="7">
        <f>MAX(D57,E57)</f>
        <v/>
      </c>
      <c r="M57" s="7">
        <f>IF(K57="MATCHED",0,L57)</f>
        <v/>
      </c>
      <c r="N57" s="6">
        <f>IF(K57="UNMATCHED",ROW()-1,"")</f>
        <v/>
      </c>
    </row>
    <row r="58">
      <c r="A58" s="5">
        <f>Raw_Bank!A58</f>
        <v/>
      </c>
      <c r="B58" s="6">
        <f>Raw_Bank!B58</f>
        <v/>
      </c>
      <c r="C58" s="6">
        <f>Raw_Bank!C58</f>
        <v/>
      </c>
      <c r="D58" s="7">
        <f>Raw_Bank!D58</f>
        <v/>
      </c>
      <c r="E58" s="7">
        <f>Raw_Bank!E58</f>
        <v/>
      </c>
      <c r="F58" s="6">
        <f>TEXT(MAX(D58,E58),"0.00")&amp;"|"&amp;IF(E58&gt;0,"R","P")</f>
        <v/>
      </c>
      <c r="G58" s="6">
        <f>MATCH(F58,Raw_Book!$G$2:$G$128,0)</f>
        <v/>
      </c>
      <c r="H58" s="5">
        <f>IF(ISNA(G58),"",INDEX(Raw_Book!$A$2:$A$128,G58))</f>
        <v/>
      </c>
      <c r="I58" s="6">
        <f>IF(ISNA(G58),"",INDEX(Raw_Book!$B$2:$B$128,G58))</f>
        <v/>
      </c>
      <c r="J58" s="6">
        <f>IF(ISNA(G58),"",ABS(A58-H58))</f>
        <v/>
      </c>
      <c r="K58" s="6">
        <f>IF(OR(ISNA(G58),J58&gt;3),"UNMATCHED","MATCHED")</f>
        <v/>
      </c>
      <c r="L58" s="7">
        <f>MAX(D58,E58)</f>
        <v/>
      </c>
      <c r="M58" s="7">
        <f>IF(K58="MATCHED",0,L58)</f>
        <v/>
      </c>
      <c r="N58" s="6">
        <f>IF(K58="UNMATCHED",ROW()-1,"")</f>
        <v/>
      </c>
    </row>
    <row r="59">
      <c r="A59" s="5">
        <f>Raw_Bank!A59</f>
        <v/>
      </c>
      <c r="B59" s="6">
        <f>Raw_Bank!B59</f>
        <v/>
      </c>
      <c r="C59" s="6">
        <f>Raw_Bank!C59</f>
        <v/>
      </c>
      <c r="D59" s="7">
        <f>Raw_Bank!D59</f>
        <v/>
      </c>
      <c r="E59" s="7">
        <f>Raw_Bank!E59</f>
        <v/>
      </c>
      <c r="F59" s="6">
        <f>TEXT(MAX(D59,E59),"0.00")&amp;"|"&amp;IF(E59&gt;0,"R","P")</f>
        <v/>
      </c>
      <c r="G59" s="6">
        <f>MATCH(F59,Raw_Book!$G$2:$G$128,0)</f>
        <v/>
      </c>
      <c r="H59" s="5">
        <f>IF(ISNA(G59),"",INDEX(Raw_Book!$A$2:$A$128,G59))</f>
        <v/>
      </c>
      <c r="I59" s="6">
        <f>IF(ISNA(G59),"",INDEX(Raw_Book!$B$2:$B$128,G59))</f>
        <v/>
      </c>
      <c r="J59" s="6">
        <f>IF(ISNA(G59),"",ABS(A59-H59))</f>
        <v/>
      </c>
      <c r="K59" s="6">
        <f>IF(OR(ISNA(G59),J59&gt;3),"UNMATCHED","MATCHED")</f>
        <v/>
      </c>
      <c r="L59" s="7">
        <f>MAX(D59,E59)</f>
        <v/>
      </c>
      <c r="M59" s="7">
        <f>IF(K59="MATCHED",0,L59)</f>
        <v/>
      </c>
      <c r="N59" s="6">
        <f>IF(K59="UNMATCHED",ROW()-1,"")</f>
        <v/>
      </c>
    </row>
    <row r="60">
      <c r="A60" s="5">
        <f>Raw_Bank!A60</f>
        <v/>
      </c>
      <c r="B60" s="6">
        <f>Raw_Bank!B60</f>
        <v/>
      </c>
      <c r="C60" s="6">
        <f>Raw_Bank!C60</f>
        <v/>
      </c>
      <c r="D60" s="7">
        <f>Raw_Bank!D60</f>
        <v/>
      </c>
      <c r="E60" s="7">
        <f>Raw_Bank!E60</f>
        <v/>
      </c>
      <c r="F60" s="6">
        <f>TEXT(MAX(D60,E60),"0.00")&amp;"|"&amp;IF(E60&gt;0,"R","P")</f>
        <v/>
      </c>
      <c r="G60" s="6">
        <f>MATCH(F60,Raw_Book!$G$2:$G$128,0)</f>
        <v/>
      </c>
      <c r="H60" s="5">
        <f>IF(ISNA(G60),"",INDEX(Raw_Book!$A$2:$A$128,G60))</f>
        <v/>
      </c>
      <c r="I60" s="6">
        <f>IF(ISNA(G60),"",INDEX(Raw_Book!$B$2:$B$128,G60))</f>
        <v/>
      </c>
      <c r="J60" s="6">
        <f>IF(ISNA(G60),"",ABS(A60-H60))</f>
        <v/>
      </c>
      <c r="K60" s="6">
        <f>IF(OR(ISNA(G60),J60&gt;3),"UNMATCHED","MATCHED")</f>
        <v/>
      </c>
      <c r="L60" s="7">
        <f>MAX(D60,E60)</f>
        <v/>
      </c>
      <c r="M60" s="7">
        <f>IF(K60="MATCHED",0,L60)</f>
        <v/>
      </c>
      <c r="N60" s="6">
        <f>IF(K60="UNMATCHED",ROW()-1,"")</f>
        <v/>
      </c>
    </row>
    <row r="61">
      <c r="A61" s="5">
        <f>Raw_Bank!A61</f>
        <v/>
      </c>
      <c r="B61" s="6">
        <f>Raw_Bank!B61</f>
        <v/>
      </c>
      <c r="C61" s="6">
        <f>Raw_Bank!C61</f>
        <v/>
      </c>
      <c r="D61" s="7">
        <f>Raw_Bank!D61</f>
        <v/>
      </c>
      <c r="E61" s="7">
        <f>Raw_Bank!E61</f>
        <v/>
      </c>
      <c r="F61" s="6">
        <f>TEXT(MAX(D61,E61),"0.00")&amp;"|"&amp;IF(E61&gt;0,"R","P")</f>
        <v/>
      </c>
      <c r="G61" s="6">
        <f>MATCH(F61,Raw_Book!$G$2:$G$128,0)</f>
        <v/>
      </c>
      <c r="H61" s="5">
        <f>IF(ISNA(G61),"",INDEX(Raw_Book!$A$2:$A$128,G61))</f>
        <v/>
      </c>
      <c r="I61" s="6">
        <f>IF(ISNA(G61),"",INDEX(Raw_Book!$B$2:$B$128,G61))</f>
        <v/>
      </c>
      <c r="J61" s="6">
        <f>IF(ISNA(G61),"",ABS(A61-H61))</f>
        <v/>
      </c>
      <c r="K61" s="6">
        <f>IF(OR(ISNA(G61),J61&gt;3),"UNMATCHED","MATCHED")</f>
        <v/>
      </c>
      <c r="L61" s="7">
        <f>MAX(D61,E61)</f>
        <v/>
      </c>
      <c r="M61" s="7">
        <f>IF(K61="MATCHED",0,L61)</f>
        <v/>
      </c>
      <c r="N61" s="6">
        <f>IF(K61="UNMATCHED",ROW()-1,"")</f>
        <v/>
      </c>
    </row>
    <row r="62">
      <c r="A62" s="5">
        <f>Raw_Bank!A62</f>
        <v/>
      </c>
      <c r="B62" s="6">
        <f>Raw_Bank!B62</f>
        <v/>
      </c>
      <c r="C62" s="6">
        <f>Raw_Bank!C62</f>
        <v/>
      </c>
      <c r="D62" s="7">
        <f>Raw_Bank!D62</f>
        <v/>
      </c>
      <c r="E62" s="7">
        <f>Raw_Bank!E62</f>
        <v/>
      </c>
      <c r="F62" s="6">
        <f>TEXT(MAX(D62,E62),"0.00")&amp;"|"&amp;IF(E62&gt;0,"R","P")</f>
        <v/>
      </c>
      <c r="G62" s="6">
        <f>MATCH(F62,Raw_Book!$G$2:$G$128,0)</f>
        <v/>
      </c>
      <c r="H62" s="5">
        <f>IF(ISNA(G62),"",INDEX(Raw_Book!$A$2:$A$128,G62))</f>
        <v/>
      </c>
      <c r="I62" s="6">
        <f>IF(ISNA(G62),"",INDEX(Raw_Book!$B$2:$B$128,G62))</f>
        <v/>
      </c>
      <c r="J62" s="6">
        <f>IF(ISNA(G62),"",ABS(A62-H62))</f>
        <v/>
      </c>
      <c r="K62" s="6">
        <f>IF(OR(ISNA(G62),J62&gt;3),"UNMATCHED","MATCHED")</f>
        <v/>
      </c>
      <c r="L62" s="7">
        <f>MAX(D62,E62)</f>
        <v/>
      </c>
      <c r="M62" s="7">
        <f>IF(K62="MATCHED",0,L62)</f>
        <v/>
      </c>
      <c r="N62" s="6">
        <f>IF(K62="UNMATCHED",ROW()-1,"")</f>
        <v/>
      </c>
    </row>
    <row r="63">
      <c r="A63" s="5">
        <f>Raw_Bank!A63</f>
        <v/>
      </c>
      <c r="B63" s="6">
        <f>Raw_Bank!B63</f>
        <v/>
      </c>
      <c r="C63" s="6">
        <f>Raw_Bank!C63</f>
        <v/>
      </c>
      <c r="D63" s="7">
        <f>Raw_Bank!D63</f>
        <v/>
      </c>
      <c r="E63" s="7">
        <f>Raw_Bank!E63</f>
        <v/>
      </c>
      <c r="F63" s="6">
        <f>TEXT(MAX(D63,E63),"0.00")&amp;"|"&amp;IF(E63&gt;0,"R","P")</f>
        <v/>
      </c>
      <c r="G63" s="6">
        <f>MATCH(F63,Raw_Book!$G$2:$G$128,0)</f>
        <v/>
      </c>
      <c r="H63" s="5">
        <f>IF(ISNA(G63),"",INDEX(Raw_Book!$A$2:$A$128,G63))</f>
        <v/>
      </c>
      <c r="I63" s="6">
        <f>IF(ISNA(G63),"",INDEX(Raw_Book!$B$2:$B$128,G63))</f>
        <v/>
      </c>
      <c r="J63" s="6">
        <f>IF(ISNA(G63),"",ABS(A63-H63))</f>
        <v/>
      </c>
      <c r="K63" s="6">
        <f>IF(OR(ISNA(G63),J63&gt;3),"UNMATCHED","MATCHED")</f>
        <v/>
      </c>
      <c r="L63" s="7">
        <f>MAX(D63,E63)</f>
        <v/>
      </c>
      <c r="M63" s="7">
        <f>IF(K63="MATCHED",0,L63)</f>
        <v/>
      </c>
      <c r="N63" s="6">
        <f>IF(K63="UNMATCHED",ROW()-1,"")</f>
        <v/>
      </c>
    </row>
    <row r="64">
      <c r="A64" s="5">
        <f>Raw_Bank!A64</f>
        <v/>
      </c>
      <c r="B64" s="6">
        <f>Raw_Bank!B64</f>
        <v/>
      </c>
      <c r="C64" s="6">
        <f>Raw_Bank!C64</f>
        <v/>
      </c>
      <c r="D64" s="7">
        <f>Raw_Bank!D64</f>
        <v/>
      </c>
      <c r="E64" s="7">
        <f>Raw_Bank!E64</f>
        <v/>
      </c>
      <c r="F64" s="6">
        <f>TEXT(MAX(D64,E64),"0.00")&amp;"|"&amp;IF(E64&gt;0,"R","P")</f>
        <v/>
      </c>
      <c r="G64" s="6">
        <f>MATCH(F64,Raw_Book!$G$2:$G$128,0)</f>
        <v/>
      </c>
      <c r="H64" s="5">
        <f>IF(ISNA(G64),"",INDEX(Raw_Book!$A$2:$A$128,G64))</f>
        <v/>
      </c>
      <c r="I64" s="6">
        <f>IF(ISNA(G64),"",INDEX(Raw_Book!$B$2:$B$128,G64))</f>
        <v/>
      </c>
      <c r="J64" s="6">
        <f>IF(ISNA(G64),"",ABS(A64-H64))</f>
        <v/>
      </c>
      <c r="K64" s="6">
        <f>IF(OR(ISNA(G64),J64&gt;3),"UNMATCHED","MATCHED")</f>
        <v/>
      </c>
      <c r="L64" s="7">
        <f>MAX(D64,E64)</f>
        <v/>
      </c>
      <c r="M64" s="7">
        <f>IF(K64="MATCHED",0,L64)</f>
        <v/>
      </c>
      <c r="N64" s="6">
        <f>IF(K64="UNMATCHED",ROW()-1,"")</f>
        <v/>
      </c>
    </row>
    <row r="65">
      <c r="A65" s="5">
        <f>Raw_Bank!A65</f>
        <v/>
      </c>
      <c r="B65" s="6">
        <f>Raw_Bank!B65</f>
        <v/>
      </c>
      <c r="C65" s="6">
        <f>Raw_Bank!C65</f>
        <v/>
      </c>
      <c r="D65" s="7">
        <f>Raw_Bank!D65</f>
        <v/>
      </c>
      <c r="E65" s="7">
        <f>Raw_Bank!E65</f>
        <v/>
      </c>
      <c r="F65" s="6">
        <f>TEXT(MAX(D65,E65),"0.00")&amp;"|"&amp;IF(E65&gt;0,"R","P")</f>
        <v/>
      </c>
      <c r="G65" s="6">
        <f>MATCH(F65,Raw_Book!$G$2:$G$128,0)</f>
        <v/>
      </c>
      <c r="H65" s="5">
        <f>IF(ISNA(G65),"",INDEX(Raw_Book!$A$2:$A$128,G65))</f>
        <v/>
      </c>
      <c r="I65" s="6">
        <f>IF(ISNA(G65),"",INDEX(Raw_Book!$B$2:$B$128,G65))</f>
        <v/>
      </c>
      <c r="J65" s="6">
        <f>IF(ISNA(G65),"",ABS(A65-H65))</f>
        <v/>
      </c>
      <c r="K65" s="6">
        <f>IF(OR(ISNA(G65),J65&gt;3),"UNMATCHED","MATCHED")</f>
        <v/>
      </c>
      <c r="L65" s="7">
        <f>MAX(D65,E65)</f>
        <v/>
      </c>
      <c r="M65" s="7">
        <f>IF(K65="MATCHED",0,L65)</f>
        <v/>
      </c>
      <c r="N65" s="6">
        <f>IF(K65="UNMATCHED",ROW()-1,"")</f>
        <v/>
      </c>
    </row>
    <row r="66">
      <c r="A66" s="5">
        <f>Raw_Bank!A66</f>
        <v/>
      </c>
      <c r="B66" s="6">
        <f>Raw_Bank!B66</f>
        <v/>
      </c>
      <c r="C66" s="6">
        <f>Raw_Bank!C66</f>
        <v/>
      </c>
      <c r="D66" s="7">
        <f>Raw_Bank!D66</f>
        <v/>
      </c>
      <c r="E66" s="7">
        <f>Raw_Bank!E66</f>
        <v/>
      </c>
      <c r="F66" s="6">
        <f>TEXT(MAX(D66,E66),"0.00")&amp;"|"&amp;IF(E66&gt;0,"R","P")</f>
        <v/>
      </c>
      <c r="G66" s="6">
        <f>MATCH(F66,Raw_Book!$G$2:$G$128,0)</f>
        <v/>
      </c>
      <c r="H66" s="5">
        <f>IF(ISNA(G66),"",INDEX(Raw_Book!$A$2:$A$128,G66))</f>
        <v/>
      </c>
      <c r="I66" s="6">
        <f>IF(ISNA(G66),"",INDEX(Raw_Book!$B$2:$B$128,G66))</f>
        <v/>
      </c>
      <c r="J66" s="6">
        <f>IF(ISNA(G66),"",ABS(A66-H66))</f>
        <v/>
      </c>
      <c r="K66" s="6">
        <f>IF(OR(ISNA(G66),J66&gt;3),"UNMATCHED","MATCHED")</f>
        <v/>
      </c>
      <c r="L66" s="7">
        <f>MAX(D66,E66)</f>
        <v/>
      </c>
      <c r="M66" s="7">
        <f>IF(K66="MATCHED",0,L66)</f>
        <v/>
      </c>
      <c r="N66" s="6">
        <f>IF(K66="UNMATCHED",ROW()-1,"")</f>
        <v/>
      </c>
    </row>
    <row r="67">
      <c r="A67" s="5">
        <f>Raw_Bank!A67</f>
        <v/>
      </c>
      <c r="B67" s="6">
        <f>Raw_Bank!B67</f>
        <v/>
      </c>
      <c r="C67" s="6">
        <f>Raw_Bank!C67</f>
        <v/>
      </c>
      <c r="D67" s="7">
        <f>Raw_Bank!D67</f>
        <v/>
      </c>
      <c r="E67" s="7">
        <f>Raw_Bank!E67</f>
        <v/>
      </c>
      <c r="F67" s="6">
        <f>TEXT(MAX(D67,E67),"0.00")&amp;"|"&amp;IF(E67&gt;0,"R","P")</f>
        <v/>
      </c>
      <c r="G67" s="6">
        <f>MATCH(F67,Raw_Book!$G$2:$G$128,0)</f>
        <v/>
      </c>
      <c r="H67" s="5">
        <f>IF(ISNA(G67),"",INDEX(Raw_Book!$A$2:$A$128,G67))</f>
        <v/>
      </c>
      <c r="I67" s="6">
        <f>IF(ISNA(G67),"",INDEX(Raw_Book!$B$2:$B$128,G67))</f>
        <v/>
      </c>
      <c r="J67" s="6">
        <f>IF(ISNA(G67),"",ABS(A67-H67))</f>
        <v/>
      </c>
      <c r="K67" s="6">
        <f>IF(OR(ISNA(G67),J67&gt;3),"UNMATCHED","MATCHED")</f>
        <v/>
      </c>
      <c r="L67" s="7">
        <f>MAX(D67,E67)</f>
        <v/>
      </c>
      <c r="M67" s="7">
        <f>IF(K67="MATCHED",0,L67)</f>
        <v/>
      </c>
      <c r="N67" s="6">
        <f>IF(K67="UNMATCHED",ROW()-1,"")</f>
        <v/>
      </c>
    </row>
    <row r="68">
      <c r="A68" s="5">
        <f>Raw_Bank!A68</f>
        <v/>
      </c>
      <c r="B68" s="6">
        <f>Raw_Bank!B68</f>
        <v/>
      </c>
      <c r="C68" s="6">
        <f>Raw_Bank!C68</f>
        <v/>
      </c>
      <c r="D68" s="7">
        <f>Raw_Bank!D68</f>
        <v/>
      </c>
      <c r="E68" s="7">
        <f>Raw_Bank!E68</f>
        <v/>
      </c>
      <c r="F68" s="6">
        <f>TEXT(MAX(D68,E68),"0.00")&amp;"|"&amp;IF(E68&gt;0,"R","P")</f>
        <v/>
      </c>
      <c r="G68" s="6">
        <f>MATCH(F68,Raw_Book!$G$2:$G$128,0)</f>
        <v/>
      </c>
      <c r="H68" s="5">
        <f>IF(ISNA(G68),"",INDEX(Raw_Book!$A$2:$A$128,G68))</f>
        <v/>
      </c>
      <c r="I68" s="6">
        <f>IF(ISNA(G68),"",INDEX(Raw_Book!$B$2:$B$128,G68))</f>
        <v/>
      </c>
      <c r="J68" s="6">
        <f>IF(ISNA(G68),"",ABS(A68-H68))</f>
        <v/>
      </c>
      <c r="K68" s="6">
        <f>IF(OR(ISNA(G68),J68&gt;3),"UNMATCHED","MATCHED")</f>
        <v/>
      </c>
      <c r="L68" s="7">
        <f>MAX(D68,E68)</f>
        <v/>
      </c>
      <c r="M68" s="7">
        <f>IF(K68="MATCHED",0,L68)</f>
        <v/>
      </c>
      <c r="N68" s="6">
        <f>IF(K68="UNMATCHED",ROW()-1,"")</f>
        <v/>
      </c>
    </row>
    <row r="69">
      <c r="A69" s="5">
        <f>Raw_Bank!A69</f>
        <v/>
      </c>
      <c r="B69" s="6">
        <f>Raw_Bank!B69</f>
        <v/>
      </c>
      <c r="C69" s="6">
        <f>Raw_Bank!C69</f>
        <v/>
      </c>
      <c r="D69" s="7">
        <f>Raw_Bank!D69</f>
        <v/>
      </c>
      <c r="E69" s="7">
        <f>Raw_Bank!E69</f>
        <v/>
      </c>
      <c r="F69" s="6">
        <f>TEXT(MAX(D69,E69),"0.00")&amp;"|"&amp;IF(E69&gt;0,"R","P")</f>
        <v/>
      </c>
      <c r="G69" s="6">
        <f>MATCH(F69,Raw_Book!$G$2:$G$128,0)</f>
        <v/>
      </c>
      <c r="H69" s="5">
        <f>IF(ISNA(G69),"",INDEX(Raw_Book!$A$2:$A$128,G69))</f>
        <v/>
      </c>
      <c r="I69" s="6">
        <f>IF(ISNA(G69),"",INDEX(Raw_Book!$B$2:$B$128,G69))</f>
        <v/>
      </c>
      <c r="J69" s="6">
        <f>IF(ISNA(G69),"",ABS(A69-H69))</f>
        <v/>
      </c>
      <c r="K69" s="6">
        <f>IF(OR(ISNA(G69),J69&gt;3),"UNMATCHED","MATCHED")</f>
        <v/>
      </c>
      <c r="L69" s="7">
        <f>MAX(D69,E69)</f>
        <v/>
      </c>
      <c r="M69" s="7">
        <f>IF(K69="MATCHED",0,L69)</f>
        <v/>
      </c>
      <c r="N69" s="6">
        <f>IF(K69="UNMATCHED",ROW()-1,"")</f>
        <v/>
      </c>
    </row>
    <row r="70">
      <c r="A70" s="5">
        <f>Raw_Bank!A70</f>
        <v/>
      </c>
      <c r="B70" s="6">
        <f>Raw_Bank!B70</f>
        <v/>
      </c>
      <c r="C70" s="6">
        <f>Raw_Bank!C70</f>
        <v/>
      </c>
      <c r="D70" s="7">
        <f>Raw_Bank!D70</f>
        <v/>
      </c>
      <c r="E70" s="7">
        <f>Raw_Bank!E70</f>
        <v/>
      </c>
      <c r="F70" s="6">
        <f>TEXT(MAX(D70,E70),"0.00")&amp;"|"&amp;IF(E70&gt;0,"R","P")</f>
        <v/>
      </c>
      <c r="G70" s="6">
        <f>MATCH(F70,Raw_Book!$G$2:$G$128,0)</f>
        <v/>
      </c>
      <c r="H70" s="5">
        <f>IF(ISNA(G70),"",INDEX(Raw_Book!$A$2:$A$128,G70))</f>
        <v/>
      </c>
      <c r="I70" s="6">
        <f>IF(ISNA(G70),"",INDEX(Raw_Book!$B$2:$B$128,G70))</f>
        <v/>
      </c>
      <c r="J70" s="6">
        <f>IF(ISNA(G70),"",ABS(A70-H70))</f>
        <v/>
      </c>
      <c r="K70" s="6">
        <f>IF(OR(ISNA(G70),J70&gt;3),"UNMATCHED","MATCHED")</f>
        <v/>
      </c>
      <c r="L70" s="7">
        <f>MAX(D70,E70)</f>
        <v/>
      </c>
      <c r="M70" s="7">
        <f>IF(K70="MATCHED",0,L70)</f>
        <v/>
      </c>
      <c r="N70" s="6">
        <f>IF(K70="UNMATCHED",ROW()-1,"")</f>
        <v/>
      </c>
    </row>
    <row r="71">
      <c r="A71" s="5">
        <f>Raw_Bank!A71</f>
        <v/>
      </c>
      <c r="B71" s="6">
        <f>Raw_Bank!B71</f>
        <v/>
      </c>
      <c r="C71" s="6">
        <f>Raw_Bank!C71</f>
        <v/>
      </c>
      <c r="D71" s="7">
        <f>Raw_Bank!D71</f>
        <v/>
      </c>
      <c r="E71" s="7">
        <f>Raw_Bank!E71</f>
        <v/>
      </c>
      <c r="F71" s="6">
        <f>TEXT(MAX(D71,E71),"0.00")&amp;"|"&amp;IF(E71&gt;0,"R","P")</f>
        <v/>
      </c>
      <c r="G71" s="6">
        <f>MATCH(F71,Raw_Book!$G$2:$G$128,0)</f>
        <v/>
      </c>
      <c r="H71" s="5">
        <f>IF(ISNA(G71),"",INDEX(Raw_Book!$A$2:$A$128,G71))</f>
        <v/>
      </c>
      <c r="I71" s="6">
        <f>IF(ISNA(G71),"",INDEX(Raw_Book!$B$2:$B$128,G71))</f>
        <v/>
      </c>
      <c r="J71" s="6">
        <f>IF(ISNA(G71),"",ABS(A71-H71))</f>
        <v/>
      </c>
      <c r="K71" s="6">
        <f>IF(OR(ISNA(G71),J71&gt;3),"UNMATCHED","MATCHED")</f>
        <v/>
      </c>
      <c r="L71" s="7">
        <f>MAX(D71,E71)</f>
        <v/>
      </c>
      <c r="M71" s="7">
        <f>IF(K71="MATCHED",0,L71)</f>
        <v/>
      </c>
      <c r="N71" s="6">
        <f>IF(K71="UNMATCHED",ROW()-1,"")</f>
        <v/>
      </c>
    </row>
    <row r="72">
      <c r="A72" s="5">
        <f>Raw_Bank!A72</f>
        <v/>
      </c>
      <c r="B72" s="6">
        <f>Raw_Bank!B72</f>
        <v/>
      </c>
      <c r="C72" s="6">
        <f>Raw_Bank!C72</f>
        <v/>
      </c>
      <c r="D72" s="7">
        <f>Raw_Bank!D72</f>
        <v/>
      </c>
      <c r="E72" s="7">
        <f>Raw_Bank!E72</f>
        <v/>
      </c>
      <c r="F72" s="6">
        <f>TEXT(MAX(D72,E72),"0.00")&amp;"|"&amp;IF(E72&gt;0,"R","P")</f>
        <v/>
      </c>
      <c r="G72" s="6">
        <f>MATCH(F72,Raw_Book!$G$2:$G$128,0)</f>
        <v/>
      </c>
      <c r="H72" s="5">
        <f>IF(ISNA(G72),"",INDEX(Raw_Book!$A$2:$A$128,G72))</f>
        <v/>
      </c>
      <c r="I72" s="6">
        <f>IF(ISNA(G72),"",INDEX(Raw_Book!$B$2:$B$128,G72))</f>
        <v/>
      </c>
      <c r="J72" s="6">
        <f>IF(ISNA(G72),"",ABS(A72-H72))</f>
        <v/>
      </c>
      <c r="K72" s="6">
        <f>IF(OR(ISNA(G72),J72&gt;3),"UNMATCHED","MATCHED")</f>
        <v/>
      </c>
      <c r="L72" s="7">
        <f>MAX(D72,E72)</f>
        <v/>
      </c>
      <c r="M72" s="7">
        <f>IF(K72="MATCHED",0,L72)</f>
        <v/>
      </c>
      <c r="N72" s="6">
        <f>IF(K72="UNMATCHED",ROW()-1,"")</f>
        <v/>
      </c>
    </row>
    <row r="73">
      <c r="A73" s="5">
        <f>Raw_Bank!A73</f>
        <v/>
      </c>
      <c r="B73" s="6">
        <f>Raw_Bank!B73</f>
        <v/>
      </c>
      <c r="C73" s="6">
        <f>Raw_Bank!C73</f>
        <v/>
      </c>
      <c r="D73" s="7">
        <f>Raw_Bank!D73</f>
        <v/>
      </c>
      <c r="E73" s="7">
        <f>Raw_Bank!E73</f>
        <v/>
      </c>
      <c r="F73" s="6">
        <f>TEXT(MAX(D73,E73),"0.00")&amp;"|"&amp;IF(E73&gt;0,"R","P")</f>
        <v/>
      </c>
      <c r="G73" s="6">
        <f>MATCH(F73,Raw_Book!$G$2:$G$128,0)</f>
        <v/>
      </c>
      <c r="H73" s="5">
        <f>IF(ISNA(G73),"",INDEX(Raw_Book!$A$2:$A$128,G73))</f>
        <v/>
      </c>
      <c r="I73" s="6">
        <f>IF(ISNA(G73),"",INDEX(Raw_Book!$B$2:$B$128,G73))</f>
        <v/>
      </c>
      <c r="J73" s="6">
        <f>IF(ISNA(G73),"",ABS(A73-H73))</f>
        <v/>
      </c>
      <c r="K73" s="6">
        <f>IF(OR(ISNA(G73),J73&gt;3),"UNMATCHED","MATCHED")</f>
        <v/>
      </c>
      <c r="L73" s="7">
        <f>MAX(D73,E73)</f>
        <v/>
      </c>
      <c r="M73" s="7">
        <f>IF(K73="MATCHED",0,L73)</f>
        <v/>
      </c>
      <c r="N73" s="6">
        <f>IF(K73="UNMATCHED",ROW()-1,"")</f>
        <v/>
      </c>
    </row>
    <row r="74">
      <c r="A74" s="5">
        <f>Raw_Bank!A74</f>
        <v/>
      </c>
      <c r="B74" s="6">
        <f>Raw_Bank!B74</f>
        <v/>
      </c>
      <c r="C74" s="6">
        <f>Raw_Bank!C74</f>
        <v/>
      </c>
      <c r="D74" s="7">
        <f>Raw_Bank!D74</f>
        <v/>
      </c>
      <c r="E74" s="7">
        <f>Raw_Bank!E74</f>
        <v/>
      </c>
      <c r="F74" s="6">
        <f>TEXT(MAX(D74,E74),"0.00")&amp;"|"&amp;IF(E74&gt;0,"R","P")</f>
        <v/>
      </c>
      <c r="G74" s="6">
        <f>MATCH(F74,Raw_Book!$G$2:$G$128,0)</f>
        <v/>
      </c>
      <c r="H74" s="5">
        <f>IF(ISNA(G74),"",INDEX(Raw_Book!$A$2:$A$128,G74))</f>
        <v/>
      </c>
      <c r="I74" s="6">
        <f>IF(ISNA(G74),"",INDEX(Raw_Book!$B$2:$B$128,G74))</f>
        <v/>
      </c>
      <c r="J74" s="6">
        <f>IF(ISNA(G74),"",ABS(A74-H74))</f>
        <v/>
      </c>
      <c r="K74" s="6">
        <f>IF(OR(ISNA(G74),J74&gt;3),"UNMATCHED","MATCHED")</f>
        <v/>
      </c>
      <c r="L74" s="7">
        <f>MAX(D74,E74)</f>
        <v/>
      </c>
      <c r="M74" s="7">
        <f>IF(K74="MATCHED",0,L74)</f>
        <v/>
      </c>
      <c r="N74" s="6">
        <f>IF(K74="UNMATCHED",ROW()-1,"")</f>
        <v/>
      </c>
    </row>
    <row r="75">
      <c r="A75" s="5">
        <f>Raw_Bank!A75</f>
        <v/>
      </c>
      <c r="B75" s="6">
        <f>Raw_Bank!B75</f>
        <v/>
      </c>
      <c r="C75" s="6">
        <f>Raw_Bank!C75</f>
        <v/>
      </c>
      <c r="D75" s="7">
        <f>Raw_Bank!D75</f>
        <v/>
      </c>
      <c r="E75" s="7">
        <f>Raw_Bank!E75</f>
        <v/>
      </c>
      <c r="F75" s="6">
        <f>TEXT(MAX(D75,E75),"0.00")&amp;"|"&amp;IF(E75&gt;0,"R","P")</f>
        <v/>
      </c>
      <c r="G75" s="6">
        <f>MATCH(F75,Raw_Book!$G$2:$G$128,0)</f>
        <v/>
      </c>
      <c r="H75" s="5">
        <f>IF(ISNA(G75),"",INDEX(Raw_Book!$A$2:$A$128,G75))</f>
        <v/>
      </c>
      <c r="I75" s="6">
        <f>IF(ISNA(G75),"",INDEX(Raw_Book!$B$2:$B$128,G75))</f>
        <v/>
      </c>
      <c r="J75" s="6">
        <f>IF(ISNA(G75),"",ABS(A75-H75))</f>
        <v/>
      </c>
      <c r="K75" s="6">
        <f>IF(OR(ISNA(G75),J75&gt;3),"UNMATCHED","MATCHED")</f>
        <v/>
      </c>
      <c r="L75" s="7">
        <f>MAX(D75,E75)</f>
        <v/>
      </c>
      <c r="M75" s="7">
        <f>IF(K75="MATCHED",0,L75)</f>
        <v/>
      </c>
      <c r="N75" s="6">
        <f>IF(K75="UNMATCHED",ROW()-1,"")</f>
        <v/>
      </c>
    </row>
    <row r="76">
      <c r="A76" s="5">
        <f>Raw_Bank!A76</f>
        <v/>
      </c>
      <c r="B76" s="6">
        <f>Raw_Bank!B76</f>
        <v/>
      </c>
      <c r="C76" s="6">
        <f>Raw_Bank!C76</f>
        <v/>
      </c>
      <c r="D76" s="7">
        <f>Raw_Bank!D76</f>
        <v/>
      </c>
      <c r="E76" s="7">
        <f>Raw_Bank!E76</f>
        <v/>
      </c>
      <c r="F76" s="6">
        <f>TEXT(MAX(D76,E76),"0.00")&amp;"|"&amp;IF(E76&gt;0,"R","P")</f>
        <v/>
      </c>
      <c r="G76" s="6">
        <f>MATCH(F76,Raw_Book!$G$2:$G$128,0)</f>
        <v/>
      </c>
      <c r="H76" s="5">
        <f>IF(ISNA(G76),"",INDEX(Raw_Book!$A$2:$A$128,G76))</f>
        <v/>
      </c>
      <c r="I76" s="6">
        <f>IF(ISNA(G76),"",INDEX(Raw_Book!$B$2:$B$128,G76))</f>
        <v/>
      </c>
      <c r="J76" s="6">
        <f>IF(ISNA(G76),"",ABS(A76-H76))</f>
        <v/>
      </c>
      <c r="K76" s="6">
        <f>IF(OR(ISNA(G76),J76&gt;3),"UNMATCHED","MATCHED")</f>
        <v/>
      </c>
      <c r="L76" s="7">
        <f>MAX(D76,E76)</f>
        <v/>
      </c>
      <c r="M76" s="7">
        <f>IF(K76="MATCHED",0,L76)</f>
        <v/>
      </c>
      <c r="N76" s="6">
        <f>IF(K76="UNMATCHED",ROW()-1,"")</f>
        <v/>
      </c>
    </row>
    <row r="77">
      <c r="A77" s="5">
        <f>Raw_Bank!A77</f>
        <v/>
      </c>
      <c r="B77" s="6">
        <f>Raw_Bank!B77</f>
        <v/>
      </c>
      <c r="C77" s="6">
        <f>Raw_Bank!C77</f>
        <v/>
      </c>
      <c r="D77" s="7">
        <f>Raw_Bank!D77</f>
        <v/>
      </c>
      <c r="E77" s="7">
        <f>Raw_Bank!E77</f>
        <v/>
      </c>
      <c r="F77" s="6">
        <f>TEXT(MAX(D77,E77),"0.00")&amp;"|"&amp;IF(E77&gt;0,"R","P")</f>
        <v/>
      </c>
      <c r="G77" s="6">
        <f>MATCH(F77,Raw_Book!$G$2:$G$128,0)</f>
        <v/>
      </c>
      <c r="H77" s="5">
        <f>IF(ISNA(G77),"",INDEX(Raw_Book!$A$2:$A$128,G77))</f>
        <v/>
      </c>
      <c r="I77" s="6">
        <f>IF(ISNA(G77),"",INDEX(Raw_Book!$B$2:$B$128,G77))</f>
        <v/>
      </c>
      <c r="J77" s="6">
        <f>IF(ISNA(G77),"",ABS(A77-H77))</f>
        <v/>
      </c>
      <c r="K77" s="6">
        <f>IF(OR(ISNA(G77),J77&gt;3),"UNMATCHED","MATCHED")</f>
        <v/>
      </c>
      <c r="L77" s="7">
        <f>MAX(D77,E77)</f>
        <v/>
      </c>
      <c r="M77" s="7">
        <f>IF(K77="MATCHED",0,L77)</f>
        <v/>
      </c>
      <c r="N77" s="6">
        <f>IF(K77="UNMATCHED",ROW()-1,"")</f>
        <v/>
      </c>
    </row>
    <row r="78">
      <c r="A78" s="5">
        <f>Raw_Bank!A78</f>
        <v/>
      </c>
      <c r="B78" s="6">
        <f>Raw_Bank!B78</f>
        <v/>
      </c>
      <c r="C78" s="6">
        <f>Raw_Bank!C78</f>
        <v/>
      </c>
      <c r="D78" s="7">
        <f>Raw_Bank!D78</f>
        <v/>
      </c>
      <c r="E78" s="7">
        <f>Raw_Bank!E78</f>
        <v/>
      </c>
      <c r="F78" s="6">
        <f>TEXT(MAX(D78,E78),"0.00")&amp;"|"&amp;IF(E78&gt;0,"R","P")</f>
        <v/>
      </c>
      <c r="G78" s="6">
        <f>MATCH(F78,Raw_Book!$G$2:$G$128,0)</f>
        <v/>
      </c>
      <c r="H78" s="5">
        <f>IF(ISNA(G78),"",INDEX(Raw_Book!$A$2:$A$128,G78))</f>
        <v/>
      </c>
      <c r="I78" s="6">
        <f>IF(ISNA(G78),"",INDEX(Raw_Book!$B$2:$B$128,G78))</f>
        <v/>
      </c>
      <c r="J78" s="6">
        <f>IF(ISNA(G78),"",ABS(A78-H78))</f>
        <v/>
      </c>
      <c r="K78" s="6">
        <f>IF(OR(ISNA(G78),J78&gt;3),"UNMATCHED","MATCHED")</f>
        <v/>
      </c>
      <c r="L78" s="7">
        <f>MAX(D78,E78)</f>
        <v/>
      </c>
      <c r="M78" s="7">
        <f>IF(K78="MATCHED",0,L78)</f>
        <v/>
      </c>
      <c r="N78" s="6">
        <f>IF(K78="UNMATCHED",ROW()-1,"")</f>
        <v/>
      </c>
    </row>
    <row r="79">
      <c r="A79" s="5">
        <f>Raw_Bank!A79</f>
        <v/>
      </c>
      <c r="B79" s="6">
        <f>Raw_Bank!B79</f>
        <v/>
      </c>
      <c r="C79" s="6">
        <f>Raw_Bank!C79</f>
        <v/>
      </c>
      <c r="D79" s="7">
        <f>Raw_Bank!D79</f>
        <v/>
      </c>
      <c r="E79" s="7">
        <f>Raw_Bank!E79</f>
        <v/>
      </c>
      <c r="F79" s="6">
        <f>TEXT(MAX(D79,E79),"0.00")&amp;"|"&amp;IF(E79&gt;0,"R","P")</f>
        <v/>
      </c>
      <c r="G79" s="6">
        <f>MATCH(F79,Raw_Book!$G$2:$G$128,0)</f>
        <v/>
      </c>
      <c r="H79" s="5">
        <f>IF(ISNA(G79),"",INDEX(Raw_Book!$A$2:$A$128,G79))</f>
        <v/>
      </c>
      <c r="I79" s="6">
        <f>IF(ISNA(G79),"",INDEX(Raw_Book!$B$2:$B$128,G79))</f>
        <v/>
      </c>
      <c r="J79" s="6">
        <f>IF(ISNA(G79),"",ABS(A79-H79))</f>
        <v/>
      </c>
      <c r="K79" s="6">
        <f>IF(OR(ISNA(G79),J79&gt;3),"UNMATCHED","MATCHED")</f>
        <v/>
      </c>
      <c r="L79" s="7">
        <f>MAX(D79,E79)</f>
        <v/>
      </c>
      <c r="M79" s="7">
        <f>IF(K79="MATCHED",0,L79)</f>
        <v/>
      </c>
      <c r="N79" s="6">
        <f>IF(K79="UNMATCHED",ROW()-1,"")</f>
        <v/>
      </c>
    </row>
    <row r="80">
      <c r="A80" s="5">
        <f>Raw_Bank!A80</f>
        <v/>
      </c>
      <c r="B80" s="6">
        <f>Raw_Bank!B80</f>
        <v/>
      </c>
      <c r="C80" s="6">
        <f>Raw_Bank!C80</f>
        <v/>
      </c>
      <c r="D80" s="7">
        <f>Raw_Bank!D80</f>
        <v/>
      </c>
      <c r="E80" s="7">
        <f>Raw_Bank!E80</f>
        <v/>
      </c>
      <c r="F80" s="6">
        <f>TEXT(MAX(D80,E80),"0.00")&amp;"|"&amp;IF(E80&gt;0,"R","P")</f>
        <v/>
      </c>
      <c r="G80" s="6">
        <f>MATCH(F80,Raw_Book!$G$2:$G$128,0)</f>
        <v/>
      </c>
      <c r="H80" s="5">
        <f>IF(ISNA(G80),"",INDEX(Raw_Book!$A$2:$A$128,G80))</f>
        <v/>
      </c>
      <c r="I80" s="6">
        <f>IF(ISNA(G80),"",INDEX(Raw_Book!$B$2:$B$128,G80))</f>
        <v/>
      </c>
      <c r="J80" s="6">
        <f>IF(ISNA(G80),"",ABS(A80-H80))</f>
        <v/>
      </c>
      <c r="K80" s="6">
        <f>IF(OR(ISNA(G80),J80&gt;3),"UNMATCHED","MATCHED")</f>
        <v/>
      </c>
      <c r="L80" s="7">
        <f>MAX(D80,E80)</f>
        <v/>
      </c>
      <c r="M80" s="7">
        <f>IF(K80="MATCHED",0,L80)</f>
        <v/>
      </c>
      <c r="N80" s="6">
        <f>IF(K80="UNMATCHED",ROW()-1,"")</f>
        <v/>
      </c>
    </row>
    <row r="81">
      <c r="A81" s="5">
        <f>Raw_Bank!A81</f>
        <v/>
      </c>
      <c r="B81" s="6">
        <f>Raw_Bank!B81</f>
        <v/>
      </c>
      <c r="C81" s="6">
        <f>Raw_Bank!C81</f>
        <v/>
      </c>
      <c r="D81" s="7">
        <f>Raw_Bank!D81</f>
        <v/>
      </c>
      <c r="E81" s="7">
        <f>Raw_Bank!E81</f>
        <v/>
      </c>
      <c r="F81" s="6">
        <f>TEXT(MAX(D81,E81),"0.00")&amp;"|"&amp;IF(E81&gt;0,"R","P")</f>
        <v/>
      </c>
      <c r="G81" s="6">
        <f>MATCH(F81,Raw_Book!$G$2:$G$128,0)</f>
        <v/>
      </c>
      <c r="H81" s="5">
        <f>IF(ISNA(G81),"",INDEX(Raw_Book!$A$2:$A$128,G81))</f>
        <v/>
      </c>
      <c r="I81" s="6">
        <f>IF(ISNA(G81),"",INDEX(Raw_Book!$B$2:$B$128,G81))</f>
        <v/>
      </c>
      <c r="J81" s="6">
        <f>IF(ISNA(G81),"",ABS(A81-H81))</f>
        <v/>
      </c>
      <c r="K81" s="6">
        <f>IF(OR(ISNA(G81),J81&gt;3),"UNMATCHED","MATCHED")</f>
        <v/>
      </c>
      <c r="L81" s="7">
        <f>MAX(D81,E81)</f>
        <v/>
      </c>
      <c r="M81" s="7">
        <f>IF(K81="MATCHED",0,L81)</f>
        <v/>
      </c>
      <c r="N81" s="6">
        <f>IF(K81="UNMATCHED",ROW()-1,"")</f>
        <v/>
      </c>
    </row>
    <row r="82">
      <c r="A82" s="5">
        <f>Raw_Bank!A82</f>
        <v/>
      </c>
      <c r="B82" s="6">
        <f>Raw_Bank!B82</f>
        <v/>
      </c>
      <c r="C82" s="6">
        <f>Raw_Bank!C82</f>
        <v/>
      </c>
      <c r="D82" s="7">
        <f>Raw_Bank!D82</f>
        <v/>
      </c>
      <c r="E82" s="7">
        <f>Raw_Bank!E82</f>
        <v/>
      </c>
      <c r="F82" s="6">
        <f>TEXT(MAX(D82,E82),"0.00")&amp;"|"&amp;IF(E82&gt;0,"R","P")</f>
        <v/>
      </c>
      <c r="G82" s="6">
        <f>MATCH(F82,Raw_Book!$G$2:$G$128,0)</f>
        <v/>
      </c>
      <c r="H82" s="5">
        <f>IF(ISNA(G82),"",INDEX(Raw_Book!$A$2:$A$128,G82))</f>
        <v/>
      </c>
      <c r="I82" s="6">
        <f>IF(ISNA(G82),"",INDEX(Raw_Book!$B$2:$B$128,G82))</f>
        <v/>
      </c>
      <c r="J82" s="6">
        <f>IF(ISNA(G82),"",ABS(A82-H82))</f>
        <v/>
      </c>
      <c r="K82" s="6">
        <f>IF(OR(ISNA(G82),J82&gt;3),"UNMATCHED","MATCHED")</f>
        <v/>
      </c>
      <c r="L82" s="7">
        <f>MAX(D82,E82)</f>
        <v/>
      </c>
      <c r="M82" s="7">
        <f>IF(K82="MATCHED",0,L82)</f>
        <v/>
      </c>
      <c r="N82" s="6">
        <f>IF(K82="UNMATCHED",ROW()-1,"")</f>
        <v/>
      </c>
    </row>
    <row r="83">
      <c r="A83" s="5">
        <f>Raw_Bank!A83</f>
        <v/>
      </c>
      <c r="B83" s="6">
        <f>Raw_Bank!B83</f>
        <v/>
      </c>
      <c r="C83" s="6">
        <f>Raw_Bank!C83</f>
        <v/>
      </c>
      <c r="D83" s="7">
        <f>Raw_Bank!D83</f>
        <v/>
      </c>
      <c r="E83" s="7">
        <f>Raw_Bank!E83</f>
        <v/>
      </c>
      <c r="F83" s="6">
        <f>TEXT(MAX(D83,E83),"0.00")&amp;"|"&amp;IF(E83&gt;0,"R","P")</f>
        <v/>
      </c>
      <c r="G83" s="6">
        <f>MATCH(F83,Raw_Book!$G$2:$G$128,0)</f>
        <v/>
      </c>
      <c r="H83" s="5">
        <f>IF(ISNA(G83),"",INDEX(Raw_Book!$A$2:$A$128,G83))</f>
        <v/>
      </c>
      <c r="I83" s="6">
        <f>IF(ISNA(G83),"",INDEX(Raw_Book!$B$2:$B$128,G83))</f>
        <v/>
      </c>
      <c r="J83" s="6">
        <f>IF(ISNA(G83),"",ABS(A83-H83))</f>
        <v/>
      </c>
      <c r="K83" s="6">
        <f>IF(OR(ISNA(G83),J83&gt;3),"UNMATCHED","MATCHED")</f>
        <v/>
      </c>
      <c r="L83" s="7">
        <f>MAX(D83,E83)</f>
        <v/>
      </c>
      <c r="M83" s="7">
        <f>IF(K83="MATCHED",0,L83)</f>
        <v/>
      </c>
      <c r="N83" s="6">
        <f>IF(K83="UNMATCHED",ROW()-1,"")</f>
        <v/>
      </c>
    </row>
    <row r="84">
      <c r="A84" s="5">
        <f>Raw_Bank!A84</f>
        <v/>
      </c>
      <c r="B84" s="6">
        <f>Raw_Bank!B84</f>
        <v/>
      </c>
      <c r="C84" s="6">
        <f>Raw_Bank!C84</f>
        <v/>
      </c>
      <c r="D84" s="7">
        <f>Raw_Bank!D84</f>
        <v/>
      </c>
      <c r="E84" s="7">
        <f>Raw_Bank!E84</f>
        <v/>
      </c>
      <c r="F84" s="6">
        <f>TEXT(MAX(D84,E84),"0.00")&amp;"|"&amp;IF(E84&gt;0,"R","P")</f>
        <v/>
      </c>
      <c r="G84" s="6">
        <f>MATCH(F84,Raw_Book!$G$2:$G$128,0)</f>
        <v/>
      </c>
      <c r="H84" s="5">
        <f>IF(ISNA(G84),"",INDEX(Raw_Book!$A$2:$A$128,G84))</f>
        <v/>
      </c>
      <c r="I84" s="6">
        <f>IF(ISNA(G84),"",INDEX(Raw_Book!$B$2:$B$128,G84))</f>
        <v/>
      </c>
      <c r="J84" s="6">
        <f>IF(ISNA(G84),"",ABS(A84-H84))</f>
        <v/>
      </c>
      <c r="K84" s="6">
        <f>IF(OR(ISNA(G84),J84&gt;3),"UNMATCHED","MATCHED")</f>
        <v/>
      </c>
      <c r="L84" s="7">
        <f>MAX(D84,E84)</f>
        <v/>
      </c>
      <c r="M84" s="7">
        <f>IF(K84="MATCHED",0,L84)</f>
        <v/>
      </c>
      <c r="N84" s="6">
        <f>IF(K84="UNMATCHED",ROW()-1,"")</f>
        <v/>
      </c>
    </row>
    <row r="85">
      <c r="A85" s="5">
        <f>Raw_Bank!A85</f>
        <v/>
      </c>
      <c r="B85" s="6">
        <f>Raw_Bank!B85</f>
        <v/>
      </c>
      <c r="C85" s="6">
        <f>Raw_Bank!C85</f>
        <v/>
      </c>
      <c r="D85" s="7">
        <f>Raw_Bank!D85</f>
        <v/>
      </c>
      <c r="E85" s="7">
        <f>Raw_Bank!E85</f>
        <v/>
      </c>
      <c r="F85" s="6">
        <f>TEXT(MAX(D85,E85),"0.00")&amp;"|"&amp;IF(E85&gt;0,"R","P")</f>
        <v/>
      </c>
      <c r="G85" s="6">
        <f>MATCH(F85,Raw_Book!$G$2:$G$128,0)</f>
        <v/>
      </c>
      <c r="H85" s="5">
        <f>IF(ISNA(G85),"",INDEX(Raw_Book!$A$2:$A$128,G85))</f>
        <v/>
      </c>
      <c r="I85" s="6">
        <f>IF(ISNA(G85),"",INDEX(Raw_Book!$B$2:$B$128,G85))</f>
        <v/>
      </c>
      <c r="J85" s="6">
        <f>IF(ISNA(G85),"",ABS(A85-H85))</f>
        <v/>
      </c>
      <c r="K85" s="6">
        <f>IF(OR(ISNA(G85),J85&gt;3),"UNMATCHED","MATCHED")</f>
        <v/>
      </c>
      <c r="L85" s="7">
        <f>MAX(D85,E85)</f>
        <v/>
      </c>
      <c r="M85" s="7">
        <f>IF(K85="MATCHED",0,L85)</f>
        <v/>
      </c>
      <c r="N85" s="6">
        <f>IF(K85="UNMATCHED",ROW()-1,"")</f>
        <v/>
      </c>
    </row>
    <row r="86">
      <c r="A86" s="5">
        <f>Raw_Bank!A86</f>
        <v/>
      </c>
      <c r="B86" s="6">
        <f>Raw_Bank!B86</f>
        <v/>
      </c>
      <c r="C86" s="6">
        <f>Raw_Bank!C86</f>
        <v/>
      </c>
      <c r="D86" s="7">
        <f>Raw_Bank!D86</f>
        <v/>
      </c>
      <c r="E86" s="7">
        <f>Raw_Bank!E86</f>
        <v/>
      </c>
      <c r="F86" s="6">
        <f>TEXT(MAX(D86,E86),"0.00")&amp;"|"&amp;IF(E86&gt;0,"R","P")</f>
        <v/>
      </c>
      <c r="G86" s="6">
        <f>MATCH(F86,Raw_Book!$G$2:$G$128,0)</f>
        <v/>
      </c>
      <c r="H86" s="5">
        <f>IF(ISNA(G86),"",INDEX(Raw_Book!$A$2:$A$128,G86))</f>
        <v/>
      </c>
      <c r="I86" s="6">
        <f>IF(ISNA(G86),"",INDEX(Raw_Book!$B$2:$B$128,G86))</f>
        <v/>
      </c>
      <c r="J86" s="6">
        <f>IF(ISNA(G86),"",ABS(A86-H86))</f>
        <v/>
      </c>
      <c r="K86" s="6">
        <f>IF(OR(ISNA(G86),J86&gt;3),"UNMATCHED","MATCHED")</f>
        <v/>
      </c>
      <c r="L86" s="7">
        <f>MAX(D86,E86)</f>
        <v/>
      </c>
      <c r="M86" s="7">
        <f>IF(K86="MATCHED",0,L86)</f>
        <v/>
      </c>
      <c r="N86" s="6">
        <f>IF(K86="UNMATCHED",ROW()-1,"")</f>
        <v/>
      </c>
    </row>
    <row r="87">
      <c r="A87" s="5">
        <f>Raw_Bank!A87</f>
        <v/>
      </c>
      <c r="B87" s="6">
        <f>Raw_Bank!B87</f>
        <v/>
      </c>
      <c r="C87" s="6">
        <f>Raw_Bank!C87</f>
        <v/>
      </c>
      <c r="D87" s="7">
        <f>Raw_Bank!D87</f>
        <v/>
      </c>
      <c r="E87" s="7">
        <f>Raw_Bank!E87</f>
        <v/>
      </c>
      <c r="F87" s="6">
        <f>TEXT(MAX(D87,E87),"0.00")&amp;"|"&amp;IF(E87&gt;0,"R","P")</f>
        <v/>
      </c>
      <c r="G87" s="6">
        <f>MATCH(F87,Raw_Book!$G$2:$G$128,0)</f>
        <v/>
      </c>
      <c r="H87" s="5">
        <f>IF(ISNA(G87),"",INDEX(Raw_Book!$A$2:$A$128,G87))</f>
        <v/>
      </c>
      <c r="I87" s="6">
        <f>IF(ISNA(G87),"",INDEX(Raw_Book!$B$2:$B$128,G87))</f>
        <v/>
      </c>
      <c r="J87" s="6">
        <f>IF(ISNA(G87),"",ABS(A87-H87))</f>
        <v/>
      </c>
      <c r="K87" s="6">
        <f>IF(OR(ISNA(G87),J87&gt;3),"UNMATCHED","MATCHED")</f>
        <v/>
      </c>
      <c r="L87" s="7">
        <f>MAX(D87,E87)</f>
        <v/>
      </c>
      <c r="M87" s="7">
        <f>IF(K87="MATCHED",0,L87)</f>
        <v/>
      </c>
      <c r="N87" s="6">
        <f>IF(K87="UNMATCHED",ROW()-1,"")</f>
        <v/>
      </c>
    </row>
    <row r="88">
      <c r="A88" s="5">
        <f>Raw_Bank!A88</f>
        <v/>
      </c>
      <c r="B88" s="6">
        <f>Raw_Bank!B88</f>
        <v/>
      </c>
      <c r="C88" s="6">
        <f>Raw_Bank!C88</f>
        <v/>
      </c>
      <c r="D88" s="7">
        <f>Raw_Bank!D88</f>
        <v/>
      </c>
      <c r="E88" s="7">
        <f>Raw_Bank!E88</f>
        <v/>
      </c>
      <c r="F88" s="6">
        <f>TEXT(MAX(D88,E88),"0.00")&amp;"|"&amp;IF(E88&gt;0,"R","P")</f>
        <v/>
      </c>
      <c r="G88" s="6">
        <f>MATCH(F88,Raw_Book!$G$2:$G$128,0)</f>
        <v/>
      </c>
      <c r="H88" s="5">
        <f>IF(ISNA(G88),"",INDEX(Raw_Book!$A$2:$A$128,G88))</f>
        <v/>
      </c>
      <c r="I88" s="6">
        <f>IF(ISNA(G88),"",INDEX(Raw_Book!$B$2:$B$128,G88))</f>
        <v/>
      </c>
      <c r="J88" s="6">
        <f>IF(ISNA(G88),"",ABS(A88-H88))</f>
        <v/>
      </c>
      <c r="K88" s="6">
        <f>IF(OR(ISNA(G88),J88&gt;3),"UNMATCHED","MATCHED")</f>
        <v/>
      </c>
      <c r="L88" s="7">
        <f>MAX(D88,E88)</f>
        <v/>
      </c>
      <c r="M88" s="7">
        <f>IF(K88="MATCHED",0,L88)</f>
        <v/>
      </c>
      <c r="N88" s="6">
        <f>IF(K88="UNMATCHED",ROW()-1,"")</f>
        <v/>
      </c>
    </row>
    <row r="89">
      <c r="A89" s="5">
        <f>Raw_Bank!A89</f>
        <v/>
      </c>
      <c r="B89" s="6">
        <f>Raw_Bank!B89</f>
        <v/>
      </c>
      <c r="C89" s="6">
        <f>Raw_Bank!C89</f>
        <v/>
      </c>
      <c r="D89" s="7">
        <f>Raw_Bank!D89</f>
        <v/>
      </c>
      <c r="E89" s="7">
        <f>Raw_Bank!E89</f>
        <v/>
      </c>
      <c r="F89" s="6">
        <f>TEXT(MAX(D89,E89),"0.00")&amp;"|"&amp;IF(E89&gt;0,"R","P")</f>
        <v/>
      </c>
      <c r="G89" s="6">
        <f>MATCH(F89,Raw_Book!$G$2:$G$128,0)</f>
        <v/>
      </c>
      <c r="H89" s="5">
        <f>IF(ISNA(G89),"",INDEX(Raw_Book!$A$2:$A$128,G89))</f>
        <v/>
      </c>
      <c r="I89" s="6">
        <f>IF(ISNA(G89),"",INDEX(Raw_Book!$B$2:$B$128,G89))</f>
        <v/>
      </c>
      <c r="J89" s="6">
        <f>IF(ISNA(G89),"",ABS(A89-H89))</f>
        <v/>
      </c>
      <c r="K89" s="6">
        <f>IF(OR(ISNA(G89),J89&gt;3),"UNMATCHED","MATCHED")</f>
        <v/>
      </c>
      <c r="L89" s="7">
        <f>MAX(D89,E89)</f>
        <v/>
      </c>
      <c r="M89" s="7">
        <f>IF(K89="MATCHED",0,L89)</f>
        <v/>
      </c>
      <c r="N89" s="6">
        <f>IF(K89="UNMATCHED",ROW()-1,"")</f>
        <v/>
      </c>
    </row>
    <row r="90">
      <c r="A90" s="5">
        <f>Raw_Bank!A90</f>
        <v/>
      </c>
      <c r="B90" s="6">
        <f>Raw_Bank!B90</f>
        <v/>
      </c>
      <c r="C90" s="6">
        <f>Raw_Bank!C90</f>
        <v/>
      </c>
      <c r="D90" s="7">
        <f>Raw_Bank!D90</f>
        <v/>
      </c>
      <c r="E90" s="7">
        <f>Raw_Bank!E90</f>
        <v/>
      </c>
      <c r="F90" s="6">
        <f>TEXT(MAX(D90,E90),"0.00")&amp;"|"&amp;IF(E90&gt;0,"R","P")</f>
        <v/>
      </c>
      <c r="G90" s="6">
        <f>MATCH(F90,Raw_Book!$G$2:$G$128,0)</f>
        <v/>
      </c>
      <c r="H90" s="5">
        <f>IF(ISNA(G90),"",INDEX(Raw_Book!$A$2:$A$128,G90))</f>
        <v/>
      </c>
      <c r="I90" s="6">
        <f>IF(ISNA(G90),"",INDEX(Raw_Book!$B$2:$B$128,G90))</f>
        <v/>
      </c>
      <c r="J90" s="6">
        <f>IF(ISNA(G90),"",ABS(A90-H90))</f>
        <v/>
      </c>
      <c r="K90" s="6">
        <f>IF(OR(ISNA(G90),J90&gt;3),"UNMATCHED","MATCHED")</f>
        <v/>
      </c>
      <c r="L90" s="7">
        <f>MAX(D90,E90)</f>
        <v/>
      </c>
      <c r="M90" s="7">
        <f>IF(K90="MATCHED",0,L90)</f>
        <v/>
      </c>
      <c r="N90" s="6">
        <f>IF(K90="UNMATCHED",ROW()-1,"")</f>
        <v/>
      </c>
    </row>
    <row r="91">
      <c r="A91" s="5">
        <f>Raw_Bank!A91</f>
        <v/>
      </c>
      <c r="B91" s="6">
        <f>Raw_Bank!B91</f>
        <v/>
      </c>
      <c r="C91" s="6">
        <f>Raw_Bank!C91</f>
        <v/>
      </c>
      <c r="D91" s="7">
        <f>Raw_Bank!D91</f>
        <v/>
      </c>
      <c r="E91" s="7">
        <f>Raw_Bank!E91</f>
        <v/>
      </c>
      <c r="F91" s="6">
        <f>TEXT(MAX(D91,E91),"0.00")&amp;"|"&amp;IF(E91&gt;0,"R","P")</f>
        <v/>
      </c>
      <c r="G91" s="6">
        <f>MATCH(F91,Raw_Book!$G$2:$G$128,0)</f>
        <v/>
      </c>
      <c r="H91" s="5">
        <f>IF(ISNA(G91),"",INDEX(Raw_Book!$A$2:$A$128,G91))</f>
        <v/>
      </c>
      <c r="I91" s="6">
        <f>IF(ISNA(G91),"",INDEX(Raw_Book!$B$2:$B$128,G91))</f>
        <v/>
      </c>
      <c r="J91" s="6">
        <f>IF(ISNA(G91),"",ABS(A91-H91))</f>
        <v/>
      </c>
      <c r="K91" s="6">
        <f>IF(OR(ISNA(G91),J91&gt;3),"UNMATCHED","MATCHED")</f>
        <v/>
      </c>
      <c r="L91" s="7">
        <f>MAX(D91,E91)</f>
        <v/>
      </c>
      <c r="M91" s="7">
        <f>IF(K91="MATCHED",0,L91)</f>
        <v/>
      </c>
      <c r="N91" s="6">
        <f>IF(K91="UNMATCHED",ROW()-1,"")</f>
        <v/>
      </c>
    </row>
    <row r="92">
      <c r="A92" s="5">
        <f>Raw_Bank!A92</f>
        <v/>
      </c>
      <c r="B92" s="6">
        <f>Raw_Bank!B92</f>
        <v/>
      </c>
      <c r="C92" s="6">
        <f>Raw_Bank!C92</f>
        <v/>
      </c>
      <c r="D92" s="7">
        <f>Raw_Bank!D92</f>
        <v/>
      </c>
      <c r="E92" s="7">
        <f>Raw_Bank!E92</f>
        <v/>
      </c>
      <c r="F92" s="6">
        <f>TEXT(MAX(D92,E92),"0.00")&amp;"|"&amp;IF(E92&gt;0,"R","P")</f>
        <v/>
      </c>
      <c r="G92" s="6">
        <f>MATCH(F92,Raw_Book!$G$2:$G$128,0)</f>
        <v/>
      </c>
      <c r="H92" s="5">
        <f>IF(ISNA(G92),"",INDEX(Raw_Book!$A$2:$A$128,G92))</f>
        <v/>
      </c>
      <c r="I92" s="6">
        <f>IF(ISNA(G92),"",INDEX(Raw_Book!$B$2:$B$128,G92))</f>
        <v/>
      </c>
      <c r="J92" s="6">
        <f>IF(ISNA(G92),"",ABS(A92-H92))</f>
        <v/>
      </c>
      <c r="K92" s="6">
        <f>IF(OR(ISNA(G92),J92&gt;3),"UNMATCHED","MATCHED")</f>
        <v/>
      </c>
      <c r="L92" s="7">
        <f>MAX(D92,E92)</f>
        <v/>
      </c>
      <c r="M92" s="7">
        <f>IF(K92="MATCHED",0,L92)</f>
        <v/>
      </c>
      <c r="N92" s="6">
        <f>IF(K92="UNMATCHED",ROW()-1,"")</f>
        <v/>
      </c>
    </row>
    <row r="93">
      <c r="A93" s="5">
        <f>Raw_Bank!A93</f>
        <v/>
      </c>
      <c r="B93" s="6">
        <f>Raw_Bank!B93</f>
        <v/>
      </c>
      <c r="C93" s="6">
        <f>Raw_Bank!C93</f>
        <v/>
      </c>
      <c r="D93" s="7">
        <f>Raw_Bank!D93</f>
        <v/>
      </c>
      <c r="E93" s="7">
        <f>Raw_Bank!E93</f>
        <v/>
      </c>
      <c r="F93" s="6">
        <f>TEXT(MAX(D93,E93),"0.00")&amp;"|"&amp;IF(E93&gt;0,"R","P")</f>
        <v/>
      </c>
      <c r="G93" s="6">
        <f>MATCH(F93,Raw_Book!$G$2:$G$128,0)</f>
        <v/>
      </c>
      <c r="H93" s="5">
        <f>IF(ISNA(G93),"",INDEX(Raw_Book!$A$2:$A$128,G93))</f>
        <v/>
      </c>
      <c r="I93" s="6">
        <f>IF(ISNA(G93),"",INDEX(Raw_Book!$B$2:$B$128,G93))</f>
        <v/>
      </c>
      <c r="J93" s="6">
        <f>IF(ISNA(G93),"",ABS(A93-H93))</f>
        <v/>
      </c>
      <c r="K93" s="6">
        <f>IF(OR(ISNA(G93),J93&gt;3),"UNMATCHED","MATCHED")</f>
        <v/>
      </c>
      <c r="L93" s="7">
        <f>MAX(D93,E93)</f>
        <v/>
      </c>
      <c r="M93" s="7">
        <f>IF(K93="MATCHED",0,L93)</f>
        <v/>
      </c>
      <c r="N93" s="6">
        <f>IF(K93="UNMATCHED",ROW()-1,"")</f>
        <v/>
      </c>
    </row>
    <row r="94">
      <c r="A94" s="5">
        <f>Raw_Bank!A94</f>
        <v/>
      </c>
      <c r="B94" s="6">
        <f>Raw_Bank!B94</f>
        <v/>
      </c>
      <c r="C94" s="6">
        <f>Raw_Bank!C94</f>
        <v/>
      </c>
      <c r="D94" s="7">
        <f>Raw_Bank!D94</f>
        <v/>
      </c>
      <c r="E94" s="7">
        <f>Raw_Bank!E94</f>
        <v/>
      </c>
      <c r="F94" s="6">
        <f>TEXT(MAX(D94,E94),"0.00")&amp;"|"&amp;IF(E94&gt;0,"R","P")</f>
        <v/>
      </c>
      <c r="G94" s="6">
        <f>MATCH(F94,Raw_Book!$G$2:$G$128,0)</f>
        <v/>
      </c>
      <c r="H94" s="5">
        <f>IF(ISNA(G94),"",INDEX(Raw_Book!$A$2:$A$128,G94))</f>
        <v/>
      </c>
      <c r="I94" s="6">
        <f>IF(ISNA(G94),"",INDEX(Raw_Book!$B$2:$B$128,G94))</f>
        <v/>
      </c>
      <c r="J94" s="6">
        <f>IF(ISNA(G94),"",ABS(A94-H94))</f>
        <v/>
      </c>
      <c r="K94" s="6">
        <f>IF(OR(ISNA(G94),J94&gt;3),"UNMATCHED","MATCHED")</f>
        <v/>
      </c>
      <c r="L94" s="7">
        <f>MAX(D94,E94)</f>
        <v/>
      </c>
      <c r="M94" s="7">
        <f>IF(K94="MATCHED",0,L94)</f>
        <v/>
      </c>
      <c r="N94" s="6">
        <f>IF(K94="UNMATCHED",ROW()-1,"")</f>
        <v/>
      </c>
    </row>
    <row r="95">
      <c r="A95" s="5">
        <f>Raw_Bank!A95</f>
        <v/>
      </c>
      <c r="B95" s="6">
        <f>Raw_Bank!B95</f>
        <v/>
      </c>
      <c r="C95" s="6">
        <f>Raw_Bank!C95</f>
        <v/>
      </c>
      <c r="D95" s="7">
        <f>Raw_Bank!D95</f>
        <v/>
      </c>
      <c r="E95" s="7">
        <f>Raw_Bank!E95</f>
        <v/>
      </c>
      <c r="F95" s="6">
        <f>TEXT(MAX(D95,E95),"0.00")&amp;"|"&amp;IF(E95&gt;0,"R","P")</f>
        <v/>
      </c>
      <c r="G95" s="6">
        <f>MATCH(F95,Raw_Book!$G$2:$G$128,0)</f>
        <v/>
      </c>
      <c r="H95" s="5">
        <f>IF(ISNA(G95),"",INDEX(Raw_Book!$A$2:$A$128,G95))</f>
        <v/>
      </c>
      <c r="I95" s="6">
        <f>IF(ISNA(G95),"",INDEX(Raw_Book!$B$2:$B$128,G95))</f>
        <v/>
      </c>
      <c r="J95" s="6">
        <f>IF(ISNA(G95),"",ABS(A95-H95))</f>
        <v/>
      </c>
      <c r="K95" s="6">
        <f>IF(OR(ISNA(G95),J95&gt;3),"UNMATCHED","MATCHED")</f>
        <v/>
      </c>
      <c r="L95" s="7">
        <f>MAX(D95,E95)</f>
        <v/>
      </c>
      <c r="M95" s="7">
        <f>IF(K95="MATCHED",0,L95)</f>
        <v/>
      </c>
      <c r="N95" s="6">
        <f>IF(K95="UNMATCHED",ROW()-1,"")</f>
        <v/>
      </c>
    </row>
    <row r="96">
      <c r="A96" s="5">
        <f>Raw_Bank!A96</f>
        <v/>
      </c>
      <c r="B96" s="6">
        <f>Raw_Bank!B96</f>
        <v/>
      </c>
      <c r="C96" s="6">
        <f>Raw_Bank!C96</f>
        <v/>
      </c>
      <c r="D96" s="7">
        <f>Raw_Bank!D96</f>
        <v/>
      </c>
      <c r="E96" s="7">
        <f>Raw_Bank!E96</f>
        <v/>
      </c>
      <c r="F96" s="6">
        <f>TEXT(MAX(D96,E96),"0.00")&amp;"|"&amp;IF(E96&gt;0,"R","P")</f>
        <v/>
      </c>
      <c r="G96" s="6">
        <f>MATCH(F96,Raw_Book!$G$2:$G$128,0)</f>
        <v/>
      </c>
      <c r="H96" s="5">
        <f>IF(ISNA(G96),"",INDEX(Raw_Book!$A$2:$A$128,G96))</f>
        <v/>
      </c>
      <c r="I96" s="6">
        <f>IF(ISNA(G96),"",INDEX(Raw_Book!$B$2:$B$128,G96))</f>
        <v/>
      </c>
      <c r="J96" s="6">
        <f>IF(ISNA(G96),"",ABS(A96-H96))</f>
        <v/>
      </c>
      <c r="K96" s="6">
        <f>IF(OR(ISNA(G96),J96&gt;3),"UNMATCHED","MATCHED")</f>
        <v/>
      </c>
      <c r="L96" s="7">
        <f>MAX(D96,E96)</f>
        <v/>
      </c>
      <c r="M96" s="7">
        <f>IF(K96="MATCHED",0,L96)</f>
        <v/>
      </c>
      <c r="N96" s="6">
        <f>IF(K96="UNMATCHED",ROW()-1,"")</f>
        <v/>
      </c>
    </row>
    <row r="97">
      <c r="A97" s="5">
        <f>Raw_Bank!A97</f>
        <v/>
      </c>
      <c r="B97" s="6">
        <f>Raw_Bank!B97</f>
        <v/>
      </c>
      <c r="C97" s="6">
        <f>Raw_Bank!C97</f>
        <v/>
      </c>
      <c r="D97" s="7">
        <f>Raw_Bank!D97</f>
        <v/>
      </c>
      <c r="E97" s="7">
        <f>Raw_Bank!E97</f>
        <v/>
      </c>
      <c r="F97" s="6">
        <f>TEXT(MAX(D97,E97),"0.00")&amp;"|"&amp;IF(E97&gt;0,"R","P")</f>
        <v/>
      </c>
      <c r="G97" s="6">
        <f>MATCH(F97,Raw_Book!$G$2:$G$128,0)</f>
        <v/>
      </c>
      <c r="H97" s="5">
        <f>IF(ISNA(G97),"",INDEX(Raw_Book!$A$2:$A$128,G97))</f>
        <v/>
      </c>
      <c r="I97" s="6">
        <f>IF(ISNA(G97),"",INDEX(Raw_Book!$B$2:$B$128,G97))</f>
        <v/>
      </c>
      <c r="J97" s="6">
        <f>IF(ISNA(G97),"",ABS(A97-H97))</f>
        <v/>
      </c>
      <c r="K97" s="6">
        <f>IF(OR(ISNA(G97),J97&gt;3),"UNMATCHED","MATCHED")</f>
        <v/>
      </c>
      <c r="L97" s="7">
        <f>MAX(D97,E97)</f>
        <v/>
      </c>
      <c r="M97" s="7">
        <f>IF(K97="MATCHED",0,L97)</f>
        <v/>
      </c>
      <c r="N97" s="6">
        <f>IF(K97="UNMATCHED",ROW()-1,"")</f>
        <v/>
      </c>
    </row>
    <row r="98">
      <c r="A98" s="5">
        <f>Raw_Bank!A98</f>
        <v/>
      </c>
      <c r="B98" s="6">
        <f>Raw_Bank!B98</f>
        <v/>
      </c>
      <c r="C98" s="6">
        <f>Raw_Bank!C98</f>
        <v/>
      </c>
      <c r="D98" s="7">
        <f>Raw_Bank!D98</f>
        <v/>
      </c>
      <c r="E98" s="7">
        <f>Raw_Bank!E98</f>
        <v/>
      </c>
      <c r="F98" s="6">
        <f>TEXT(MAX(D98,E98),"0.00")&amp;"|"&amp;IF(E98&gt;0,"R","P")</f>
        <v/>
      </c>
      <c r="G98" s="6">
        <f>MATCH(F98,Raw_Book!$G$2:$G$128,0)</f>
        <v/>
      </c>
      <c r="H98" s="5">
        <f>IF(ISNA(G98),"",INDEX(Raw_Book!$A$2:$A$128,G98))</f>
        <v/>
      </c>
      <c r="I98" s="6">
        <f>IF(ISNA(G98),"",INDEX(Raw_Book!$B$2:$B$128,G98))</f>
        <v/>
      </c>
      <c r="J98" s="6">
        <f>IF(ISNA(G98),"",ABS(A98-H98))</f>
        <v/>
      </c>
      <c r="K98" s="6">
        <f>IF(OR(ISNA(G98),J98&gt;3),"UNMATCHED","MATCHED")</f>
        <v/>
      </c>
      <c r="L98" s="7">
        <f>MAX(D98,E98)</f>
        <v/>
      </c>
      <c r="M98" s="7">
        <f>IF(K98="MATCHED",0,L98)</f>
        <v/>
      </c>
      <c r="N98" s="6">
        <f>IF(K98="UNMATCHED",ROW()-1,"")</f>
        <v/>
      </c>
    </row>
    <row r="99">
      <c r="A99" s="5">
        <f>Raw_Bank!A99</f>
        <v/>
      </c>
      <c r="B99" s="6">
        <f>Raw_Bank!B99</f>
        <v/>
      </c>
      <c r="C99" s="6">
        <f>Raw_Bank!C99</f>
        <v/>
      </c>
      <c r="D99" s="7">
        <f>Raw_Bank!D99</f>
        <v/>
      </c>
      <c r="E99" s="7">
        <f>Raw_Bank!E99</f>
        <v/>
      </c>
      <c r="F99" s="6">
        <f>TEXT(MAX(D99,E99),"0.00")&amp;"|"&amp;IF(E99&gt;0,"R","P")</f>
        <v/>
      </c>
      <c r="G99" s="6">
        <f>MATCH(F99,Raw_Book!$G$2:$G$128,0)</f>
        <v/>
      </c>
      <c r="H99" s="5">
        <f>IF(ISNA(G99),"",INDEX(Raw_Book!$A$2:$A$128,G99))</f>
        <v/>
      </c>
      <c r="I99" s="6">
        <f>IF(ISNA(G99),"",INDEX(Raw_Book!$B$2:$B$128,G99))</f>
        <v/>
      </c>
      <c r="J99" s="6">
        <f>IF(ISNA(G99),"",ABS(A99-H99))</f>
        <v/>
      </c>
      <c r="K99" s="6">
        <f>IF(OR(ISNA(G99),J99&gt;3),"UNMATCHED","MATCHED")</f>
        <v/>
      </c>
      <c r="L99" s="7">
        <f>MAX(D99,E99)</f>
        <v/>
      </c>
      <c r="M99" s="7">
        <f>IF(K99="MATCHED",0,L99)</f>
        <v/>
      </c>
      <c r="N99" s="6">
        <f>IF(K99="UNMATCHED",ROW()-1,"")</f>
        <v/>
      </c>
    </row>
    <row r="100">
      <c r="A100" s="5">
        <f>Raw_Bank!A100</f>
        <v/>
      </c>
      <c r="B100" s="6">
        <f>Raw_Bank!B100</f>
        <v/>
      </c>
      <c r="C100" s="6">
        <f>Raw_Bank!C100</f>
        <v/>
      </c>
      <c r="D100" s="7">
        <f>Raw_Bank!D100</f>
        <v/>
      </c>
      <c r="E100" s="7">
        <f>Raw_Bank!E100</f>
        <v/>
      </c>
      <c r="F100" s="6">
        <f>TEXT(MAX(D100,E100),"0.00")&amp;"|"&amp;IF(E100&gt;0,"R","P")</f>
        <v/>
      </c>
      <c r="G100" s="6">
        <f>MATCH(F100,Raw_Book!$G$2:$G$128,0)</f>
        <v/>
      </c>
      <c r="H100" s="5">
        <f>IF(ISNA(G100),"",INDEX(Raw_Book!$A$2:$A$128,G100))</f>
        <v/>
      </c>
      <c r="I100" s="6">
        <f>IF(ISNA(G100),"",INDEX(Raw_Book!$B$2:$B$128,G100))</f>
        <v/>
      </c>
      <c r="J100" s="6">
        <f>IF(ISNA(G100),"",ABS(A100-H100))</f>
        <v/>
      </c>
      <c r="K100" s="6">
        <f>IF(OR(ISNA(G100),J100&gt;3),"UNMATCHED","MATCHED")</f>
        <v/>
      </c>
      <c r="L100" s="7">
        <f>MAX(D100,E100)</f>
        <v/>
      </c>
      <c r="M100" s="7">
        <f>IF(K100="MATCHED",0,L100)</f>
        <v/>
      </c>
      <c r="N100" s="6">
        <f>IF(K100="UNMATCHED",ROW()-1,"")</f>
        <v/>
      </c>
    </row>
    <row r="101">
      <c r="A101" s="5">
        <f>Raw_Bank!A101</f>
        <v/>
      </c>
      <c r="B101" s="6">
        <f>Raw_Bank!B101</f>
        <v/>
      </c>
      <c r="C101" s="6">
        <f>Raw_Bank!C101</f>
        <v/>
      </c>
      <c r="D101" s="7">
        <f>Raw_Bank!D101</f>
        <v/>
      </c>
      <c r="E101" s="7">
        <f>Raw_Bank!E101</f>
        <v/>
      </c>
      <c r="F101" s="6">
        <f>TEXT(MAX(D101,E101),"0.00")&amp;"|"&amp;IF(E101&gt;0,"R","P")</f>
        <v/>
      </c>
      <c r="G101" s="6">
        <f>MATCH(F101,Raw_Book!$G$2:$G$128,0)</f>
        <v/>
      </c>
      <c r="H101" s="5">
        <f>IF(ISNA(G101),"",INDEX(Raw_Book!$A$2:$A$128,G101))</f>
        <v/>
      </c>
      <c r="I101" s="6">
        <f>IF(ISNA(G101),"",INDEX(Raw_Book!$B$2:$B$128,G101))</f>
        <v/>
      </c>
      <c r="J101" s="6">
        <f>IF(ISNA(G101),"",ABS(A101-H101))</f>
        <v/>
      </c>
      <c r="K101" s="6">
        <f>IF(OR(ISNA(G101),J101&gt;3),"UNMATCHED","MATCHED")</f>
        <v/>
      </c>
      <c r="L101" s="7">
        <f>MAX(D101,E101)</f>
        <v/>
      </c>
      <c r="M101" s="7">
        <f>IF(K101="MATCHED",0,L101)</f>
        <v/>
      </c>
      <c r="N101" s="6">
        <f>IF(K101="UNMATCHED",ROW()-1,"")</f>
        <v/>
      </c>
    </row>
    <row r="102">
      <c r="A102" s="5">
        <f>Raw_Bank!A102</f>
        <v/>
      </c>
      <c r="B102" s="6">
        <f>Raw_Bank!B102</f>
        <v/>
      </c>
      <c r="C102" s="6">
        <f>Raw_Bank!C102</f>
        <v/>
      </c>
      <c r="D102" s="7">
        <f>Raw_Bank!D102</f>
        <v/>
      </c>
      <c r="E102" s="7">
        <f>Raw_Bank!E102</f>
        <v/>
      </c>
      <c r="F102" s="6">
        <f>TEXT(MAX(D102,E102),"0.00")&amp;"|"&amp;IF(E102&gt;0,"R","P")</f>
        <v/>
      </c>
      <c r="G102" s="6">
        <f>MATCH(F102,Raw_Book!$G$2:$G$128,0)</f>
        <v/>
      </c>
      <c r="H102" s="5">
        <f>IF(ISNA(G102),"",INDEX(Raw_Book!$A$2:$A$128,G102))</f>
        <v/>
      </c>
      <c r="I102" s="6">
        <f>IF(ISNA(G102),"",INDEX(Raw_Book!$B$2:$B$128,G102))</f>
        <v/>
      </c>
      <c r="J102" s="6">
        <f>IF(ISNA(G102),"",ABS(A102-H102))</f>
        <v/>
      </c>
      <c r="K102" s="6">
        <f>IF(OR(ISNA(G102),J102&gt;3),"UNMATCHED","MATCHED")</f>
        <v/>
      </c>
      <c r="L102" s="7">
        <f>MAX(D102,E102)</f>
        <v/>
      </c>
      <c r="M102" s="7">
        <f>IF(K102="MATCHED",0,L102)</f>
        <v/>
      </c>
      <c r="N102" s="6">
        <f>IF(K102="UNMATCHED",ROW()-1,"")</f>
        <v/>
      </c>
    </row>
    <row r="103">
      <c r="A103" s="5">
        <f>Raw_Bank!A103</f>
        <v/>
      </c>
      <c r="B103" s="6">
        <f>Raw_Bank!B103</f>
        <v/>
      </c>
      <c r="C103" s="6">
        <f>Raw_Bank!C103</f>
        <v/>
      </c>
      <c r="D103" s="7">
        <f>Raw_Bank!D103</f>
        <v/>
      </c>
      <c r="E103" s="7">
        <f>Raw_Bank!E103</f>
        <v/>
      </c>
      <c r="F103" s="6">
        <f>TEXT(MAX(D103,E103),"0.00")&amp;"|"&amp;IF(E103&gt;0,"R","P")</f>
        <v/>
      </c>
      <c r="G103" s="6">
        <f>MATCH(F103,Raw_Book!$G$2:$G$128,0)</f>
        <v/>
      </c>
      <c r="H103" s="5">
        <f>IF(ISNA(G103),"",INDEX(Raw_Book!$A$2:$A$128,G103))</f>
        <v/>
      </c>
      <c r="I103" s="6">
        <f>IF(ISNA(G103),"",INDEX(Raw_Book!$B$2:$B$128,G103))</f>
        <v/>
      </c>
      <c r="J103" s="6">
        <f>IF(ISNA(G103),"",ABS(A103-H103))</f>
        <v/>
      </c>
      <c r="K103" s="6">
        <f>IF(OR(ISNA(G103),J103&gt;3),"UNMATCHED","MATCHED")</f>
        <v/>
      </c>
      <c r="L103" s="7">
        <f>MAX(D103,E103)</f>
        <v/>
      </c>
      <c r="M103" s="7">
        <f>IF(K103="MATCHED",0,L103)</f>
        <v/>
      </c>
      <c r="N103" s="6">
        <f>IF(K103="UNMATCHED",ROW()-1,"")</f>
        <v/>
      </c>
    </row>
    <row r="104">
      <c r="A104" s="5">
        <f>Raw_Bank!A104</f>
        <v/>
      </c>
      <c r="B104" s="6">
        <f>Raw_Bank!B104</f>
        <v/>
      </c>
      <c r="C104" s="6">
        <f>Raw_Bank!C104</f>
        <v/>
      </c>
      <c r="D104" s="7">
        <f>Raw_Bank!D104</f>
        <v/>
      </c>
      <c r="E104" s="7">
        <f>Raw_Bank!E104</f>
        <v/>
      </c>
      <c r="F104" s="6">
        <f>TEXT(MAX(D104,E104),"0.00")&amp;"|"&amp;IF(E104&gt;0,"R","P")</f>
        <v/>
      </c>
      <c r="G104" s="6">
        <f>MATCH(F104,Raw_Book!$G$2:$G$128,0)</f>
        <v/>
      </c>
      <c r="H104" s="5">
        <f>IF(ISNA(G104),"",INDEX(Raw_Book!$A$2:$A$128,G104))</f>
        <v/>
      </c>
      <c r="I104" s="6">
        <f>IF(ISNA(G104),"",INDEX(Raw_Book!$B$2:$B$128,G104))</f>
        <v/>
      </c>
      <c r="J104" s="6">
        <f>IF(ISNA(G104),"",ABS(A104-H104))</f>
        <v/>
      </c>
      <c r="K104" s="6">
        <f>IF(OR(ISNA(G104),J104&gt;3),"UNMATCHED","MATCHED")</f>
        <v/>
      </c>
      <c r="L104" s="7">
        <f>MAX(D104,E104)</f>
        <v/>
      </c>
      <c r="M104" s="7">
        <f>IF(K104="MATCHED",0,L104)</f>
        <v/>
      </c>
      <c r="N104" s="6">
        <f>IF(K104="UNMATCHED",ROW()-1,"")</f>
        <v/>
      </c>
    </row>
    <row r="105">
      <c r="A105" s="5">
        <f>Raw_Bank!A105</f>
        <v/>
      </c>
      <c r="B105" s="6">
        <f>Raw_Bank!B105</f>
        <v/>
      </c>
      <c r="C105" s="6">
        <f>Raw_Bank!C105</f>
        <v/>
      </c>
      <c r="D105" s="7">
        <f>Raw_Bank!D105</f>
        <v/>
      </c>
      <c r="E105" s="7">
        <f>Raw_Bank!E105</f>
        <v/>
      </c>
      <c r="F105" s="6">
        <f>TEXT(MAX(D105,E105),"0.00")&amp;"|"&amp;IF(E105&gt;0,"R","P")</f>
        <v/>
      </c>
      <c r="G105" s="6">
        <f>MATCH(F105,Raw_Book!$G$2:$G$128,0)</f>
        <v/>
      </c>
      <c r="H105" s="5">
        <f>IF(ISNA(G105),"",INDEX(Raw_Book!$A$2:$A$128,G105))</f>
        <v/>
      </c>
      <c r="I105" s="6">
        <f>IF(ISNA(G105),"",INDEX(Raw_Book!$B$2:$B$128,G105))</f>
        <v/>
      </c>
      <c r="J105" s="6">
        <f>IF(ISNA(G105),"",ABS(A105-H105))</f>
        <v/>
      </c>
      <c r="K105" s="6">
        <f>IF(OR(ISNA(G105),J105&gt;3),"UNMATCHED","MATCHED")</f>
        <v/>
      </c>
      <c r="L105" s="7">
        <f>MAX(D105,E105)</f>
        <v/>
      </c>
      <c r="M105" s="7">
        <f>IF(K105="MATCHED",0,L105)</f>
        <v/>
      </c>
      <c r="N105" s="6">
        <f>IF(K105="UNMATCHED",ROW()-1,"")</f>
        <v/>
      </c>
    </row>
    <row r="106">
      <c r="A106" s="5">
        <f>Raw_Bank!A106</f>
        <v/>
      </c>
      <c r="B106" s="6">
        <f>Raw_Bank!B106</f>
        <v/>
      </c>
      <c r="C106" s="6">
        <f>Raw_Bank!C106</f>
        <v/>
      </c>
      <c r="D106" s="7">
        <f>Raw_Bank!D106</f>
        <v/>
      </c>
      <c r="E106" s="7">
        <f>Raw_Bank!E106</f>
        <v/>
      </c>
      <c r="F106" s="6">
        <f>TEXT(MAX(D106,E106),"0.00")&amp;"|"&amp;IF(E106&gt;0,"R","P")</f>
        <v/>
      </c>
      <c r="G106" s="6">
        <f>MATCH(F106,Raw_Book!$G$2:$G$128,0)</f>
        <v/>
      </c>
      <c r="H106" s="5">
        <f>IF(ISNA(G106),"",INDEX(Raw_Book!$A$2:$A$128,G106))</f>
        <v/>
      </c>
      <c r="I106" s="6">
        <f>IF(ISNA(G106),"",INDEX(Raw_Book!$B$2:$B$128,G106))</f>
        <v/>
      </c>
      <c r="J106" s="6">
        <f>IF(ISNA(G106),"",ABS(A106-H106))</f>
        <v/>
      </c>
      <c r="K106" s="6">
        <f>IF(OR(ISNA(G106),J106&gt;3),"UNMATCHED","MATCHED")</f>
        <v/>
      </c>
      <c r="L106" s="7">
        <f>MAX(D106,E106)</f>
        <v/>
      </c>
      <c r="M106" s="7">
        <f>IF(K106="MATCHED",0,L106)</f>
        <v/>
      </c>
      <c r="N106" s="6">
        <f>IF(K106="UNMATCHED",ROW()-1,"")</f>
        <v/>
      </c>
    </row>
    <row r="107">
      <c r="A107" s="5">
        <f>Raw_Bank!A107</f>
        <v/>
      </c>
      <c r="B107" s="6">
        <f>Raw_Bank!B107</f>
        <v/>
      </c>
      <c r="C107" s="6">
        <f>Raw_Bank!C107</f>
        <v/>
      </c>
      <c r="D107" s="7">
        <f>Raw_Bank!D107</f>
        <v/>
      </c>
      <c r="E107" s="7">
        <f>Raw_Bank!E107</f>
        <v/>
      </c>
      <c r="F107" s="6">
        <f>TEXT(MAX(D107,E107),"0.00")&amp;"|"&amp;IF(E107&gt;0,"R","P")</f>
        <v/>
      </c>
      <c r="G107" s="6">
        <f>MATCH(F107,Raw_Book!$G$2:$G$128,0)</f>
        <v/>
      </c>
      <c r="H107" s="5">
        <f>IF(ISNA(G107),"",INDEX(Raw_Book!$A$2:$A$128,G107))</f>
        <v/>
      </c>
      <c r="I107" s="6">
        <f>IF(ISNA(G107),"",INDEX(Raw_Book!$B$2:$B$128,G107))</f>
        <v/>
      </c>
      <c r="J107" s="6">
        <f>IF(ISNA(G107),"",ABS(A107-H107))</f>
        <v/>
      </c>
      <c r="K107" s="6">
        <f>IF(OR(ISNA(G107),J107&gt;3),"UNMATCHED","MATCHED")</f>
        <v/>
      </c>
      <c r="L107" s="7">
        <f>MAX(D107,E107)</f>
        <v/>
      </c>
      <c r="M107" s="7">
        <f>IF(K107="MATCHED",0,L107)</f>
        <v/>
      </c>
      <c r="N107" s="6">
        <f>IF(K107="UNMATCHED",ROW()-1,"")</f>
        <v/>
      </c>
    </row>
    <row r="108">
      <c r="A108" s="5">
        <f>Raw_Bank!A108</f>
        <v/>
      </c>
      <c r="B108" s="6">
        <f>Raw_Bank!B108</f>
        <v/>
      </c>
      <c r="C108" s="6">
        <f>Raw_Bank!C108</f>
        <v/>
      </c>
      <c r="D108" s="7">
        <f>Raw_Bank!D108</f>
        <v/>
      </c>
      <c r="E108" s="7">
        <f>Raw_Bank!E108</f>
        <v/>
      </c>
      <c r="F108" s="6">
        <f>TEXT(MAX(D108,E108),"0.00")&amp;"|"&amp;IF(E108&gt;0,"R","P")</f>
        <v/>
      </c>
      <c r="G108" s="6">
        <f>MATCH(F108,Raw_Book!$G$2:$G$128,0)</f>
        <v/>
      </c>
      <c r="H108" s="5">
        <f>IF(ISNA(G108),"",INDEX(Raw_Book!$A$2:$A$128,G108))</f>
        <v/>
      </c>
      <c r="I108" s="6">
        <f>IF(ISNA(G108),"",INDEX(Raw_Book!$B$2:$B$128,G108))</f>
        <v/>
      </c>
      <c r="J108" s="6">
        <f>IF(ISNA(G108),"",ABS(A108-H108))</f>
        <v/>
      </c>
      <c r="K108" s="6">
        <f>IF(OR(ISNA(G108),J108&gt;3),"UNMATCHED","MATCHED")</f>
        <v/>
      </c>
      <c r="L108" s="7">
        <f>MAX(D108,E108)</f>
        <v/>
      </c>
      <c r="M108" s="7">
        <f>IF(K108="MATCHED",0,L108)</f>
        <v/>
      </c>
      <c r="N108" s="6">
        <f>IF(K108="UNMATCHED",ROW()-1,"")</f>
        <v/>
      </c>
    </row>
    <row r="109">
      <c r="A109" s="5">
        <f>Raw_Bank!A109</f>
        <v/>
      </c>
      <c r="B109" s="6">
        <f>Raw_Bank!B109</f>
        <v/>
      </c>
      <c r="C109" s="6">
        <f>Raw_Bank!C109</f>
        <v/>
      </c>
      <c r="D109" s="7">
        <f>Raw_Bank!D109</f>
        <v/>
      </c>
      <c r="E109" s="7">
        <f>Raw_Bank!E109</f>
        <v/>
      </c>
      <c r="F109" s="6">
        <f>TEXT(MAX(D109,E109),"0.00")&amp;"|"&amp;IF(E109&gt;0,"R","P")</f>
        <v/>
      </c>
      <c r="G109" s="6">
        <f>MATCH(F109,Raw_Book!$G$2:$G$128,0)</f>
        <v/>
      </c>
      <c r="H109" s="5">
        <f>IF(ISNA(G109),"",INDEX(Raw_Book!$A$2:$A$128,G109))</f>
        <v/>
      </c>
      <c r="I109" s="6">
        <f>IF(ISNA(G109),"",INDEX(Raw_Book!$B$2:$B$128,G109))</f>
        <v/>
      </c>
      <c r="J109" s="6">
        <f>IF(ISNA(G109),"",ABS(A109-H109))</f>
        <v/>
      </c>
      <c r="K109" s="6">
        <f>IF(OR(ISNA(G109),J109&gt;3),"UNMATCHED","MATCHED")</f>
        <v/>
      </c>
      <c r="L109" s="7">
        <f>MAX(D109,E109)</f>
        <v/>
      </c>
      <c r="M109" s="7">
        <f>IF(K109="MATCHED",0,L109)</f>
        <v/>
      </c>
      <c r="N109" s="6">
        <f>IF(K109="UNMATCHED",ROW()-1,"")</f>
        <v/>
      </c>
    </row>
    <row r="110">
      <c r="A110" s="5">
        <f>Raw_Bank!A110</f>
        <v/>
      </c>
      <c r="B110" s="6">
        <f>Raw_Bank!B110</f>
        <v/>
      </c>
      <c r="C110" s="6">
        <f>Raw_Bank!C110</f>
        <v/>
      </c>
      <c r="D110" s="7">
        <f>Raw_Bank!D110</f>
        <v/>
      </c>
      <c r="E110" s="7">
        <f>Raw_Bank!E110</f>
        <v/>
      </c>
      <c r="F110" s="6">
        <f>TEXT(MAX(D110,E110),"0.00")&amp;"|"&amp;IF(E110&gt;0,"R","P")</f>
        <v/>
      </c>
      <c r="G110" s="6">
        <f>MATCH(F110,Raw_Book!$G$2:$G$128,0)</f>
        <v/>
      </c>
      <c r="H110" s="5">
        <f>IF(ISNA(G110),"",INDEX(Raw_Book!$A$2:$A$128,G110))</f>
        <v/>
      </c>
      <c r="I110" s="6">
        <f>IF(ISNA(G110),"",INDEX(Raw_Book!$B$2:$B$128,G110))</f>
        <v/>
      </c>
      <c r="J110" s="6">
        <f>IF(ISNA(G110),"",ABS(A110-H110))</f>
        <v/>
      </c>
      <c r="K110" s="6">
        <f>IF(OR(ISNA(G110),J110&gt;3),"UNMATCHED","MATCHED")</f>
        <v/>
      </c>
      <c r="L110" s="7">
        <f>MAX(D110,E110)</f>
        <v/>
      </c>
      <c r="M110" s="7">
        <f>IF(K110="MATCHED",0,L110)</f>
        <v/>
      </c>
      <c r="N110" s="6">
        <f>IF(K110="UNMATCHED",ROW()-1,"")</f>
        <v/>
      </c>
    </row>
    <row r="111">
      <c r="A111" s="5">
        <f>Raw_Bank!A111</f>
        <v/>
      </c>
      <c r="B111" s="6">
        <f>Raw_Bank!B111</f>
        <v/>
      </c>
      <c r="C111" s="6">
        <f>Raw_Bank!C111</f>
        <v/>
      </c>
      <c r="D111" s="7">
        <f>Raw_Bank!D111</f>
        <v/>
      </c>
      <c r="E111" s="7">
        <f>Raw_Bank!E111</f>
        <v/>
      </c>
      <c r="F111" s="6">
        <f>TEXT(MAX(D111,E111),"0.00")&amp;"|"&amp;IF(E111&gt;0,"R","P")</f>
        <v/>
      </c>
      <c r="G111" s="6">
        <f>MATCH(F111,Raw_Book!$G$2:$G$128,0)</f>
        <v/>
      </c>
      <c r="H111" s="5">
        <f>IF(ISNA(G111),"",INDEX(Raw_Book!$A$2:$A$128,G111))</f>
        <v/>
      </c>
      <c r="I111" s="6">
        <f>IF(ISNA(G111),"",INDEX(Raw_Book!$B$2:$B$128,G111))</f>
        <v/>
      </c>
      <c r="J111" s="6">
        <f>IF(ISNA(G111),"",ABS(A111-H111))</f>
        <v/>
      </c>
      <c r="K111" s="6">
        <f>IF(OR(ISNA(G111),J111&gt;3),"UNMATCHED","MATCHED")</f>
        <v/>
      </c>
      <c r="L111" s="7">
        <f>MAX(D111,E111)</f>
        <v/>
      </c>
      <c r="M111" s="7">
        <f>IF(K111="MATCHED",0,L111)</f>
        <v/>
      </c>
      <c r="N111" s="6">
        <f>IF(K111="UNMATCHED",ROW()-1,"")</f>
        <v/>
      </c>
    </row>
    <row r="112">
      <c r="A112" s="5">
        <f>Raw_Bank!A112</f>
        <v/>
      </c>
      <c r="B112" s="6">
        <f>Raw_Bank!B112</f>
        <v/>
      </c>
      <c r="C112" s="6">
        <f>Raw_Bank!C112</f>
        <v/>
      </c>
      <c r="D112" s="7">
        <f>Raw_Bank!D112</f>
        <v/>
      </c>
      <c r="E112" s="7">
        <f>Raw_Bank!E112</f>
        <v/>
      </c>
      <c r="F112" s="6">
        <f>TEXT(MAX(D112,E112),"0.00")&amp;"|"&amp;IF(E112&gt;0,"R","P")</f>
        <v/>
      </c>
      <c r="G112" s="6">
        <f>MATCH(F112,Raw_Book!$G$2:$G$128,0)</f>
        <v/>
      </c>
      <c r="H112" s="5">
        <f>IF(ISNA(G112),"",INDEX(Raw_Book!$A$2:$A$128,G112))</f>
        <v/>
      </c>
      <c r="I112" s="6">
        <f>IF(ISNA(G112),"",INDEX(Raw_Book!$B$2:$B$128,G112))</f>
        <v/>
      </c>
      <c r="J112" s="6">
        <f>IF(ISNA(G112),"",ABS(A112-H112))</f>
        <v/>
      </c>
      <c r="K112" s="6">
        <f>IF(OR(ISNA(G112),J112&gt;3),"UNMATCHED","MATCHED")</f>
        <v/>
      </c>
      <c r="L112" s="7">
        <f>MAX(D112,E112)</f>
        <v/>
      </c>
      <c r="M112" s="7">
        <f>IF(K112="MATCHED",0,L112)</f>
        <v/>
      </c>
      <c r="N112" s="6">
        <f>IF(K112="UNMATCHED",ROW()-1,"")</f>
        <v/>
      </c>
    </row>
    <row r="113">
      <c r="A113" s="5">
        <f>Raw_Bank!A113</f>
        <v/>
      </c>
      <c r="B113" s="6">
        <f>Raw_Bank!B113</f>
        <v/>
      </c>
      <c r="C113" s="6">
        <f>Raw_Bank!C113</f>
        <v/>
      </c>
      <c r="D113" s="7">
        <f>Raw_Bank!D113</f>
        <v/>
      </c>
      <c r="E113" s="7">
        <f>Raw_Bank!E113</f>
        <v/>
      </c>
      <c r="F113" s="6">
        <f>TEXT(MAX(D113,E113),"0.00")&amp;"|"&amp;IF(E113&gt;0,"R","P")</f>
        <v/>
      </c>
      <c r="G113" s="6">
        <f>MATCH(F113,Raw_Book!$G$2:$G$128,0)</f>
        <v/>
      </c>
      <c r="H113" s="5">
        <f>IF(ISNA(G113),"",INDEX(Raw_Book!$A$2:$A$128,G113))</f>
        <v/>
      </c>
      <c r="I113" s="6">
        <f>IF(ISNA(G113),"",INDEX(Raw_Book!$B$2:$B$128,G113))</f>
        <v/>
      </c>
      <c r="J113" s="6">
        <f>IF(ISNA(G113),"",ABS(A113-H113))</f>
        <v/>
      </c>
      <c r="K113" s="6">
        <f>IF(OR(ISNA(G113),J113&gt;3),"UNMATCHED","MATCHED")</f>
        <v/>
      </c>
      <c r="L113" s="7">
        <f>MAX(D113,E113)</f>
        <v/>
      </c>
      <c r="M113" s="7">
        <f>IF(K113="MATCHED",0,L113)</f>
        <v/>
      </c>
      <c r="N113" s="6">
        <f>IF(K113="UNMATCHED",ROW()-1,"")</f>
        <v/>
      </c>
    </row>
    <row r="114">
      <c r="A114" s="5">
        <f>Raw_Bank!A114</f>
        <v/>
      </c>
      <c r="B114" s="6">
        <f>Raw_Bank!B114</f>
        <v/>
      </c>
      <c r="C114" s="6">
        <f>Raw_Bank!C114</f>
        <v/>
      </c>
      <c r="D114" s="7">
        <f>Raw_Bank!D114</f>
        <v/>
      </c>
      <c r="E114" s="7">
        <f>Raw_Bank!E114</f>
        <v/>
      </c>
      <c r="F114" s="6">
        <f>TEXT(MAX(D114,E114),"0.00")&amp;"|"&amp;IF(E114&gt;0,"R","P")</f>
        <v/>
      </c>
      <c r="G114" s="6">
        <f>MATCH(F114,Raw_Book!$G$2:$G$128,0)</f>
        <v/>
      </c>
      <c r="H114" s="5">
        <f>IF(ISNA(G114),"",INDEX(Raw_Book!$A$2:$A$128,G114))</f>
        <v/>
      </c>
      <c r="I114" s="6">
        <f>IF(ISNA(G114),"",INDEX(Raw_Book!$B$2:$B$128,G114))</f>
        <v/>
      </c>
      <c r="J114" s="6">
        <f>IF(ISNA(G114),"",ABS(A114-H114))</f>
        <v/>
      </c>
      <c r="K114" s="6">
        <f>IF(OR(ISNA(G114),J114&gt;3),"UNMATCHED","MATCHED")</f>
        <v/>
      </c>
      <c r="L114" s="7">
        <f>MAX(D114,E114)</f>
        <v/>
      </c>
      <c r="M114" s="7">
        <f>IF(K114="MATCHED",0,L114)</f>
        <v/>
      </c>
      <c r="N114" s="6">
        <f>IF(K114="UNMATCHED",ROW()-1,"")</f>
        <v/>
      </c>
    </row>
    <row r="115">
      <c r="A115" s="5">
        <f>Raw_Bank!A115</f>
        <v/>
      </c>
      <c r="B115" s="6">
        <f>Raw_Bank!B115</f>
        <v/>
      </c>
      <c r="C115" s="6">
        <f>Raw_Bank!C115</f>
        <v/>
      </c>
      <c r="D115" s="7">
        <f>Raw_Bank!D115</f>
        <v/>
      </c>
      <c r="E115" s="7">
        <f>Raw_Bank!E115</f>
        <v/>
      </c>
      <c r="F115" s="6">
        <f>TEXT(MAX(D115,E115),"0.00")&amp;"|"&amp;IF(E115&gt;0,"R","P")</f>
        <v/>
      </c>
      <c r="G115" s="6">
        <f>MATCH(F115,Raw_Book!$G$2:$G$128,0)</f>
        <v/>
      </c>
      <c r="H115" s="5">
        <f>IF(ISNA(G115),"",INDEX(Raw_Book!$A$2:$A$128,G115))</f>
        <v/>
      </c>
      <c r="I115" s="6">
        <f>IF(ISNA(G115),"",INDEX(Raw_Book!$B$2:$B$128,G115))</f>
        <v/>
      </c>
      <c r="J115" s="6">
        <f>IF(ISNA(G115),"",ABS(A115-H115))</f>
        <v/>
      </c>
      <c r="K115" s="6">
        <f>IF(OR(ISNA(G115),J115&gt;3),"UNMATCHED","MATCHED")</f>
        <v/>
      </c>
      <c r="L115" s="7">
        <f>MAX(D115,E115)</f>
        <v/>
      </c>
      <c r="M115" s="7">
        <f>IF(K115="MATCHED",0,L115)</f>
        <v/>
      </c>
      <c r="N115" s="6">
        <f>IF(K115="UNMATCHED",ROW()-1,"")</f>
        <v/>
      </c>
    </row>
    <row r="116">
      <c r="A116" s="5">
        <f>Raw_Bank!A116</f>
        <v/>
      </c>
      <c r="B116" s="6">
        <f>Raw_Bank!B116</f>
        <v/>
      </c>
      <c r="C116" s="6">
        <f>Raw_Bank!C116</f>
        <v/>
      </c>
      <c r="D116" s="7">
        <f>Raw_Bank!D116</f>
        <v/>
      </c>
      <c r="E116" s="7">
        <f>Raw_Bank!E116</f>
        <v/>
      </c>
      <c r="F116" s="6">
        <f>TEXT(MAX(D116,E116),"0.00")&amp;"|"&amp;IF(E116&gt;0,"R","P")</f>
        <v/>
      </c>
      <c r="G116" s="6">
        <f>MATCH(F116,Raw_Book!$G$2:$G$128,0)</f>
        <v/>
      </c>
      <c r="H116" s="5">
        <f>IF(ISNA(G116),"",INDEX(Raw_Book!$A$2:$A$128,G116))</f>
        <v/>
      </c>
      <c r="I116" s="6">
        <f>IF(ISNA(G116),"",INDEX(Raw_Book!$B$2:$B$128,G116))</f>
        <v/>
      </c>
      <c r="J116" s="6">
        <f>IF(ISNA(G116),"",ABS(A116-H116))</f>
        <v/>
      </c>
      <c r="K116" s="6">
        <f>IF(OR(ISNA(G116),J116&gt;3),"UNMATCHED","MATCHED")</f>
        <v/>
      </c>
      <c r="L116" s="7">
        <f>MAX(D116,E116)</f>
        <v/>
      </c>
      <c r="M116" s="7">
        <f>IF(K116="MATCHED",0,L116)</f>
        <v/>
      </c>
      <c r="N116" s="6">
        <f>IF(K116="UNMATCHED",ROW()-1,"")</f>
        <v/>
      </c>
    </row>
    <row r="117">
      <c r="A117" s="5">
        <f>Raw_Bank!A117</f>
        <v/>
      </c>
      <c r="B117" s="6">
        <f>Raw_Bank!B117</f>
        <v/>
      </c>
      <c r="C117" s="6">
        <f>Raw_Bank!C117</f>
        <v/>
      </c>
      <c r="D117" s="7">
        <f>Raw_Bank!D117</f>
        <v/>
      </c>
      <c r="E117" s="7">
        <f>Raw_Bank!E117</f>
        <v/>
      </c>
      <c r="F117" s="6">
        <f>TEXT(MAX(D117,E117),"0.00")&amp;"|"&amp;IF(E117&gt;0,"R","P")</f>
        <v/>
      </c>
      <c r="G117" s="6">
        <f>MATCH(F117,Raw_Book!$G$2:$G$128,0)</f>
        <v/>
      </c>
      <c r="H117" s="5">
        <f>IF(ISNA(G117),"",INDEX(Raw_Book!$A$2:$A$128,G117))</f>
        <v/>
      </c>
      <c r="I117" s="6">
        <f>IF(ISNA(G117),"",INDEX(Raw_Book!$B$2:$B$128,G117))</f>
        <v/>
      </c>
      <c r="J117" s="6">
        <f>IF(ISNA(G117),"",ABS(A117-H117))</f>
        <v/>
      </c>
      <c r="K117" s="6">
        <f>IF(OR(ISNA(G117),J117&gt;3),"UNMATCHED","MATCHED")</f>
        <v/>
      </c>
      <c r="L117" s="7">
        <f>MAX(D117,E117)</f>
        <v/>
      </c>
      <c r="M117" s="7">
        <f>IF(K117="MATCHED",0,L117)</f>
        <v/>
      </c>
      <c r="N117" s="6">
        <f>IF(K117="UNMATCHED",ROW()-1,"")</f>
        <v/>
      </c>
    </row>
    <row r="118">
      <c r="A118" s="5">
        <f>Raw_Bank!A118</f>
        <v/>
      </c>
      <c r="B118" s="6">
        <f>Raw_Bank!B118</f>
        <v/>
      </c>
      <c r="C118" s="6">
        <f>Raw_Bank!C118</f>
        <v/>
      </c>
      <c r="D118" s="7">
        <f>Raw_Bank!D118</f>
        <v/>
      </c>
      <c r="E118" s="7">
        <f>Raw_Bank!E118</f>
        <v/>
      </c>
      <c r="F118" s="6">
        <f>TEXT(MAX(D118,E118),"0.00")&amp;"|"&amp;IF(E118&gt;0,"R","P")</f>
        <v/>
      </c>
      <c r="G118" s="6">
        <f>MATCH(F118,Raw_Book!$G$2:$G$128,0)</f>
        <v/>
      </c>
      <c r="H118" s="5">
        <f>IF(ISNA(G118),"",INDEX(Raw_Book!$A$2:$A$128,G118))</f>
        <v/>
      </c>
      <c r="I118" s="6">
        <f>IF(ISNA(G118),"",INDEX(Raw_Book!$B$2:$B$128,G118))</f>
        <v/>
      </c>
      <c r="J118" s="6">
        <f>IF(ISNA(G118),"",ABS(A118-H118))</f>
        <v/>
      </c>
      <c r="K118" s="6">
        <f>IF(OR(ISNA(G118),J118&gt;3),"UNMATCHED","MATCHED")</f>
        <v/>
      </c>
      <c r="L118" s="7">
        <f>MAX(D118,E118)</f>
        <v/>
      </c>
      <c r="M118" s="7">
        <f>IF(K118="MATCHED",0,L118)</f>
        <v/>
      </c>
      <c r="N118" s="6">
        <f>IF(K118="UNMATCHED",ROW()-1,"")</f>
        <v/>
      </c>
    </row>
    <row r="119">
      <c r="A119" s="5">
        <f>Raw_Bank!A119</f>
        <v/>
      </c>
      <c r="B119" s="6">
        <f>Raw_Bank!B119</f>
        <v/>
      </c>
      <c r="C119" s="6">
        <f>Raw_Bank!C119</f>
        <v/>
      </c>
      <c r="D119" s="7">
        <f>Raw_Bank!D119</f>
        <v/>
      </c>
      <c r="E119" s="7">
        <f>Raw_Bank!E119</f>
        <v/>
      </c>
      <c r="F119" s="6">
        <f>TEXT(MAX(D119,E119),"0.00")&amp;"|"&amp;IF(E119&gt;0,"R","P")</f>
        <v/>
      </c>
      <c r="G119" s="6">
        <f>MATCH(F119,Raw_Book!$G$2:$G$128,0)</f>
        <v/>
      </c>
      <c r="H119" s="5">
        <f>IF(ISNA(G119),"",INDEX(Raw_Book!$A$2:$A$128,G119))</f>
        <v/>
      </c>
      <c r="I119" s="6">
        <f>IF(ISNA(G119),"",INDEX(Raw_Book!$B$2:$B$128,G119))</f>
        <v/>
      </c>
      <c r="J119" s="6">
        <f>IF(ISNA(G119),"",ABS(A119-H119))</f>
        <v/>
      </c>
      <c r="K119" s="6">
        <f>IF(OR(ISNA(G119),J119&gt;3),"UNMATCHED","MATCHED")</f>
        <v/>
      </c>
      <c r="L119" s="7">
        <f>MAX(D119,E119)</f>
        <v/>
      </c>
      <c r="M119" s="7">
        <f>IF(K119="MATCHED",0,L119)</f>
        <v/>
      </c>
      <c r="N119" s="6">
        <f>IF(K119="UNMATCHED",ROW()-1,"")</f>
        <v/>
      </c>
    </row>
    <row r="120">
      <c r="A120" s="5">
        <f>Raw_Bank!A120</f>
        <v/>
      </c>
      <c r="B120" s="6">
        <f>Raw_Bank!B120</f>
        <v/>
      </c>
      <c r="C120" s="6">
        <f>Raw_Bank!C120</f>
        <v/>
      </c>
      <c r="D120" s="7">
        <f>Raw_Bank!D120</f>
        <v/>
      </c>
      <c r="E120" s="7">
        <f>Raw_Bank!E120</f>
        <v/>
      </c>
      <c r="F120" s="6">
        <f>TEXT(MAX(D120,E120),"0.00")&amp;"|"&amp;IF(E120&gt;0,"R","P")</f>
        <v/>
      </c>
      <c r="G120" s="6">
        <f>MATCH(F120,Raw_Book!$G$2:$G$128,0)</f>
        <v/>
      </c>
      <c r="H120" s="5">
        <f>IF(ISNA(G120),"",INDEX(Raw_Book!$A$2:$A$128,G120))</f>
        <v/>
      </c>
      <c r="I120" s="6">
        <f>IF(ISNA(G120),"",INDEX(Raw_Book!$B$2:$B$128,G120))</f>
        <v/>
      </c>
      <c r="J120" s="6">
        <f>IF(ISNA(G120),"",ABS(A120-H120))</f>
        <v/>
      </c>
      <c r="K120" s="6">
        <f>IF(OR(ISNA(G120),J120&gt;3),"UNMATCHED","MATCHED")</f>
        <v/>
      </c>
      <c r="L120" s="7">
        <f>MAX(D120,E120)</f>
        <v/>
      </c>
      <c r="M120" s="7">
        <f>IF(K120="MATCHED",0,L120)</f>
        <v/>
      </c>
      <c r="N120" s="6">
        <f>IF(K120="UNMATCHED",ROW()-1,"")</f>
        <v/>
      </c>
    </row>
    <row r="121">
      <c r="A121" s="5">
        <f>Raw_Bank!A121</f>
        <v/>
      </c>
      <c r="B121" s="6">
        <f>Raw_Bank!B121</f>
        <v/>
      </c>
      <c r="C121" s="6">
        <f>Raw_Bank!C121</f>
        <v/>
      </c>
      <c r="D121" s="7">
        <f>Raw_Bank!D121</f>
        <v/>
      </c>
      <c r="E121" s="7">
        <f>Raw_Bank!E121</f>
        <v/>
      </c>
      <c r="F121" s="6">
        <f>TEXT(MAX(D121,E121),"0.00")&amp;"|"&amp;IF(E121&gt;0,"R","P")</f>
        <v/>
      </c>
      <c r="G121" s="6">
        <f>MATCH(F121,Raw_Book!$G$2:$G$128,0)</f>
        <v/>
      </c>
      <c r="H121" s="5">
        <f>IF(ISNA(G121),"",INDEX(Raw_Book!$A$2:$A$128,G121))</f>
        <v/>
      </c>
      <c r="I121" s="6">
        <f>IF(ISNA(G121),"",INDEX(Raw_Book!$B$2:$B$128,G121))</f>
        <v/>
      </c>
      <c r="J121" s="6">
        <f>IF(ISNA(G121),"",ABS(A121-H121))</f>
        <v/>
      </c>
      <c r="K121" s="6">
        <f>IF(OR(ISNA(G121),J121&gt;3),"UNMATCHED","MATCHED")</f>
        <v/>
      </c>
      <c r="L121" s="7">
        <f>MAX(D121,E121)</f>
        <v/>
      </c>
      <c r="M121" s="7">
        <f>IF(K121="MATCHED",0,L121)</f>
        <v/>
      </c>
      <c r="N121" s="6">
        <f>IF(K121="UNMATCHED",ROW()-1,"")</f>
        <v/>
      </c>
    </row>
    <row r="122">
      <c r="A122" s="5">
        <f>Raw_Bank!A122</f>
        <v/>
      </c>
      <c r="B122" s="6">
        <f>Raw_Bank!B122</f>
        <v/>
      </c>
      <c r="C122" s="6">
        <f>Raw_Bank!C122</f>
        <v/>
      </c>
      <c r="D122" s="7">
        <f>Raw_Bank!D122</f>
        <v/>
      </c>
      <c r="E122" s="7">
        <f>Raw_Bank!E122</f>
        <v/>
      </c>
      <c r="F122" s="6">
        <f>TEXT(MAX(D122,E122),"0.00")&amp;"|"&amp;IF(E122&gt;0,"R","P")</f>
        <v/>
      </c>
      <c r="G122" s="6">
        <f>MATCH(F122,Raw_Book!$G$2:$G$128,0)</f>
        <v/>
      </c>
      <c r="H122" s="5">
        <f>IF(ISNA(G122),"",INDEX(Raw_Book!$A$2:$A$128,G122))</f>
        <v/>
      </c>
      <c r="I122" s="6">
        <f>IF(ISNA(G122),"",INDEX(Raw_Book!$B$2:$B$128,G122))</f>
        <v/>
      </c>
      <c r="J122" s="6">
        <f>IF(ISNA(G122),"",ABS(A122-H122))</f>
        <v/>
      </c>
      <c r="K122" s="6">
        <f>IF(OR(ISNA(G122),J122&gt;3),"UNMATCHED","MATCHED")</f>
        <v/>
      </c>
      <c r="L122" s="7">
        <f>MAX(D122,E122)</f>
        <v/>
      </c>
      <c r="M122" s="7">
        <f>IF(K122="MATCHED",0,L122)</f>
        <v/>
      </c>
      <c r="N122" s="6">
        <f>IF(K122="UNMATCHED",ROW()-1,"")</f>
        <v/>
      </c>
    </row>
    <row r="123">
      <c r="A123" s="5">
        <f>Raw_Bank!A123</f>
        <v/>
      </c>
      <c r="B123" s="6">
        <f>Raw_Bank!B123</f>
        <v/>
      </c>
      <c r="C123" s="6">
        <f>Raw_Bank!C123</f>
        <v/>
      </c>
      <c r="D123" s="7">
        <f>Raw_Bank!D123</f>
        <v/>
      </c>
      <c r="E123" s="7">
        <f>Raw_Bank!E123</f>
        <v/>
      </c>
      <c r="F123" s="6">
        <f>TEXT(MAX(D123,E123),"0.00")&amp;"|"&amp;IF(E123&gt;0,"R","P")</f>
        <v/>
      </c>
      <c r="G123" s="6">
        <f>MATCH(F123,Raw_Book!$G$2:$G$128,0)</f>
        <v/>
      </c>
      <c r="H123" s="5">
        <f>IF(ISNA(G123),"",INDEX(Raw_Book!$A$2:$A$128,G123))</f>
        <v/>
      </c>
      <c r="I123" s="6">
        <f>IF(ISNA(G123),"",INDEX(Raw_Book!$B$2:$B$128,G123))</f>
        <v/>
      </c>
      <c r="J123" s="6">
        <f>IF(ISNA(G123),"",ABS(A123-H123))</f>
        <v/>
      </c>
      <c r="K123" s="6">
        <f>IF(OR(ISNA(G123),J123&gt;3),"UNMATCHED","MATCHED")</f>
        <v/>
      </c>
      <c r="L123" s="7">
        <f>MAX(D123,E123)</f>
        <v/>
      </c>
      <c r="M123" s="7">
        <f>IF(K123="MATCHED",0,L123)</f>
        <v/>
      </c>
      <c r="N123" s="6">
        <f>IF(K123="UNMATCHED",ROW()-1,"")</f>
        <v/>
      </c>
    </row>
    <row r="124">
      <c r="A124" s="5">
        <f>Raw_Bank!A124</f>
        <v/>
      </c>
      <c r="B124" s="6">
        <f>Raw_Bank!B124</f>
        <v/>
      </c>
      <c r="C124" s="6">
        <f>Raw_Bank!C124</f>
        <v/>
      </c>
      <c r="D124" s="7">
        <f>Raw_Bank!D124</f>
        <v/>
      </c>
      <c r="E124" s="7">
        <f>Raw_Bank!E124</f>
        <v/>
      </c>
      <c r="F124" s="6">
        <f>TEXT(MAX(D124,E124),"0.00")&amp;"|"&amp;IF(E124&gt;0,"R","P")</f>
        <v/>
      </c>
      <c r="G124" s="6">
        <f>MATCH(F124,Raw_Book!$G$2:$G$128,0)</f>
        <v/>
      </c>
      <c r="H124" s="5">
        <f>IF(ISNA(G124),"",INDEX(Raw_Book!$A$2:$A$128,G124))</f>
        <v/>
      </c>
      <c r="I124" s="6">
        <f>IF(ISNA(G124),"",INDEX(Raw_Book!$B$2:$B$128,G124))</f>
        <v/>
      </c>
      <c r="J124" s="6">
        <f>IF(ISNA(G124),"",ABS(A124-H124))</f>
        <v/>
      </c>
      <c r="K124" s="6">
        <f>IF(OR(ISNA(G124),J124&gt;3),"UNMATCHED","MATCHED")</f>
        <v/>
      </c>
      <c r="L124" s="7">
        <f>MAX(D124,E124)</f>
        <v/>
      </c>
      <c r="M124" s="7">
        <f>IF(K124="MATCHED",0,L124)</f>
        <v/>
      </c>
      <c r="N124" s="6">
        <f>IF(K124="UNMATCHED",ROW()-1,"")</f>
        <v/>
      </c>
    </row>
    <row r="125">
      <c r="A125" s="5">
        <f>Raw_Bank!A125</f>
        <v/>
      </c>
      <c r="B125" s="6">
        <f>Raw_Bank!B125</f>
        <v/>
      </c>
      <c r="C125" s="6">
        <f>Raw_Bank!C125</f>
        <v/>
      </c>
      <c r="D125" s="7">
        <f>Raw_Bank!D125</f>
        <v/>
      </c>
      <c r="E125" s="7">
        <f>Raw_Bank!E125</f>
        <v/>
      </c>
      <c r="F125" s="6">
        <f>TEXT(MAX(D125,E125),"0.00")&amp;"|"&amp;IF(E125&gt;0,"R","P")</f>
        <v/>
      </c>
      <c r="G125" s="6">
        <f>MATCH(F125,Raw_Book!$G$2:$G$128,0)</f>
        <v/>
      </c>
      <c r="H125" s="5">
        <f>IF(ISNA(G125),"",INDEX(Raw_Book!$A$2:$A$128,G125))</f>
        <v/>
      </c>
      <c r="I125" s="6">
        <f>IF(ISNA(G125),"",INDEX(Raw_Book!$B$2:$B$128,G125))</f>
        <v/>
      </c>
      <c r="J125" s="6">
        <f>IF(ISNA(G125),"",ABS(A125-H125))</f>
        <v/>
      </c>
      <c r="K125" s="6">
        <f>IF(OR(ISNA(G125),J125&gt;3),"UNMATCHED","MATCHED")</f>
        <v/>
      </c>
      <c r="L125" s="7">
        <f>MAX(D125,E125)</f>
        <v/>
      </c>
      <c r="M125" s="7">
        <f>IF(K125="MATCHED",0,L125)</f>
        <v/>
      </c>
      <c r="N125" s="6">
        <f>IF(K125="UNMATCHED",ROW()-1,"")</f>
        <v/>
      </c>
    </row>
    <row r="126">
      <c r="A126" s="5">
        <f>Raw_Bank!A126</f>
        <v/>
      </c>
      <c r="B126" s="6">
        <f>Raw_Bank!B126</f>
        <v/>
      </c>
      <c r="C126" s="6">
        <f>Raw_Bank!C126</f>
        <v/>
      </c>
      <c r="D126" s="7">
        <f>Raw_Bank!D126</f>
        <v/>
      </c>
      <c r="E126" s="7">
        <f>Raw_Bank!E126</f>
        <v/>
      </c>
      <c r="F126" s="6">
        <f>TEXT(MAX(D126,E126),"0.00")&amp;"|"&amp;IF(E126&gt;0,"R","P")</f>
        <v/>
      </c>
      <c r="G126" s="6">
        <f>MATCH(F126,Raw_Book!$G$2:$G$128,0)</f>
        <v/>
      </c>
      <c r="H126" s="5">
        <f>IF(ISNA(G126),"",INDEX(Raw_Book!$A$2:$A$128,G126))</f>
        <v/>
      </c>
      <c r="I126" s="6">
        <f>IF(ISNA(G126),"",INDEX(Raw_Book!$B$2:$B$128,G126))</f>
        <v/>
      </c>
      <c r="J126" s="6">
        <f>IF(ISNA(G126),"",ABS(A126-H126))</f>
        <v/>
      </c>
      <c r="K126" s="6">
        <f>IF(OR(ISNA(G126),J126&gt;3),"UNMATCHED","MATCHED")</f>
        <v/>
      </c>
      <c r="L126" s="7">
        <f>MAX(D126,E126)</f>
        <v/>
      </c>
      <c r="M126" s="7">
        <f>IF(K126="MATCHED",0,L126)</f>
        <v/>
      </c>
      <c r="N126" s="6">
        <f>IF(K126="UNMATCHED",ROW()-1,"")</f>
        <v/>
      </c>
    </row>
    <row r="127">
      <c r="A127" s="5">
        <f>Raw_Bank!A127</f>
        <v/>
      </c>
      <c r="B127" s="6">
        <f>Raw_Bank!B127</f>
        <v/>
      </c>
      <c r="C127" s="6">
        <f>Raw_Bank!C127</f>
        <v/>
      </c>
      <c r="D127" s="7">
        <f>Raw_Bank!D127</f>
        <v/>
      </c>
      <c r="E127" s="7">
        <f>Raw_Bank!E127</f>
        <v/>
      </c>
      <c r="F127" s="6">
        <f>TEXT(MAX(D127,E127),"0.00")&amp;"|"&amp;IF(E127&gt;0,"R","P")</f>
        <v/>
      </c>
      <c r="G127" s="6">
        <f>MATCH(F127,Raw_Book!$G$2:$G$128,0)</f>
        <v/>
      </c>
      <c r="H127" s="5">
        <f>IF(ISNA(G127),"",INDEX(Raw_Book!$A$2:$A$128,G127))</f>
        <v/>
      </c>
      <c r="I127" s="6">
        <f>IF(ISNA(G127),"",INDEX(Raw_Book!$B$2:$B$128,G127))</f>
        <v/>
      </c>
      <c r="J127" s="6">
        <f>IF(ISNA(G127),"",ABS(A127-H127))</f>
        <v/>
      </c>
      <c r="K127" s="6">
        <f>IF(OR(ISNA(G127),J127&gt;3),"UNMATCHED","MATCHED")</f>
        <v/>
      </c>
      <c r="L127" s="7">
        <f>MAX(D127,E127)</f>
        <v/>
      </c>
      <c r="M127" s="7">
        <f>IF(K127="MATCHED",0,L127)</f>
        <v/>
      </c>
      <c r="N127" s="6">
        <f>IF(K127="UNMATCHED",ROW()-1,"")</f>
        <v/>
      </c>
    </row>
    <row r="128">
      <c r="A128" s="5">
        <f>Raw_Bank!A128</f>
        <v/>
      </c>
      <c r="B128" s="6">
        <f>Raw_Bank!B128</f>
        <v/>
      </c>
      <c r="C128" s="6">
        <f>Raw_Bank!C128</f>
        <v/>
      </c>
      <c r="D128" s="7">
        <f>Raw_Bank!D128</f>
        <v/>
      </c>
      <c r="E128" s="7">
        <f>Raw_Bank!E128</f>
        <v/>
      </c>
      <c r="F128" s="6">
        <f>TEXT(MAX(D128,E128),"0.00")&amp;"|"&amp;IF(E128&gt;0,"R","P")</f>
        <v/>
      </c>
      <c r="G128" s="6">
        <f>MATCH(F128,Raw_Book!$G$2:$G$128,0)</f>
        <v/>
      </c>
      <c r="H128" s="5">
        <f>IF(ISNA(G128),"",INDEX(Raw_Book!$A$2:$A$128,G128))</f>
        <v/>
      </c>
      <c r="I128" s="6">
        <f>IF(ISNA(G128),"",INDEX(Raw_Book!$B$2:$B$128,G128))</f>
        <v/>
      </c>
      <c r="J128" s="6">
        <f>IF(ISNA(G128),"",ABS(A128-H128))</f>
        <v/>
      </c>
      <c r="K128" s="6">
        <f>IF(OR(ISNA(G128),J128&gt;3),"UNMATCHED","MATCHED")</f>
        <v/>
      </c>
      <c r="L128" s="7">
        <f>MAX(D128,E128)</f>
        <v/>
      </c>
      <c r="M128" s="7">
        <f>IF(K128="MATCHED",0,L128)</f>
        <v/>
      </c>
      <c r="N128" s="6">
        <f>IF(K128="UNMATCHED",ROW()-1,"")</f>
        <v/>
      </c>
    </row>
    <row r="129">
      <c r="A129" s="5">
        <f>Raw_Bank!A129</f>
        <v/>
      </c>
      <c r="B129" s="6">
        <f>Raw_Bank!B129</f>
        <v/>
      </c>
      <c r="C129" s="6">
        <f>Raw_Bank!C129</f>
        <v/>
      </c>
      <c r="D129" s="7">
        <f>Raw_Bank!D129</f>
        <v/>
      </c>
      <c r="E129" s="7">
        <f>Raw_Bank!E129</f>
        <v/>
      </c>
      <c r="F129" s="6">
        <f>TEXT(MAX(D129,E129),"0.00")&amp;"|"&amp;IF(E129&gt;0,"R","P")</f>
        <v/>
      </c>
      <c r="G129" s="6">
        <f>MATCH(F129,Raw_Book!$G$2:$G$128,0)</f>
        <v/>
      </c>
      <c r="H129" s="5">
        <f>IF(ISNA(G129),"",INDEX(Raw_Book!$A$2:$A$128,G129))</f>
        <v/>
      </c>
      <c r="I129" s="6">
        <f>IF(ISNA(G129),"",INDEX(Raw_Book!$B$2:$B$128,G129))</f>
        <v/>
      </c>
      <c r="J129" s="6">
        <f>IF(ISNA(G129),"",ABS(A129-H129))</f>
        <v/>
      </c>
      <c r="K129" s="6">
        <f>IF(OR(ISNA(G129),J129&gt;3),"UNMATCHED","MATCHED")</f>
        <v/>
      </c>
      <c r="L129" s="7">
        <f>MAX(D129,E129)</f>
        <v/>
      </c>
      <c r="M129" s="7">
        <f>IF(K129="MATCHED",0,L129)</f>
        <v/>
      </c>
      <c r="N129" s="6">
        <f>IF(K129="UNMATCHED",ROW()-1,"")</f>
        <v/>
      </c>
    </row>
  </sheetData>
  <autoFilter ref="A1:N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0" customWidth="1" min="4" max="4"/>
    <col width="22" customWidth="1" min="5" max="5"/>
    <col width="52" customWidth="1" min="6" max="6"/>
    <col width="16" customWidth="1" min="7" max="7"/>
    <col width="8" customWidth="1" min="8" max="8"/>
  </cols>
  <sheetData>
    <row r="1">
      <c r="A1" s="2" t="inlineStr">
        <is>
          <t>Bank-only items — in the statement, not in the books</t>
        </is>
      </c>
    </row>
    <row r="2">
      <c r="A2" s="4" t="inlineStr">
        <is>
          <t>Item</t>
        </is>
      </c>
      <c r="B2" s="4" t="inlineStr">
        <is>
          <t>Date</t>
        </is>
      </c>
      <c r="C2" s="4" t="inlineStr">
        <is>
          <t>Amount</t>
        </is>
      </c>
      <c r="D2" s="4" t="inlineStr">
        <is>
          <t>Side</t>
        </is>
      </c>
      <c r="E2" s="4" t="inlineStr">
        <is>
          <t>Reason</t>
        </is>
      </c>
      <c r="F2" s="4" t="inlineStr">
        <is>
          <t>Suggested action</t>
        </is>
      </c>
      <c r="G2" s="4" t="inlineStr">
        <is>
          <t>Days outstanding</t>
        </is>
      </c>
      <c r="H2" s="4" t="inlineStr">
        <is>
          <t>pos</t>
        </is>
      </c>
    </row>
    <row r="3">
      <c r="A3" s="6">
        <f>IF($H3="","",INDEX(Recon!$B$2:$B$129,$H3))</f>
        <v/>
      </c>
      <c r="B3" s="5">
        <f>IF($H3="","",INDEX(Recon!$A$2:$A$129,$H3))</f>
        <v/>
      </c>
      <c r="C3" s="7">
        <f>IF($H3="","",INDEX(Recon!$L$2:$L$129,$H3))</f>
        <v/>
      </c>
      <c r="D3" s="6">
        <f>IF($H3="","",IF(INDEX(Recon!$E$2:$E$129,$H3)&gt;0,"Receipt","Payment"))</f>
        <v/>
      </c>
      <c r="E3" s="6">
        <f>IF(A3="","",IF(ISNUMBER(SEARCH("charg",A3)),"Bank charges",IF(ISNUMBER(SEARCH("Interest",A3)),"Interest credited","Unidentified deposit"))</f>
        <v/>
      </c>
      <c r="F3" s="6">
        <f>IF(A3="","",IF(E3="Bank charges","Record the charges in the book ledger",IF(E3="Interest credited","Record interest income in the books","Identify the depositor from the UTR; book the receipt or arrange a refund"))</f>
        <v/>
      </c>
      <c r="G3" s="6">
        <f>IF(A3="","",Summary!$B$3-B3)</f>
        <v/>
      </c>
      <c r="H3" s="6">
        <f>IFERROR(SMALL(Recon!$N$2:$N$129,1),"")</f>
        <v/>
      </c>
    </row>
    <row r="4">
      <c r="A4" s="6">
        <f>IF($H4="","",INDEX(Recon!$B$2:$B$129,$H4))</f>
        <v/>
      </c>
      <c r="B4" s="5">
        <f>IF($H4="","",INDEX(Recon!$A$2:$A$129,$H4))</f>
        <v/>
      </c>
      <c r="C4" s="7">
        <f>IF($H4="","",INDEX(Recon!$L$2:$L$129,$H4))</f>
        <v/>
      </c>
      <c r="D4" s="6">
        <f>IF($H4="","",IF(INDEX(Recon!$E$2:$E$129,$H4)&gt;0,"Receipt","Payment"))</f>
        <v/>
      </c>
      <c r="E4" s="6">
        <f>IF(A4="","",IF(ISNUMBER(SEARCH("charg",A4)),"Bank charges",IF(ISNUMBER(SEARCH("Interest",A4)),"Interest credited","Unidentified deposit"))</f>
        <v/>
      </c>
      <c r="F4" s="6">
        <f>IF(A4="","",IF(E4="Bank charges","Record the charges in the book ledger",IF(E4="Interest credited","Record interest income in the books","Identify the depositor from the UTR; book the receipt or arrange a refund"))</f>
        <v/>
      </c>
      <c r="G4" s="6">
        <f>IF(A4="","",Summary!$B$3-B4)</f>
        <v/>
      </c>
      <c r="H4" s="6">
        <f>IFERROR(SMALL(Recon!$N$2:$N$129,2),"")</f>
        <v/>
      </c>
    </row>
    <row r="5">
      <c r="A5" s="6">
        <f>IF($H5="","",INDEX(Recon!$B$2:$B$129,$H5))</f>
        <v/>
      </c>
      <c r="B5" s="5">
        <f>IF($H5="","",INDEX(Recon!$A$2:$A$129,$H5))</f>
        <v/>
      </c>
      <c r="C5" s="7">
        <f>IF($H5="","",INDEX(Recon!$L$2:$L$129,$H5))</f>
        <v/>
      </c>
      <c r="D5" s="6">
        <f>IF($H5="","",IF(INDEX(Recon!$E$2:$E$129,$H5)&gt;0,"Receipt","Payment"))</f>
        <v/>
      </c>
      <c r="E5" s="6">
        <f>IF(A5="","",IF(ISNUMBER(SEARCH("charg",A5)),"Bank charges",IF(ISNUMBER(SEARCH("Interest",A5)),"Interest credited","Unidentified deposit"))</f>
        <v/>
      </c>
      <c r="F5" s="6">
        <f>IF(A5="","",IF(E5="Bank charges","Record the charges in the book ledger",IF(E5="Interest credited","Record interest income in the books","Identify the depositor from the UTR; book the receipt or arrange a refund"))</f>
        <v/>
      </c>
      <c r="G5" s="6">
        <f>IF(A5="","",Summary!$B$3-B5)</f>
        <v/>
      </c>
      <c r="H5" s="6">
        <f>IFERROR(SMALL(Recon!$N$2:$N$129,3),"")</f>
        <v/>
      </c>
    </row>
    <row r="6">
      <c r="A6" s="6">
        <f>IF($H6="","",INDEX(Recon!$B$2:$B$129,$H6))</f>
        <v/>
      </c>
      <c r="B6" s="5">
        <f>IF($H6="","",INDEX(Recon!$A$2:$A$129,$H6))</f>
        <v/>
      </c>
      <c r="C6" s="7">
        <f>IF($H6="","",INDEX(Recon!$L$2:$L$129,$H6))</f>
        <v/>
      </c>
      <c r="D6" s="6">
        <f>IF($H6="","",IF(INDEX(Recon!$E$2:$E$129,$H6)&gt;0,"Receipt","Payment"))</f>
        <v/>
      </c>
      <c r="E6" s="6">
        <f>IF(A6="","",IF(ISNUMBER(SEARCH("charg",A6)),"Bank charges",IF(ISNUMBER(SEARCH("Interest",A6)),"Interest credited","Unidentified deposit"))</f>
        <v/>
      </c>
      <c r="F6" s="6">
        <f>IF(A6="","",IF(E6="Bank charges","Record the charges in the book ledger",IF(E6="Interest credited","Record interest income in the books","Identify the depositor from the UTR; book the receipt or arrange a refund"))</f>
        <v/>
      </c>
      <c r="G6" s="6">
        <f>IF(A6="","",Summary!$B$3-B6)</f>
        <v/>
      </c>
      <c r="H6" s="6">
        <f>IFERROR(SMALL(Recon!$N$2:$N$129,4),"")</f>
        <v/>
      </c>
    </row>
    <row r="7">
      <c r="A7" s="6">
        <f>IF($H7="","",INDEX(Recon!$B$2:$B$129,$H7))</f>
        <v/>
      </c>
      <c r="B7" s="5">
        <f>IF($H7="","",INDEX(Recon!$A$2:$A$129,$H7))</f>
        <v/>
      </c>
      <c r="C7" s="7">
        <f>IF($H7="","",INDEX(Recon!$L$2:$L$129,$H7))</f>
        <v/>
      </c>
      <c r="D7" s="6">
        <f>IF($H7="","",IF(INDEX(Recon!$E$2:$E$129,$H7)&gt;0,"Receipt","Payment"))</f>
        <v/>
      </c>
      <c r="E7" s="6">
        <f>IF(A7="","",IF(ISNUMBER(SEARCH("charg",A7)),"Bank charges",IF(ISNUMBER(SEARCH("Interest",A7)),"Interest credited","Unidentified deposit"))</f>
        <v/>
      </c>
      <c r="F7" s="6">
        <f>IF(A7="","",IF(E7="Bank charges","Record the charges in the book ledger",IF(E7="Interest credited","Record interest income in the books","Identify the depositor from the UTR; book the receipt or arrange a refund"))</f>
        <v/>
      </c>
      <c r="G7" s="6">
        <f>IF(A7="","",Summary!$B$3-B7)</f>
        <v/>
      </c>
      <c r="H7" s="6">
        <f>IFERROR(SMALL(Recon!$N$2:$N$129,5),"")</f>
        <v/>
      </c>
    </row>
    <row r="8">
      <c r="A8" s="6">
        <f>IF($H8="","",INDEX(Recon!$B$2:$B$129,$H8))</f>
        <v/>
      </c>
      <c r="B8" s="5">
        <f>IF($H8="","",INDEX(Recon!$A$2:$A$129,$H8))</f>
        <v/>
      </c>
      <c r="C8" s="7">
        <f>IF($H8="","",INDEX(Recon!$L$2:$L$129,$H8))</f>
        <v/>
      </c>
      <c r="D8" s="6">
        <f>IF($H8="","",IF(INDEX(Recon!$E$2:$E$129,$H8)&gt;0,"Receipt","Payment"))</f>
        <v/>
      </c>
      <c r="E8" s="6">
        <f>IF(A8="","",IF(ISNUMBER(SEARCH("charg",A8)),"Bank charges",IF(ISNUMBER(SEARCH("Interest",A8)),"Interest credited","Unidentified deposit"))</f>
        <v/>
      </c>
      <c r="F8" s="6">
        <f>IF(A8="","",IF(E8="Bank charges","Record the charges in the book ledger",IF(E8="Interest credited","Record interest income in the books","Identify the depositor from the UTR; book the receipt or arrange a refund"))</f>
        <v/>
      </c>
      <c r="G8" s="6">
        <f>IF(A8="","",Summary!$B$3-B8)</f>
        <v/>
      </c>
      <c r="H8" s="6">
        <f>IFERROR(SMALL(Recon!$N$2:$N$129,6),"")</f>
        <v/>
      </c>
    </row>
    <row r="10">
      <c r="A10" s="2" t="inlineStr">
        <is>
          <t>Book-only items — in the books, not yet at the bank</t>
        </is>
      </c>
    </row>
    <row r="11">
      <c r="A11" s="4" t="inlineStr">
        <is>
          <t>Item</t>
        </is>
      </c>
      <c r="B11" s="4" t="inlineStr">
        <is>
          <t>Date</t>
        </is>
      </c>
      <c r="C11" s="4" t="inlineStr">
        <is>
          <t>Amount</t>
        </is>
      </c>
      <c r="D11" s="4" t="inlineStr">
        <is>
          <t>Side</t>
        </is>
      </c>
      <c r="E11" s="4" t="inlineStr">
        <is>
          <t>Reason</t>
        </is>
      </c>
      <c r="F11" s="4" t="inlineStr">
        <is>
          <t>Suggested action</t>
        </is>
      </c>
      <c r="G11" s="4" t="inlineStr">
        <is>
          <t>Days outstanding</t>
        </is>
      </c>
      <c r="H11" s="4" t="inlineStr">
        <is>
          <t>pos</t>
        </is>
      </c>
    </row>
    <row r="12">
      <c r="A12" s="6">
        <f>IF($H12="","",INDEX(Raw_Book!$B$2:$B$128,$H12))</f>
        <v/>
      </c>
      <c r="B12" s="5">
        <f>IF($H12="","",INDEX(Raw_Book!$A$2:$A$128,$H12))</f>
        <v/>
      </c>
      <c r="C12" s="7">
        <f>IF($H12="","",MAX(INDEX(Raw_Book!$D$2:$D$128,$H12),INDEX(Raw_Book!$E$2:$E$128,$H12)))</f>
        <v/>
      </c>
      <c r="D12" s="6">
        <f>IF(A12="","",IF(ISNUMBER(SEARCH("transit",A12)),"Receipt","Payment"))</f>
        <v/>
      </c>
      <c r="E12" s="6">
        <f>IF(A12="","",IF(ISNUMBER(SEARCH("unpresented",A12)),"Unpresented cheque","Deposit in transit"))</f>
        <v/>
      </c>
      <c r="F12" s="6">
        <f>IF(A12="","",IF(E12="Unpresented cheque","Follow up with the payee; reissue if stale (&gt;3 months)","Confirm credit in the next statement; then it auto-matches"))</f>
        <v/>
      </c>
      <c r="G12" s="6">
        <f>IF(A12="","",Summary!$B$3-B12)</f>
        <v/>
      </c>
      <c r="H12" s="6">
        <f>IFERROR(SMALL(Raw_Book!$I$2:$I$128,1),"")</f>
        <v/>
      </c>
    </row>
    <row r="13">
      <c r="A13" s="6">
        <f>IF($H13="","",INDEX(Raw_Book!$B$2:$B$128,$H13))</f>
        <v/>
      </c>
      <c r="B13" s="5">
        <f>IF($H13="","",INDEX(Raw_Book!$A$2:$A$128,$H13))</f>
        <v/>
      </c>
      <c r="C13" s="7">
        <f>IF($H13="","",MAX(INDEX(Raw_Book!$D$2:$D$128,$H13),INDEX(Raw_Book!$E$2:$E$128,$H13)))</f>
        <v/>
      </c>
      <c r="D13" s="6">
        <f>IF(A13="","",IF(ISNUMBER(SEARCH("transit",A13)),"Receipt","Payment"))</f>
        <v/>
      </c>
      <c r="E13" s="6">
        <f>IF(A13="","",IF(ISNUMBER(SEARCH("unpresented",A13)),"Unpresented cheque","Deposit in transit"))</f>
        <v/>
      </c>
      <c r="F13" s="6">
        <f>IF(A13="","",IF(E13="Unpresented cheque","Follow up with the payee; reissue if stale (&gt;3 months)","Confirm credit in the next statement; then it auto-matches"))</f>
        <v/>
      </c>
      <c r="G13" s="6">
        <f>IF(A13="","",Summary!$B$3-B13)</f>
        <v/>
      </c>
      <c r="H13" s="6">
        <f>IFERROR(SMALL(Raw_Book!$I$2:$I$128,2),"")</f>
        <v/>
      </c>
    </row>
    <row r="14">
      <c r="A14" s="6">
        <f>IF($H14="","",INDEX(Raw_Book!$B$2:$B$128,$H14))</f>
        <v/>
      </c>
      <c r="B14" s="5">
        <f>IF($H14="","",INDEX(Raw_Book!$A$2:$A$128,$H14))</f>
        <v/>
      </c>
      <c r="C14" s="7">
        <f>IF($H14="","",MAX(INDEX(Raw_Book!$D$2:$D$128,$H14),INDEX(Raw_Book!$E$2:$E$128,$H14)))</f>
        <v/>
      </c>
      <c r="D14" s="6">
        <f>IF(A14="","",IF(ISNUMBER(SEARCH("transit",A14)),"Receipt","Payment"))</f>
        <v/>
      </c>
      <c r="E14" s="6">
        <f>IF(A14="","",IF(ISNUMBER(SEARCH("unpresented",A14)),"Unpresented cheque","Deposit in transit"))</f>
        <v/>
      </c>
      <c r="F14" s="6">
        <f>IF(A14="","",IF(E14="Unpresented cheque","Follow up with the payee; reissue if stale (&gt;3 months)","Confirm credit in the next statement; then it auto-matches"))</f>
        <v/>
      </c>
      <c r="G14" s="6">
        <f>IF(A14="","",Summary!$B$3-B14)</f>
        <v/>
      </c>
      <c r="H14" s="6">
        <f>IFERROR(SMALL(Raw_Book!$I$2:$I$128,3),"")</f>
        <v/>
      </c>
    </row>
    <row r="15">
      <c r="A15" s="6">
        <f>IF($H15="","",INDEX(Raw_Book!$B$2:$B$128,$H15))</f>
        <v/>
      </c>
      <c r="B15" s="5">
        <f>IF($H15="","",INDEX(Raw_Book!$A$2:$A$128,$H15))</f>
        <v/>
      </c>
      <c r="C15" s="7">
        <f>IF($H15="","",MAX(INDEX(Raw_Book!$D$2:$D$128,$H15),INDEX(Raw_Book!$E$2:$E$128,$H15)))</f>
        <v/>
      </c>
      <c r="D15" s="6">
        <f>IF(A15="","",IF(ISNUMBER(SEARCH("transit",A15)),"Receipt","Payment"))</f>
        <v/>
      </c>
      <c r="E15" s="6">
        <f>IF(A15="","",IF(ISNUMBER(SEARCH("unpresented",A15)),"Unpresented cheque","Deposit in transit"))</f>
        <v/>
      </c>
      <c r="F15" s="6">
        <f>IF(A15="","",IF(E15="Unpresented cheque","Follow up with the payee; reissue if stale (&gt;3 months)","Confirm credit in the next statement; then it auto-matches"))</f>
        <v/>
      </c>
      <c r="G15" s="6">
        <f>IF(A15="","",Summary!$B$3-B15)</f>
        <v/>
      </c>
      <c r="H15" s="6">
        <f>IFERROR(SMALL(Raw_Book!$I$2:$I$128,4),"")</f>
        <v/>
      </c>
    </row>
    <row r="16">
      <c r="A16" s="6">
        <f>IF($H16="","",INDEX(Raw_Book!$B$2:$B$128,$H16))</f>
        <v/>
      </c>
      <c r="B16" s="5">
        <f>IF($H16="","",INDEX(Raw_Book!$A$2:$A$128,$H16))</f>
        <v/>
      </c>
      <c r="C16" s="7">
        <f>IF($H16="","",MAX(INDEX(Raw_Book!$D$2:$D$128,$H16),INDEX(Raw_Book!$E$2:$E$128,$H16)))</f>
        <v/>
      </c>
      <c r="D16" s="6">
        <f>IF(A16="","",IF(ISNUMBER(SEARCH("transit",A16)),"Receipt","Payment"))</f>
        <v/>
      </c>
      <c r="E16" s="6">
        <f>IF(A16="","",IF(ISNUMBER(SEARCH("unpresented",A16)),"Unpresented cheque","Deposit in transit"))</f>
        <v/>
      </c>
      <c r="F16" s="6">
        <f>IF(A16="","",IF(E16="Unpresented cheque","Follow up with the payee; reissue if stale (&gt;3 months)","Confirm credit in the next statement; then it auto-matches"))</f>
        <v/>
      </c>
      <c r="G16" s="6">
        <f>IF(A16="","",Summary!$B$3-B16)</f>
        <v/>
      </c>
      <c r="H16" s="6">
        <f>IFERROR(SMALL(Raw_Book!$I$2:$I$128,5),"")</f>
        <v/>
      </c>
    </row>
    <row r="17">
      <c r="A17" s="6">
        <f>IF($H17="","",INDEX(Raw_Book!$B$2:$B$128,$H17))</f>
        <v/>
      </c>
      <c r="B17" s="5">
        <f>IF($H17="","",INDEX(Raw_Book!$A$2:$A$128,$H17))</f>
        <v/>
      </c>
      <c r="C17" s="7">
        <f>IF($H17="","",MAX(INDEX(Raw_Book!$D$2:$D$128,$H17),INDEX(Raw_Book!$E$2:$E$128,$H17)))</f>
        <v/>
      </c>
      <c r="D17" s="6">
        <f>IF(A17="","",IF(ISNUMBER(SEARCH("transit",A17)),"Receipt","Payment"))</f>
        <v/>
      </c>
      <c r="E17" s="6">
        <f>IF(A17="","",IF(ISNUMBER(SEARCH("unpresented",A17)),"Unpresented cheque","Deposit in transit"))</f>
        <v/>
      </c>
      <c r="F17" s="6">
        <f>IF(A17="","",IF(E17="Unpresented cheque","Follow up with the payee; reissue if stale (&gt;3 months)","Confirm credit in the next statement; then it auto-matches"))</f>
        <v/>
      </c>
      <c r="G17" s="6">
        <f>IF(A17="","",Summary!$B$3-B17)</f>
        <v/>
      </c>
      <c r="H17" s="6">
        <f>IFERROR(SMALL(Raw_Book!$I$2:$I$128,6),"")</f>
        <v/>
      </c>
    </row>
    <row r="18">
      <c r="A18" s="6">
        <f>IF($H18="","",INDEX(Raw_Book!$B$2:$B$128,$H18))</f>
        <v/>
      </c>
      <c r="B18" s="5">
        <f>IF($H18="","",INDEX(Raw_Book!$A$2:$A$128,$H18))</f>
        <v/>
      </c>
      <c r="C18" s="7">
        <f>IF($H18="","",MAX(INDEX(Raw_Book!$D$2:$D$128,$H18),INDEX(Raw_Book!$E$2:$E$128,$H18)))</f>
        <v/>
      </c>
      <c r="D18" s="6">
        <f>IF(A18="","",IF(ISNUMBER(SEARCH("transit",A18)),"Receipt","Payment"))</f>
        <v/>
      </c>
      <c r="E18" s="6">
        <f>IF(A18="","",IF(ISNUMBER(SEARCH("unpresented",A18)),"Unpresented cheque","Deposit in transit"))</f>
        <v/>
      </c>
      <c r="F18" s="6">
        <f>IF(A18="","",IF(E18="Unpresented cheque","Follow up with the payee; reissue if stale (&gt;3 months)","Confirm credit in the next statement; then it auto-matches"))</f>
        <v/>
      </c>
      <c r="G18" s="6">
        <f>IF(A18="","",Summary!$B$3-B18)</f>
        <v/>
      </c>
      <c r="H18" s="6">
        <f>IFERROR(SMALL(Raw_Book!$I$2:$I$128,7),"")</f>
        <v/>
      </c>
    </row>
    <row r="19">
      <c r="A19" s="6">
        <f>IF($H19="","",INDEX(Raw_Book!$B$2:$B$128,$H19))</f>
        <v/>
      </c>
      <c r="B19" s="5">
        <f>IF($H19="","",INDEX(Raw_Book!$A$2:$A$128,$H19))</f>
        <v/>
      </c>
      <c r="C19" s="7">
        <f>IF($H19="","",MAX(INDEX(Raw_Book!$D$2:$D$128,$H19),INDEX(Raw_Book!$E$2:$E$128,$H19)))</f>
        <v/>
      </c>
      <c r="D19" s="6">
        <f>IF(A19="","",IF(ISNUMBER(SEARCH("transit",A19)),"Receipt","Payment"))</f>
        <v/>
      </c>
      <c r="E19" s="6">
        <f>IF(A19="","",IF(ISNUMBER(SEARCH("unpresented",A19)),"Unpresented cheque","Deposit in transit"))</f>
        <v/>
      </c>
      <c r="F19" s="6">
        <f>IF(A19="","",IF(E19="Unpresented cheque","Follow up with the payee; reissue if stale (&gt;3 months)","Confirm credit in the next statement; then it auto-matches"))</f>
        <v/>
      </c>
      <c r="G19" s="6">
        <f>IF(A19="","",Summary!$B$3-B19)</f>
        <v/>
      </c>
      <c r="H19" s="6">
        <f>IFERROR(SMALL(Raw_Book!$I$2:$I$128,8),"")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</cols>
  <sheetData>
    <row r="1">
      <c r="A1" s="4" t="inlineStr">
        <is>
          <t>Date</t>
        </is>
      </c>
      <c r="B1" s="4" t="inlineStr">
        <is>
          <t>Bank balance (EOD)</t>
        </is>
      </c>
      <c r="C1" s="4" t="inlineStr">
        <is>
          <t>Book balance (EOD)</t>
        </is>
      </c>
    </row>
    <row r="2">
      <c r="A2" s="5" t="n">
        <v>46296</v>
      </c>
      <c r="B2" s="7">
        <f>Summary!$B$2+SUMIFS(Raw_Bank!$E$2:$E$129,Raw_Bank!$A$2:$A$129,"&lt;="&amp;A2)-SUMIFS(Raw_Bank!$D$2:$D$129,Raw_Bank!$A$2:$A$129,"&lt;="&amp;A2)</f>
        <v/>
      </c>
      <c r="C2" s="7">
        <f>Summary!$B$2+SUMIFS(Raw_Book!$D$2:$D$128,Raw_Book!$A$2:$A$128,"&lt;="&amp;A2)-SUMIFS(Raw_Book!$E$2:$E$128,Raw_Book!$A$2:$A$128,"&lt;="&amp;A2)</f>
        <v/>
      </c>
    </row>
    <row r="3">
      <c r="A3" s="5" t="n">
        <v>46297</v>
      </c>
      <c r="B3" s="7">
        <f>Summary!$B$2+SUMIFS(Raw_Bank!$E$2:$E$129,Raw_Bank!$A$2:$A$129,"&lt;="&amp;A3)-SUMIFS(Raw_Bank!$D$2:$D$129,Raw_Bank!$A$2:$A$129,"&lt;="&amp;A3)</f>
        <v/>
      </c>
      <c r="C3" s="7">
        <f>Summary!$B$2+SUMIFS(Raw_Book!$D$2:$D$128,Raw_Book!$A$2:$A$128,"&lt;="&amp;A3)-SUMIFS(Raw_Book!$E$2:$E$128,Raw_Book!$A$2:$A$128,"&lt;="&amp;A3)</f>
        <v/>
      </c>
    </row>
    <row r="4">
      <c r="A4" s="5" t="n">
        <v>46298</v>
      </c>
      <c r="B4" s="7">
        <f>Summary!$B$2+SUMIFS(Raw_Bank!$E$2:$E$129,Raw_Bank!$A$2:$A$129,"&lt;="&amp;A4)-SUMIFS(Raw_Bank!$D$2:$D$129,Raw_Bank!$A$2:$A$129,"&lt;="&amp;A4)</f>
        <v/>
      </c>
      <c r="C4" s="7">
        <f>Summary!$B$2+SUMIFS(Raw_Book!$D$2:$D$128,Raw_Book!$A$2:$A$128,"&lt;="&amp;A4)-SUMIFS(Raw_Book!$E$2:$E$128,Raw_Book!$A$2:$A$128,"&lt;="&amp;A4)</f>
        <v/>
      </c>
    </row>
    <row r="5">
      <c r="A5" s="5" t="n">
        <v>46299</v>
      </c>
      <c r="B5" s="7">
        <f>Summary!$B$2+SUMIFS(Raw_Bank!$E$2:$E$129,Raw_Bank!$A$2:$A$129,"&lt;="&amp;A5)-SUMIFS(Raw_Bank!$D$2:$D$129,Raw_Bank!$A$2:$A$129,"&lt;="&amp;A5)</f>
        <v/>
      </c>
      <c r="C5" s="7">
        <f>Summary!$B$2+SUMIFS(Raw_Book!$D$2:$D$128,Raw_Book!$A$2:$A$128,"&lt;="&amp;A5)-SUMIFS(Raw_Book!$E$2:$E$128,Raw_Book!$A$2:$A$128,"&lt;="&amp;A5)</f>
        <v/>
      </c>
    </row>
    <row r="6">
      <c r="A6" s="5" t="n">
        <v>46300</v>
      </c>
      <c r="B6" s="7">
        <f>Summary!$B$2+SUMIFS(Raw_Bank!$E$2:$E$129,Raw_Bank!$A$2:$A$129,"&lt;="&amp;A6)-SUMIFS(Raw_Bank!$D$2:$D$129,Raw_Bank!$A$2:$A$129,"&lt;="&amp;A6)</f>
        <v/>
      </c>
      <c r="C6" s="7">
        <f>Summary!$B$2+SUMIFS(Raw_Book!$D$2:$D$128,Raw_Book!$A$2:$A$128,"&lt;="&amp;A6)-SUMIFS(Raw_Book!$E$2:$E$128,Raw_Book!$A$2:$A$128,"&lt;="&amp;A6)</f>
        <v/>
      </c>
    </row>
    <row r="7">
      <c r="A7" s="5" t="n">
        <v>46301</v>
      </c>
      <c r="B7" s="7">
        <f>Summary!$B$2+SUMIFS(Raw_Bank!$E$2:$E$129,Raw_Bank!$A$2:$A$129,"&lt;="&amp;A7)-SUMIFS(Raw_Bank!$D$2:$D$129,Raw_Bank!$A$2:$A$129,"&lt;="&amp;A7)</f>
        <v/>
      </c>
      <c r="C7" s="7">
        <f>Summary!$B$2+SUMIFS(Raw_Book!$D$2:$D$128,Raw_Book!$A$2:$A$128,"&lt;="&amp;A7)-SUMIFS(Raw_Book!$E$2:$E$128,Raw_Book!$A$2:$A$128,"&lt;="&amp;A7)</f>
        <v/>
      </c>
    </row>
    <row r="8">
      <c r="A8" s="5" t="n">
        <v>46302</v>
      </c>
      <c r="B8" s="7">
        <f>Summary!$B$2+SUMIFS(Raw_Bank!$E$2:$E$129,Raw_Bank!$A$2:$A$129,"&lt;="&amp;A8)-SUMIFS(Raw_Bank!$D$2:$D$129,Raw_Bank!$A$2:$A$129,"&lt;="&amp;A8)</f>
        <v/>
      </c>
      <c r="C8" s="7">
        <f>Summary!$B$2+SUMIFS(Raw_Book!$D$2:$D$128,Raw_Book!$A$2:$A$128,"&lt;="&amp;A8)-SUMIFS(Raw_Book!$E$2:$E$128,Raw_Book!$A$2:$A$128,"&lt;="&amp;A8)</f>
        <v/>
      </c>
    </row>
    <row r="9">
      <c r="A9" s="5" t="n">
        <v>46303</v>
      </c>
      <c r="B9" s="7">
        <f>Summary!$B$2+SUMIFS(Raw_Bank!$E$2:$E$129,Raw_Bank!$A$2:$A$129,"&lt;="&amp;A9)-SUMIFS(Raw_Bank!$D$2:$D$129,Raw_Bank!$A$2:$A$129,"&lt;="&amp;A9)</f>
        <v/>
      </c>
      <c r="C9" s="7">
        <f>Summary!$B$2+SUMIFS(Raw_Book!$D$2:$D$128,Raw_Book!$A$2:$A$128,"&lt;="&amp;A9)-SUMIFS(Raw_Book!$E$2:$E$128,Raw_Book!$A$2:$A$128,"&lt;="&amp;A9)</f>
        <v/>
      </c>
    </row>
    <row r="10">
      <c r="A10" s="5" t="n">
        <v>46304</v>
      </c>
      <c r="B10" s="7">
        <f>Summary!$B$2+SUMIFS(Raw_Bank!$E$2:$E$129,Raw_Bank!$A$2:$A$129,"&lt;="&amp;A10)-SUMIFS(Raw_Bank!$D$2:$D$129,Raw_Bank!$A$2:$A$129,"&lt;="&amp;A10)</f>
        <v/>
      </c>
      <c r="C10" s="7">
        <f>Summary!$B$2+SUMIFS(Raw_Book!$D$2:$D$128,Raw_Book!$A$2:$A$128,"&lt;="&amp;A10)-SUMIFS(Raw_Book!$E$2:$E$128,Raw_Book!$A$2:$A$128,"&lt;="&amp;A10)</f>
        <v/>
      </c>
    </row>
    <row r="11">
      <c r="A11" s="5" t="n">
        <v>46305</v>
      </c>
      <c r="B11" s="7">
        <f>Summary!$B$2+SUMIFS(Raw_Bank!$E$2:$E$129,Raw_Bank!$A$2:$A$129,"&lt;="&amp;A11)-SUMIFS(Raw_Bank!$D$2:$D$129,Raw_Bank!$A$2:$A$129,"&lt;="&amp;A11)</f>
        <v/>
      </c>
      <c r="C11" s="7">
        <f>Summary!$B$2+SUMIFS(Raw_Book!$D$2:$D$128,Raw_Book!$A$2:$A$128,"&lt;="&amp;A11)-SUMIFS(Raw_Book!$E$2:$E$128,Raw_Book!$A$2:$A$128,"&lt;="&amp;A11)</f>
        <v/>
      </c>
    </row>
    <row r="12">
      <c r="A12" s="5" t="n">
        <v>46306</v>
      </c>
      <c r="B12" s="7">
        <f>Summary!$B$2+SUMIFS(Raw_Bank!$E$2:$E$129,Raw_Bank!$A$2:$A$129,"&lt;="&amp;A12)-SUMIFS(Raw_Bank!$D$2:$D$129,Raw_Bank!$A$2:$A$129,"&lt;="&amp;A12)</f>
        <v/>
      </c>
      <c r="C12" s="7">
        <f>Summary!$B$2+SUMIFS(Raw_Book!$D$2:$D$128,Raw_Book!$A$2:$A$128,"&lt;="&amp;A12)-SUMIFS(Raw_Book!$E$2:$E$128,Raw_Book!$A$2:$A$128,"&lt;="&amp;A12)</f>
        <v/>
      </c>
    </row>
    <row r="13">
      <c r="A13" s="5" t="n">
        <v>46307</v>
      </c>
      <c r="B13" s="7">
        <f>Summary!$B$2+SUMIFS(Raw_Bank!$E$2:$E$129,Raw_Bank!$A$2:$A$129,"&lt;="&amp;A13)-SUMIFS(Raw_Bank!$D$2:$D$129,Raw_Bank!$A$2:$A$129,"&lt;="&amp;A13)</f>
        <v/>
      </c>
      <c r="C13" s="7">
        <f>Summary!$B$2+SUMIFS(Raw_Book!$D$2:$D$128,Raw_Book!$A$2:$A$128,"&lt;="&amp;A13)-SUMIFS(Raw_Book!$E$2:$E$128,Raw_Book!$A$2:$A$128,"&lt;="&amp;A13)</f>
        <v/>
      </c>
    </row>
    <row r="14">
      <c r="A14" s="5" t="n">
        <v>46308</v>
      </c>
      <c r="B14" s="7">
        <f>Summary!$B$2+SUMIFS(Raw_Bank!$E$2:$E$129,Raw_Bank!$A$2:$A$129,"&lt;="&amp;A14)-SUMIFS(Raw_Bank!$D$2:$D$129,Raw_Bank!$A$2:$A$129,"&lt;="&amp;A14)</f>
        <v/>
      </c>
      <c r="C14" s="7">
        <f>Summary!$B$2+SUMIFS(Raw_Book!$D$2:$D$128,Raw_Book!$A$2:$A$128,"&lt;="&amp;A14)-SUMIFS(Raw_Book!$E$2:$E$128,Raw_Book!$A$2:$A$128,"&lt;="&amp;A14)</f>
        <v/>
      </c>
    </row>
    <row r="15">
      <c r="A15" s="5" t="n">
        <v>46309</v>
      </c>
      <c r="B15" s="7">
        <f>Summary!$B$2+SUMIFS(Raw_Bank!$E$2:$E$129,Raw_Bank!$A$2:$A$129,"&lt;="&amp;A15)-SUMIFS(Raw_Bank!$D$2:$D$129,Raw_Bank!$A$2:$A$129,"&lt;="&amp;A15)</f>
        <v/>
      </c>
      <c r="C15" s="7">
        <f>Summary!$B$2+SUMIFS(Raw_Book!$D$2:$D$128,Raw_Book!$A$2:$A$128,"&lt;="&amp;A15)-SUMIFS(Raw_Book!$E$2:$E$128,Raw_Book!$A$2:$A$128,"&lt;="&amp;A15)</f>
        <v/>
      </c>
    </row>
    <row r="16">
      <c r="A16" s="5" t="n">
        <v>46310</v>
      </c>
      <c r="B16" s="7">
        <f>Summary!$B$2+SUMIFS(Raw_Bank!$E$2:$E$129,Raw_Bank!$A$2:$A$129,"&lt;="&amp;A16)-SUMIFS(Raw_Bank!$D$2:$D$129,Raw_Bank!$A$2:$A$129,"&lt;="&amp;A16)</f>
        <v/>
      </c>
      <c r="C16" s="7">
        <f>Summary!$B$2+SUMIFS(Raw_Book!$D$2:$D$128,Raw_Book!$A$2:$A$128,"&lt;="&amp;A16)-SUMIFS(Raw_Book!$E$2:$E$128,Raw_Book!$A$2:$A$128,"&lt;="&amp;A16)</f>
        <v/>
      </c>
    </row>
    <row r="17">
      <c r="A17" s="5" t="n">
        <v>46311</v>
      </c>
      <c r="B17" s="7">
        <f>Summary!$B$2+SUMIFS(Raw_Bank!$E$2:$E$129,Raw_Bank!$A$2:$A$129,"&lt;="&amp;A17)-SUMIFS(Raw_Bank!$D$2:$D$129,Raw_Bank!$A$2:$A$129,"&lt;="&amp;A17)</f>
        <v/>
      </c>
      <c r="C17" s="7">
        <f>Summary!$B$2+SUMIFS(Raw_Book!$D$2:$D$128,Raw_Book!$A$2:$A$128,"&lt;="&amp;A17)-SUMIFS(Raw_Book!$E$2:$E$128,Raw_Book!$A$2:$A$128,"&lt;="&amp;A17)</f>
        <v/>
      </c>
    </row>
    <row r="18">
      <c r="A18" s="5" t="n">
        <v>46312</v>
      </c>
      <c r="B18" s="7">
        <f>Summary!$B$2+SUMIFS(Raw_Bank!$E$2:$E$129,Raw_Bank!$A$2:$A$129,"&lt;="&amp;A18)-SUMIFS(Raw_Bank!$D$2:$D$129,Raw_Bank!$A$2:$A$129,"&lt;="&amp;A18)</f>
        <v/>
      </c>
      <c r="C18" s="7">
        <f>Summary!$B$2+SUMIFS(Raw_Book!$D$2:$D$128,Raw_Book!$A$2:$A$128,"&lt;="&amp;A18)-SUMIFS(Raw_Book!$E$2:$E$128,Raw_Book!$A$2:$A$128,"&lt;="&amp;A18)</f>
        <v/>
      </c>
    </row>
    <row r="19">
      <c r="A19" s="5" t="n">
        <v>46313</v>
      </c>
      <c r="B19" s="7">
        <f>Summary!$B$2+SUMIFS(Raw_Bank!$E$2:$E$129,Raw_Bank!$A$2:$A$129,"&lt;="&amp;A19)-SUMIFS(Raw_Bank!$D$2:$D$129,Raw_Bank!$A$2:$A$129,"&lt;="&amp;A19)</f>
        <v/>
      </c>
      <c r="C19" s="7">
        <f>Summary!$B$2+SUMIFS(Raw_Book!$D$2:$D$128,Raw_Book!$A$2:$A$128,"&lt;="&amp;A19)-SUMIFS(Raw_Book!$E$2:$E$128,Raw_Book!$A$2:$A$128,"&lt;="&amp;A19)</f>
        <v/>
      </c>
    </row>
    <row r="20">
      <c r="A20" s="5" t="n">
        <v>46314</v>
      </c>
      <c r="B20" s="7">
        <f>Summary!$B$2+SUMIFS(Raw_Bank!$E$2:$E$129,Raw_Bank!$A$2:$A$129,"&lt;="&amp;A20)-SUMIFS(Raw_Bank!$D$2:$D$129,Raw_Bank!$A$2:$A$129,"&lt;="&amp;A20)</f>
        <v/>
      </c>
      <c r="C20" s="7">
        <f>Summary!$B$2+SUMIFS(Raw_Book!$D$2:$D$128,Raw_Book!$A$2:$A$128,"&lt;="&amp;A20)-SUMIFS(Raw_Book!$E$2:$E$128,Raw_Book!$A$2:$A$128,"&lt;="&amp;A20)</f>
        <v/>
      </c>
    </row>
    <row r="21">
      <c r="A21" s="5" t="n">
        <v>46315</v>
      </c>
      <c r="B21" s="7">
        <f>Summary!$B$2+SUMIFS(Raw_Bank!$E$2:$E$129,Raw_Bank!$A$2:$A$129,"&lt;="&amp;A21)-SUMIFS(Raw_Bank!$D$2:$D$129,Raw_Bank!$A$2:$A$129,"&lt;="&amp;A21)</f>
        <v/>
      </c>
      <c r="C21" s="7">
        <f>Summary!$B$2+SUMIFS(Raw_Book!$D$2:$D$128,Raw_Book!$A$2:$A$128,"&lt;="&amp;A21)-SUMIFS(Raw_Book!$E$2:$E$128,Raw_Book!$A$2:$A$128,"&lt;="&amp;A21)</f>
        <v/>
      </c>
    </row>
    <row r="22">
      <c r="A22" s="5" t="n">
        <v>46316</v>
      </c>
      <c r="B22" s="7">
        <f>Summary!$B$2+SUMIFS(Raw_Bank!$E$2:$E$129,Raw_Bank!$A$2:$A$129,"&lt;="&amp;A22)-SUMIFS(Raw_Bank!$D$2:$D$129,Raw_Bank!$A$2:$A$129,"&lt;="&amp;A22)</f>
        <v/>
      </c>
      <c r="C22" s="7">
        <f>Summary!$B$2+SUMIFS(Raw_Book!$D$2:$D$128,Raw_Book!$A$2:$A$128,"&lt;="&amp;A22)-SUMIFS(Raw_Book!$E$2:$E$128,Raw_Book!$A$2:$A$128,"&lt;="&amp;A22)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</cols>
  <sheetData>
    <row r="1">
      <c r="A1" s="1" t="inlineStr">
        <is>
          <t>Bank reconciliation — Mehta Trading Co. (demo)</t>
        </is>
      </c>
    </row>
    <row r="2">
      <c r="A2" s="6" t="inlineStr">
        <is>
          <t>Opening balance 30-Sep-2026</t>
        </is>
      </c>
      <c r="B2" s="8" t="n">
        <v>4500000</v>
      </c>
    </row>
    <row r="3">
      <c r="A3" s="6" t="inlineStr">
        <is>
          <t>As-of date</t>
        </is>
      </c>
      <c r="B3" s="9" t="n">
        <v>46316</v>
      </c>
    </row>
    <row r="4">
      <c r="A4" s="6" t="inlineStr">
        <is>
          <t>Balance per bank statement</t>
        </is>
      </c>
      <c r="B4" s="7">
        <f>Raw_Bank!F129</f>
        <v/>
      </c>
    </row>
    <row r="5">
      <c r="A5" s="6" t="inlineStr">
        <is>
          <t>Balance per books</t>
        </is>
      </c>
      <c r="B5" s="7">
        <f>Raw_Book!F128</f>
        <v/>
      </c>
    </row>
    <row r="6">
      <c r="A6" s="10" t="inlineStr">
        <is>
          <t>Walk — bank side</t>
        </is>
      </c>
      <c r="B6" s="6" t="n"/>
    </row>
    <row r="7">
      <c r="A7" s="6" t="inlineStr">
        <is>
          <t>Balance per bank statement</t>
        </is>
      </c>
      <c r="B7" s="7">
        <f>B4</f>
        <v/>
      </c>
    </row>
    <row r="8">
      <c r="A8" s="6" t="inlineStr">
        <is>
          <t>Add: bank charges not yet in books</t>
        </is>
      </c>
      <c r="B8" s="7">
        <f>SUMIFS(Unmatched!$C$3:$C$8,Unmatched!$E$3:$E$8,"Bank charges")</f>
        <v/>
      </c>
    </row>
    <row r="9">
      <c r="A9" s="6" t="inlineStr">
        <is>
          <t>Less: interest credited, not yet in books</t>
        </is>
      </c>
      <c r="B9" s="7">
        <f>SUMIFS(Unmatched!$C$3:$C$8,Unmatched!$E$3:$E$8,"Interest credited")</f>
        <v/>
      </c>
    </row>
    <row r="10">
      <c r="A10" s="6" t="inlineStr">
        <is>
          <t>Less: unidentified deposits, not yet in books</t>
        </is>
      </c>
      <c r="B10" s="7">
        <f>SUMIFS(Unmatched!$C$3:$C$8,Unmatched!$E$3:$E$8,"Unidentified deposit")</f>
        <v/>
      </c>
    </row>
    <row r="11">
      <c r="A11" s="6" t="inlineStr">
        <is>
          <t>Adjusted bank balance</t>
        </is>
      </c>
      <c r="B11" s="11">
        <f>B7+B8-B9-B10</f>
        <v/>
      </c>
    </row>
    <row r="12">
      <c r="A12" s="10" t="inlineStr">
        <is>
          <t>Walk — book side</t>
        </is>
      </c>
      <c r="B12" s="6" t="n"/>
    </row>
    <row r="13">
      <c r="A13" s="6" t="inlineStr">
        <is>
          <t>Balance per books</t>
        </is>
      </c>
      <c r="B13" s="7">
        <f>B5</f>
        <v/>
      </c>
    </row>
    <row r="14">
      <c r="A14" s="6" t="inlineStr">
        <is>
          <t>Add: cheques issued, not yet presented</t>
        </is>
      </c>
      <c r="B14" s="7">
        <f>SUMIFS(Unmatched!$C$12:$C$19,Unmatched!$E$12:$E$19,"Unpresented cheque")</f>
        <v/>
      </c>
    </row>
    <row r="15">
      <c r="A15" s="6" t="inlineStr">
        <is>
          <t>Less: deposits in transit</t>
        </is>
      </c>
      <c r="B15" s="7">
        <f>SUMIFS(Unmatched!$C$12:$C$19,Unmatched!$E$12:$E$19,"Deposit in transit")</f>
        <v/>
      </c>
    </row>
    <row r="16">
      <c r="A16" s="6" t="inlineStr">
        <is>
          <t>Adjusted book balance</t>
        </is>
      </c>
      <c r="B16" s="11">
        <f>B13+B14-B15</f>
        <v/>
      </c>
    </row>
    <row r="17">
      <c r="A17" s="6" t="inlineStr">
        <is>
          <t>Reconciliation difference (must be 0)</t>
        </is>
      </c>
      <c r="B17" s="11">
        <f>B11-B16</f>
        <v/>
      </c>
    </row>
    <row r="18">
      <c r="A18" s="6" t="n"/>
      <c r="B18" s="6" t="n"/>
    </row>
    <row r="19">
      <c r="A19" s="6" t="inlineStr">
        <is>
          <t>Total receipts (bank)</t>
        </is>
      </c>
      <c r="B19" s="7">
        <f>SUM(Raw_Bank!$E$2:$E$129)</f>
        <v/>
      </c>
    </row>
    <row r="20">
      <c r="A20" s="6" t="inlineStr">
        <is>
          <t>Total payments (bank)</t>
        </is>
      </c>
      <c r="B20" s="7">
        <f>SUM(Raw_Bank!$D$2:$D$129)</f>
        <v/>
      </c>
    </row>
    <row r="21">
      <c r="A21" s="6" t="inlineStr">
        <is>
          <t>Lines matched</t>
        </is>
      </c>
      <c r="B21" s="6">
        <f>COUNTIF(Recon!$K$2:$K$129,"MATCHED")</f>
        <v/>
      </c>
    </row>
    <row r="22">
      <c r="A22" s="6" t="inlineStr">
        <is>
          <t>Unmatched — bank side</t>
        </is>
      </c>
      <c r="B22" s="6">
        <f>COUNTIF(Recon!$K$2:$K$129,"UNMATCHED")</f>
        <v/>
      </c>
    </row>
    <row r="23">
      <c r="A23" s="6" t="inlineStr">
        <is>
          <t>Unmatched — book side</t>
        </is>
      </c>
      <c r="B23" s="6">
        <f>COUNTIF(Raw_Book!$H$2:$H$128,FALSE)</f>
        <v/>
      </c>
    </row>
    <row r="24">
      <c r="A24" s="6" t="inlineStr">
        <is>
          <t>Match rate</t>
        </is>
      </c>
      <c r="B24" s="12">
        <f>B21/(B21+B22)</f>
        <v/>
      </c>
    </row>
    <row r="25">
      <c r="A25" s="6" t="inlineStr">
        <is>
          <t>Oldest outstanding item (days)</t>
        </is>
      </c>
      <c r="B25" s="6">
        <f>MAX(Unmatched!$G$3:$G$8,Unmatched!$G$12:$G$19)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4" customWidth="1" min="4" max="4"/>
    <col width="18" customWidth="1" min="5" max="5"/>
  </cols>
  <sheetData>
    <row r="1">
      <c r="A1" s="1" t="inlineStr">
        <is>
          <t>Reconciliation dashboard — as of 21 Oct 2026</t>
        </is>
      </c>
    </row>
    <row r="3">
      <c r="A3" s="13" t="inlineStr">
        <is>
          <t>Match rate</t>
        </is>
      </c>
      <c r="B3" s="14">
        <f>Summary!B24</f>
        <v/>
      </c>
      <c r="D3" s="13" t="inlineStr">
        <is>
          <t>Bank balance</t>
        </is>
      </c>
      <c r="E3" s="15">
        <f>Summary!B4</f>
        <v/>
      </c>
    </row>
    <row r="4">
      <c r="A4" s="13" t="inlineStr">
        <is>
          <t>Lines matched</t>
        </is>
      </c>
      <c r="B4" s="16">
        <f>Summary!B21</f>
        <v/>
      </c>
      <c r="D4" s="13" t="inlineStr">
        <is>
          <t>Book balance</t>
        </is>
      </c>
      <c r="E4" s="15">
        <f>Summary!B5</f>
        <v/>
      </c>
    </row>
    <row r="5">
      <c r="A5" s="13" t="inlineStr">
        <is>
          <t>Unmatched items</t>
        </is>
      </c>
      <c r="B5" s="16">
        <f>Summary!B22+Summary!B23</f>
        <v/>
      </c>
      <c r="D5" s="13" t="inlineStr">
        <is>
          <t>Adjusted balance</t>
        </is>
      </c>
      <c r="E5" s="15">
        <f>Summary!B11</f>
        <v/>
      </c>
    </row>
    <row r="6">
      <c r="A6" s="13" t="inlineStr">
        <is>
          <t>Recon difference</t>
        </is>
      </c>
      <c r="B6" s="15">
        <f>Summary!B17</f>
        <v/>
      </c>
      <c r="D6" s="13" t="inlineStr">
        <is>
          <t>Oldest outstanding (days)</t>
        </is>
      </c>
      <c r="E6" s="16">
        <f>Summary!B25</f>
        <v/>
      </c>
    </row>
    <row r="9">
      <c r="A9" t="inlineStr">
        <is>
          <t>Status</t>
        </is>
      </c>
      <c r="B9" t="inlineStr">
        <is>
          <t>Lines</t>
        </is>
      </c>
    </row>
    <row r="10">
      <c r="A10" t="inlineStr">
        <is>
          <t>Matched</t>
        </is>
      </c>
      <c r="B10">
        <f>Summary!B21</f>
        <v/>
      </c>
    </row>
    <row r="11">
      <c r="A11" t="inlineStr">
        <is>
          <t>Unmatched</t>
        </is>
      </c>
      <c r="B11">
        <f>Summary!B22</f>
        <v/>
      </c>
    </row>
    <row r="13">
      <c r="A13" t="inlineStr">
        <is>
          <t>Reason</t>
        </is>
      </c>
      <c r="B13" t="inlineStr">
        <is>
          <t>Amount</t>
        </is>
      </c>
    </row>
    <row r="14">
      <c r="A14" t="inlineStr">
        <is>
          <t>Bank charges</t>
        </is>
      </c>
      <c r="B14" s="17">
        <f>Summary!B8</f>
        <v/>
      </c>
    </row>
    <row r="15">
      <c r="A15" t="inlineStr">
        <is>
          <t>Interest credited</t>
        </is>
      </c>
      <c r="B15" s="17">
        <f>Summary!B9</f>
        <v/>
      </c>
    </row>
    <row r="16">
      <c r="A16" t="inlineStr">
        <is>
          <t>Unidentified deposit</t>
        </is>
      </c>
      <c r="B16" s="17">
        <f>Summary!B10</f>
        <v/>
      </c>
    </row>
    <row r="17">
      <c r="A17" t="inlineStr">
        <is>
          <t>Unpresented cheques</t>
        </is>
      </c>
      <c r="B17" s="17">
        <f>Summary!B14</f>
        <v/>
      </c>
    </row>
    <row r="18">
      <c r="A18" t="inlineStr">
        <is>
          <t>Deposits in transit</t>
        </is>
      </c>
      <c r="B18" s="17">
        <f>Summary!B15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64" customWidth="1" min="2" max="2"/>
    <col width="12" customWidth="1" min="3" max="3"/>
  </cols>
  <sheetData>
    <row r="1">
      <c r="A1" s="4" t="inlineStr">
        <is>
          <t>#</t>
        </is>
      </c>
      <c r="B1" s="4" t="inlineStr">
        <is>
          <t>Check</t>
        </is>
      </c>
      <c r="C1" s="4" t="inlineStr">
        <is>
          <t>Result</t>
        </is>
      </c>
    </row>
    <row r="2">
      <c r="A2" s="6" t="n">
        <v>1</v>
      </c>
      <c r="B2" s="6" t="inlineStr">
        <is>
          <t>Every bank line classified (MATCHED/UNMATCHED)</t>
        </is>
      </c>
      <c r="C2" s="6">
        <f>COUNTA(Recon!$K$2:$K$129)=128</f>
        <v/>
      </c>
    </row>
    <row r="3">
      <c r="A3" s="6" t="n">
        <v>2</v>
      </c>
      <c r="B3" s="6" t="inlineStr">
        <is>
          <t>Matched pairs agree on amount (total diff = 0)</t>
        </is>
      </c>
      <c r="C3" s="6">
        <f>SUMIFS(Recon!$M$2:$M$129,Recon!$K$2:$K$129,"MATCHED")=0</f>
        <v/>
      </c>
    </row>
    <row r="4">
      <c r="A4" s="6" t="n">
        <v>3</v>
      </c>
      <c r="B4" s="6" t="inlineStr">
        <is>
          <t>Reconciliation difference is zero</t>
        </is>
      </c>
      <c r="C4" s="6">
        <f>Summary!$B$17=0</f>
        <v/>
      </c>
    </row>
    <row r="5">
      <c r="A5" s="6" t="n">
        <v>4</v>
      </c>
      <c r="B5" s="6" t="inlineStr">
        <is>
          <t>124 book lines matched</t>
        </is>
      </c>
      <c r="C5" s="6">
        <f>COUNTIF(Raw_Book!$H$2:$H$128,TRUE)=124</f>
        <v/>
      </c>
    </row>
    <row r="6">
      <c r="A6" s="6" t="n">
        <v>5</v>
      </c>
      <c r="B6" s="6" t="inlineStr">
        <is>
          <t>4 unmatched bank-side items</t>
        </is>
      </c>
      <c r="C6" s="6">
        <f>Summary!$B$22=4</f>
        <v/>
      </c>
    </row>
    <row r="7">
      <c r="A7" s="6" t="n">
        <v>6</v>
      </c>
      <c r="B7" s="6" t="inlineStr">
        <is>
          <t>3 unmatched book-side items</t>
        </is>
      </c>
      <c r="C7" s="6">
        <f>Summary!$B$23=3</f>
        <v/>
      </c>
    </row>
    <row r="8">
      <c r="A8" s="6" t="n">
        <v>7</v>
      </c>
      <c r="B8" s="6" t="inlineStr">
        <is>
          <t>Daily bank EOD ties to statement balance</t>
        </is>
      </c>
      <c r="C8" s="6">
        <f>Daily!$B$22=Summary!$B$4</f>
        <v/>
      </c>
    </row>
    <row r="9">
      <c r="A9" s="6" t="n">
        <v>8</v>
      </c>
      <c r="B9" s="6" t="inlineStr">
        <is>
          <t>Daily book EOD ties to ledger balance</t>
        </is>
      </c>
      <c r="C9" s="6">
        <f>Daily!$C$22=Summary!$B$5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2026-10-22T03:46:51+00:00Z</dcterms:created>
  <dcterms:modified xmlns:dcterms="http://purl.org/dc/terms/" xmlns:xsi="http://www.w3.org/2001/XMLSchema-instance" xsi:type="dcterms:W3CDTF">2026-10-22T03:46:51+00:00Z</dcterms:modified>
</cp:coreProperties>
</file>