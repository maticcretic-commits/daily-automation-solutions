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P" sheetId="1" state="visible" r:id="rId1"/>
    <sheet xmlns:r="http://schemas.openxmlformats.org/officeDocument/2006/relationships" name="Raw_AR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Bank" sheetId="4" state="visible" r:id="rId4"/>
    <sheet xmlns:r="http://schemas.openxmlformats.org/officeDocument/2006/relationships" name="Bank_Rec" sheetId="5" state="visible" r:id="rId5"/>
    <sheet xmlns:r="http://schemas.openxmlformats.org/officeDocument/2006/relationships" name="AP_Aging" sheetId="6" state="visible" r:id="rId6"/>
    <sheet xmlns:r="http://schemas.openxmlformats.org/officeDocument/2006/relationships" name="AR_Aging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Dashboard" sheetId="9" state="visible" r:id="rId9"/>
  </sheets>
  <definedNames>
    <definedName name="AsOf">Dashboard!$B$3</definedName>
    <definedName name="BookOpen">Dashboard!$B$4</definedName>
    <definedName name="PeriodStart">Dashboard!$E$1</definedName>
    <definedName name="PeriodEnd">Dashboard!$E$2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  <sz val="16"/>
    </font>
    <font>
      <i val="1"/>
      <color rgb="00808080"/>
    </font>
    <font>
      <b val="1"/>
      <color rgb="001F4E78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7" fontId="0" fillId="0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 vs AR Aging Buckets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v>AP Outstanding</v>
          </tx>
          <spPr>
            <a:ln xmlns:a="http://schemas.openxmlformats.org/drawingml/2006/main">
              <a:prstDash val="solid"/>
            </a:ln>
          </spPr>
          <cat>
            <numRef>
              <f>'AP_Aging'!$A$3:$A$7</f>
            </numRef>
          </cat>
          <val>
            <numRef>
              <f>'AP_Aging'!$B$3:$B$7</f>
            </numRef>
          </val>
        </ser>
        <ser>
          <idx val="1"/>
          <order val="1"/>
          <tx>
            <v>AR Outstanding</v>
          </tx>
          <spPr>
            <a:ln xmlns:a="http://schemas.openxmlformats.org/drawingml/2006/main">
              <a:prstDash val="solid"/>
            </a:ln>
          </spPr>
          <cat>
            <numRef>
              <f>'AP_Aging'!$A$3:$A$7</f>
            </numRef>
          </cat>
          <val>
            <numRef>
              <f>'AR_Aging'!$B$3:$B$7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'P&amp;L'!$B$4:$G$4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'P&amp;L'!$B$5:$G$5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'P&amp;L'!$B$6:$G$6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'P&amp;L'!$B$7:$G$7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'P&amp;L'!$B$8:$G$8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'P&amp;L'!$B$9:$G$9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'P&amp;L'!$B$10:$G$10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'P&amp;L'!$B$11:$G$11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Payroll by Department (6 mo)</a:t>
            </a:r>
          </a:p>
        </rich>
      </tx>
    </title>
    <plotArea>
      <pieChart>
        <varyColors val="1"/>
        <ser>
          <idx val="0"/>
          <order val="0"/>
          <tx>
            <strRef>
              <f>'Dashboard'!H6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'Dashboard'!$G$7:$G$9</f>
            </numRef>
          </cat>
          <val>
            <numRef>
              <f>'Dashboard'!$H$7:$H$9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9" customWidth="1" min="8" max="8"/>
    <col width="12" customWidth="1" min="9" max="9"/>
    <col width="13" customWidth="1" min="10" max="10"/>
    <col width="13" customWidth="1" min="11" max="11"/>
    <col width="14" customWidth="1" min="12" max="12"/>
  </cols>
  <sheetData>
    <row r="1">
      <c r="A1" s="1" t="inlineStr">
        <is>
          <t>Bill ID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Paid Date</t>
        </is>
      </c>
      <c r="G1" s="1" t="inlineStr">
        <is>
          <t>Pay Mode</t>
        </is>
      </c>
      <c r="H1" s="1" t="inlineStr">
        <is>
          <t>Cleared</t>
        </is>
      </c>
      <c r="I1" s="1" t="inlineStr">
        <is>
          <t>Category</t>
        </is>
      </c>
      <c r="J1" s="1" t="inlineStr">
        <is>
          <t>Days Overdue</t>
        </is>
      </c>
      <c r="K1" s="1" t="inlineStr">
        <is>
          <t>Aging Bucket</t>
        </is>
      </c>
      <c r="L1" s="1" t="inlineStr">
        <is>
          <t>Outstanding</t>
        </is>
      </c>
    </row>
    <row r="2">
      <c r="A2" t="inlineStr">
        <is>
          <t>BILL-0001</t>
        </is>
      </c>
      <c r="B2" t="inlineStr">
        <is>
          <t>Das Brothers</t>
        </is>
      </c>
      <c r="C2" s="2" t="n">
        <v>46124</v>
      </c>
      <c r="D2" s="2" t="n">
        <v>46154</v>
      </c>
      <c r="E2" s="3" t="n">
        <v>134023</v>
      </c>
      <c r="G2" t="inlineStr">
        <is>
          <t>bank</t>
        </is>
      </c>
      <c r="H2" t="n">
        <v>1</v>
      </c>
      <c r="I2" t="inlineStr">
        <is>
          <t>Utilities</t>
        </is>
      </c>
      <c r="J2">
        <f>IF(F2="",AsOf-D2,F2-D2)</f>
        <v/>
      </c>
      <c r="K2">
        <f>IF(F2&lt;&gt;"","Paid",IF(J2&lt;=0,"Current",IF(J2&lt;=30,"1-30",IF(J2&lt;=60,"31-60",IF(J2&lt;=90,"61-90","90+")))))</f>
        <v/>
      </c>
      <c r="L2">
        <f>IF(F2="",E2,0)</f>
        <v/>
      </c>
    </row>
    <row r="3">
      <c r="A3" t="inlineStr">
        <is>
          <t>BILL-0002</t>
        </is>
      </c>
      <c r="B3" t="inlineStr">
        <is>
          <t>Verma Agro</t>
        </is>
      </c>
      <c r="C3" s="2" t="n">
        <v>46114</v>
      </c>
      <c r="D3" s="2" t="n">
        <v>46144</v>
      </c>
      <c r="E3" s="3" t="n">
        <v>178568</v>
      </c>
      <c r="F3" s="2" t="n">
        <v>46157</v>
      </c>
      <c r="G3" t="inlineStr">
        <is>
          <t>bank</t>
        </is>
      </c>
      <c r="H3" t="n">
        <v>1</v>
      </c>
      <c r="I3" t="inlineStr">
        <is>
          <t>Services</t>
        </is>
      </c>
      <c r="J3">
        <f>IF(F3="",AsOf-D3,F3-D3)</f>
        <v/>
      </c>
      <c r="K3">
        <f>IF(F3&lt;&gt;"","Paid",IF(J3&lt;=0,"Current",IF(J3&lt;=30,"1-30",IF(J3&lt;=60,"31-60",IF(J3&lt;=90,"61-90","90+")))))</f>
        <v/>
      </c>
      <c r="L3">
        <f>IF(F3="",E3,0)</f>
        <v/>
      </c>
    </row>
    <row r="4">
      <c r="A4" t="inlineStr">
        <is>
          <t>BILL-0003</t>
        </is>
      </c>
      <c r="B4" t="inlineStr">
        <is>
          <t>Verma Agro</t>
        </is>
      </c>
      <c r="C4" s="2" t="n">
        <v>46128</v>
      </c>
      <c r="D4" s="2" t="n">
        <v>46158</v>
      </c>
      <c r="E4" s="3" t="n">
        <v>230083</v>
      </c>
      <c r="F4" s="2" t="n">
        <v>46148</v>
      </c>
      <c r="G4" t="inlineStr">
        <is>
          <t>bank</t>
        </is>
      </c>
      <c r="H4" t="n">
        <v>1</v>
      </c>
      <c r="I4" t="inlineStr">
        <is>
          <t>Purchases</t>
        </is>
      </c>
      <c r="J4">
        <f>IF(F4="",AsOf-D4,F4-D4)</f>
        <v/>
      </c>
      <c r="K4">
        <f>IF(F4&lt;&gt;"","Paid",IF(J4&lt;=0,"Current",IF(J4&lt;=30,"1-30",IF(J4&lt;=60,"31-60",IF(J4&lt;=90,"61-90","90+")))))</f>
        <v/>
      </c>
      <c r="L4">
        <f>IF(F4="",E4,0)</f>
        <v/>
      </c>
    </row>
    <row r="5">
      <c r="A5" t="inlineStr">
        <is>
          <t>BILL-0004</t>
        </is>
      </c>
      <c r="B5" t="inlineStr">
        <is>
          <t>Singh &amp; Co</t>
        </is>
      </c>
      <c r="C5" s="2" t="n">
        <v>46119</v>
      </c>
      <c r="D5" s="2" t="n">
        <v>46149</v>
      </c>
      <c r="E5" s="3" t="n">
        <v>105277</v>
      </c>
      <c r="G5" t="inlineStr">
        <is>
          <t>bank</t>
        </is>
      </c>
      <c r="H5" t="n">
        <v>1</v>
      </c>
      <c r="I5" t="inlineStr">
        <is>
          <t>Services</t>
        </is>
      </c>
      <c r="J5">
        <f>IF(F5="",AsOf-D5,F5-D5)</f>
        <v/>
      </c>
      <c r="K5">
        <f>IF(F5&lt;&gt;"","Paid",IF(J5&lt;=0,"Current",IF(J5&lt;=30,"1-30",IF(J5&lt;=60,"31-60",IF(J5&lt;=90,"61-90","90+")))))</f>
        <v/>
      </c>
      <c r="L5">
        <f>IF(F5="",E5,0)</f>
        <v/>
      </c>
    </row>
    <row r="6">
      <c r="A6" t="inlineStr">
        <is>
          <t>BILL-0005</t>
        </is>
      </c>
      <c r="B6" t="inlineStr">
        <is>
          <t>Mehta Enterprises</t>
        </is>
      </c>
      <c r="C6" s="2" t="n">
        <v>46126</v>
      </c>
      <c r="D6" s="2" t="n">
        <v>46156</v>
      </c>
      <c r="E6" s="3" t="n">
        <v>179327</v>
      </c>
      <c r="G6" t="inlineStr">
        <is>
          <t>bank</t>
        </is>
      </c>
      <c r="H6" t="n">
        <v>1</v>
      </c>
      <c r="I6" t="inlineStr">
        <is>
          <t>Rent</t>
        </is>
      </c>
      <c r="J6">
        <f>IF(F6="",AsOf-D6,F6-D6)</f>
        <v/>
      </c>
      <c r="K6">
        <f>IF(F6&lt;&gt;"","Paid",IF(J6&lt;=0,"Current",IF(J6&lt;=30,"1-30",IF(J6&lt;=60,"31-60",IF(J6&lt;=90,"61-90","90+")))))</f>
        <v/>
      </c>
      <c r="L6">
        <f>IF(F6="",E6,0)</f>
        <v/>
      </c>
    </row>
    <row r="7">
      <c r="A7" t="inlineStr">
        <is>
          <t>BILL-0006</t>
        </is>
      </c>
      <c r="B7" t="inlineStr">
        <is>
          <t>Das Brothers</t>
        </is>
      </c>
      <c r="C7" s="2" t="n">
        <v>46129</v>
      </c>
      <c r="D7" s="2" t="n">
        <v>46159</v>
      </c>
      <c r="E7" s="3" t="n">
        <v>44722</v>
      </c>
      <c r="G7" t="inlineStr">
        <is>
          <t>cheque</t>
        </is>
      </c>
      <c r="H7" t="n">
        <v>0</v>
      </c>
      <c r="I7" t="inlineStr">
        <is>
          <t>Purchases</t>
        </is>
      </c>
      <c r="J7">
        <f>IF(F7="",AsOf-D7,F7-D7)</f>
        <v/>
      </c>
      <c r="K7">
        <f>IF(F7&lt;&gt;"","Paid",IF(J7&lt;=0,"Current",IF(J7&lt;=30,"1-30",IF(J7&lt;=60,"31-60",IF(J7&lt;=90,"61-90","90+")))))</f>
        <v/>
      </c>
      <c r="L7">
        <f>IF(F7="",E7,0)</f>
        <v/>
      </c>
    </row>
    <row r="8">
      <c r="A8" t="inlineStr">
        <is>
          <t>BILL-0007</t>
        </is>
      </c>
      <c r="B8" t="inlineStr">
        <is>
          <t>Patel Wholesale</t>
        </is>
      </c>
      <c r="C8" s="2" t="n">
        <v>46123</v>
      </c>
      <c r="D8" s="2" t="n">
        <v>46153</v>
      </c>
      <c r="E8" s="3" t="n">
        <v>98450</v>
      </c>
      <c r="F8" s="2" t="n">
        <v>46142</v>
      </c>
      <c r="G8" t="inlineStr">
        <is>
          <t>bank</t>
        </is>
      </c>
      <c r="H8" t="n">
        <v>1</v>
      </c>
      <c r="I8" t="inlineStr">
        <is>
          <t>Utilities</t>
        </is>
      </c>
      <c r="J8">
        <f>IF(F8="",AsOf-D8,F8-D8)</f>
        <v/>
      </c>
      <c r="K8">
        <f>IF(F8&lt;&gt;"","Paid",IF(J8&lt;=0,"Current",IF(J8&lt;=30,"1-30",IF(J8&lt;=60,"31-60",IF(J8&lt;=90,"61-90","90+")))))</f>
        <v/>
      </c>
      <c r="L8">
        <f>IF(F8="",E8,0)</f>
        <v/>
      </c>
    </row>
    <row r="9">
      <c r="A9" t="inlineStr">
        <is>
          <t>BILL-0008</t>
        </is>
      </c>
      <c r="B9" t="inlineStr">
        <is>
          <t>Mehta Enterprises</t>
        </is>
      </c>
      <c r="C9" s="2" t="n">
        <v>46146</v>
      </c>
      <c r="D9" s="2" t="n">
        <v>46176</v>
      </c>
      <c r="E9" s="3" t="n">
        <v>144302</v>
      </c>
      <c r="F9" s="2" t="n">
        <v>46162</v>
      </c>
      <c r="G9" t="inlineStr">
        <is>
          <t>bank</t>
        </is>
      </c>
      <c r="H9" t="n">
        <v>1</v>
      </c>
      <c r="I9" t="inlineStr">
        <is>
          <t>Purchases</t>
        </is>
      </c>
      <c r="J9">
        <f>IF(F9="",AsOf-D9,F9-D9)</f>
        <v/>
      </c>
      <c r="K9">
        <f>IF(F9&lt;&gt;"","Paid",IF(J9&lt;=0,"Current",IF(J9&lt;=30,"1-30",IF(J9&lt;=60,"31-60",IF(J9&lt;=90,"61-90","90+")))))</f>
        <v/>
      </c>
      <c r="L9">
        <f>IF(F9="",E9,0)</f>
        <v/>
      </c>
    </row>
    <row r="10">
      <c r="A10" t="inlineStr">
        <is>
          <t>BILL-0009</t>
        </is>
      </c>
      <c r="B10" t="inlineStr">
        <is>
          <t>Khan Distributors</t>
        </is>
      </c>
      <c r="C10" s="2" t="n">
        <v>46170</v>
      </c>
      <c r="D10" s="2" t="n">
        <v>46200</v>
      </c>
      <c r="E10" s="3" t="n">
        <v>236901</v>
      </c>
      <c r="F10" s="2" t="n">
        <v>46188</v>
      </c>
      <c r="G10" t="inlineStr">
        <is>
          <t>bank</t>
        </is>
      </c>
      <c r="H10" t="n">
        <v>1</v>
      </c>
      <c r="I10" t="inlineStr">
        <is>
          <t>Utilities</t>
        </is>
      </c>
      <c r="J10">
        <f>IF(F10="",AsOf-D10,F10-D10)</f>
        <v/>
      </c>
      <c r="K10">
        <f>IF(F10&lt;&gt;"","Paid",IF(J10&lt;=0,"Current",IF(J10&lt;=30,"1-30",IF(J10&lt;=60,"31-60",IF(J10&lt;=90,"61-90","90+")))))</f>
        <v/>
      </c>
      <c r="L10">
        <f>IF(F10="",E10,0)</f>
        <v/>
      </c>
    </row>
    <row r="11">
      <c r="A11" t="inlineStr">
        <is>
          <t>BILL-0010</t>
        </is>
      </c>
      <c r="B11" t="inlineStr">
        <is>
          <t>Mehta Enterprises</t>
        </is>
      </c>
      <c r="C11" s="2" t="n">
        <v>46166</v>
      </c>
      <c r="D11" s="2" t="n">
        <v>46196</v>
      </c>
      <c r="E11" s="3" t="n">
        <v>104360</v>
      </c>
      <c r="G11" t="inlineStr">
        <is>
          <t>bank</t>
        </is>
      </c>
      <c r="H11" t="n">
        <v>1</v>
      </c>
      <c r="I11" t="inlineStr">
        <is>
          <t>Utilities</t>
        </is>
      </c>
      <c r="J11">
        <f>IF(F11="",AsOf-D11,F11-D11)</f>
        <v/>
      </c>
      <c r="K11">
        <f>IF(F11&lt;&gt;"","Paid",IF(J11&lt;=0,"Current",IF(J11&lt;=30,"1-30",IF(J11&lt;=60,"31-60",IF(J11&lt;=90,"61-90","90+")))))</f>
        <v/>
      </c>
      <c r="L11">
        <f>IF(F11="",E11,0)</f>
        <v/>
      </c>
    </row>
    <row r="12">
      <c r="A12" t="inlineStr">
        <is>
          <t>BILL-0011</t>
        </is>
      </c>
      <c r="B12" t="inlineStr">
        <is>
          <t>Das Brothers</t>
        </is>
      </c>
      <c r="C12" s="2" t="n">
        <v>46158</v>
      </c>
      <c r="D12" s="2" t="n">
        <v>46188</v>
      </c>
      <c r="E12" s="3" t="n">
        <v>37107</v>
      </c>
      <c r="F12" s="2" t="n">
        <v>46174</v>
      </c>
      <c r="G12" t="inlineStr">
        <is>
          <t>bank</t>
        </is>
      </c>
      <c r="H12" t="n">
        <v>1</v>
      </c>
      <c r="I12" t="inlineStr">
        <is>
          <t>Services</t>
        </is>
      </c>
      <c r="J12">
        <f>IF(F12="",AsOf-D12,F12-D12)</f>
        <v/>
      </c>
      <c r="K12">
        <f>IF(F12&lt;&gt;"","Paid",IF(J12&lt;=0,"Current",IF(J12&lt;=30,"1-30",IF(J12&lt;=60,"31-60",IF(J12&lt;=90,"61-90","90+")))))</f>
        <v/>
      </c>
      <c r="L12">
        <f>IF(F12="",E12,0)</f>
        <v/>
      </c>
    </row>
    <row r="13">
      <c r="A13" t="inlineStr">
        <is>
          <t>BILL-0012</t>
        </is>
      </c>
      <c r="B13" t="inlineStr">
        <is>
          <t>Sharma Traders</t>
        </is>
      </c>
      <c r="C13" s="2" t="n">
        <v>46146</v>
      </c>
      <c r="D13" s="2" t="n">
        <v>46176</v>
      </c>
      <c r="E13" s="3" t="n">
        <v>230590</v>
      </c>
      <c r="F13" s="2" t="n">
        <v>46163</v>
      </c>
      <c r="G13" t="inlineStr">
        <is>
          <t>bank</t>
        </is>
      </c>
      <c r="H13" t="n">
        <v>1</v>
      </c>
      <c r="I13" t="inlineStr">
        <is>
          <t>Marketing</t>
        </is>
      </c>
      <c r="J13">
        <f>IF(F13="",AsOf-D13,F13-D13)</f>
        <v/>
      </c>
      <c r="K13">
        <f>IF(F13&lt;&gt;"","Paid",IF(J13&lt;=0,"Current",IF(J13&lt;=30,"1-30",IF(J13&lt;=60,"31-60",IF(J13&lt;=90,"61-90","90+")))))</f>
        <v/>
      </c>
      <c r="L13">
        <f>IF(F13="",E13,0)</f>
        <v/>
      </c>
    </row>
    <row r="14">
      <c r="A14" t="inlineStr">
        <is>
          <t>BILL-0013</t>
        </is>
      </c>
      <c r="B14" t="inlineStr">
        <is>
          <t>Das Brothers</t>
        </is>
      </c>
      <c r="C14" s="2" t="n">
        <v>46155</v>
      </c>
      <c r="D14" s="2" t="n">
        <v>46185</v>
      </c>
      <c r="E14" s="3" t="n">
        <v>216515</v>
      </c>
      <c r="F14" s="2" t="n">
        <v>46181</v>
      </c>
      <c r="G14" t="inlineStr">
        <is>
          <t>bank</t>
        </is>
      </c>
      <c r="H14" t="n">
        <v>1</v>
      </c>
      <c r="I14" t="inlineStr">
        <is>
          <t>Purchases</t>
        </is>
      </c>
      <c r="J14">
        <f>IF(F14="",AsOf-D14,F14-D14)</f>
        <v/>
      </c>
      <c r="K14">
        <f>IF(F14&lt;&gt;"","Paid",IF(J14&lt;=0,"Current",IF(J14&lt;=30,"1-30",IF(J14&lt;=60,"31-60",IF(J14&lt;=90,"61-90","90+")))))</f>
        <v/>
      </c>
      <c r="L14">
        <f>IF(F14="",E14,0)</f>
        <v/>
      </c>
    </row>
    <row r="15">
      <c r="A15" t="inlineStr">
        <is>
          <t>BILL-0014</t>
        </is>
      </c>
      <c r="B15" t="inlineStr">
        <is>
          <t>Sharma Traders</t>
        </is>
      </c>
      <c r="C15" s="2" t="n">
        <v>46174</v>
      </c>
      <c r="D15" s="2" t="n">
        <v>46204</v>
      </c>
      <c r="E15" s="3" t="n">
        <v>244491</v>
      </c>
      <c r="F15" s="2" t="n">
        <v>46211</v>
      </c>
      <c r="G15" t="inlineStr">
        <is>
          <t>cheque</t>
        </is>
      </c>
      <c r="H15" t="n">
        <v>1</v>
      </c>
      <c r="I15" t="inlineStr">
        <is>
          <t>Rent</t>
        </is>
      </c>
      <c r="J15">
        <f>IF(F15="",AsOf-D15,F15-D15)</f>
        <v/>
      </c>
      <c r="K15">
        <f>IF(F15&lt;&gt;"","Paid",IF(J15&lt;=0,"Current",IF(J15&lt;=30,"1-30",IF(J15&lt;=60,"31-60",IF(J15&lt;=90,"61-90","90+")))))</f>
        <v/>
      </c>
      <c r="L15">
        <f>IF(F15="",E15,0)</f>
        <v/>
      </c>
    </row>
    <row r="16">
      <c r="A16" t="inlineStr">
        <is>
          <t>BILL-0015</t>
        </is>
      </c>
      <c r="B16" t="inlineStr">
        <is>
          <t>Das Brothers</t>
        </is>
      </c>
      <c r="C16" s="2" t="n">
        <v>46191</v>
      </c>
      <c r="D16" s="2" t="n">
        <v>46221</v>
      </c>
      <c r="E16" s="3" t="n">
        <v>156734</v>
      </c>
      <c r="F16" s="2" t="n">
        <v>46224</v>
      </c>
      <c r="G16" t="inlineStr">
        <is>
          <t>cheque</t>
        </is>
      </c>
      <c r="H16" t="n">
        <v>1</v>
      </c>
      <c r="I16" t="inlineStr">
        <is>
          <t>Purchases</t>
        </is>
      </c>
      <c r="J16">
        <f>IF(F16="",AsOf-D16,F16-D16)</f>
        <v/>
      </c>
      <c r="K16">
        <f>IF(F16&lt;&gt;"","Paid",IF(J16&lt;=0,"Current",IF(J16&lt;=30,"1-30",IF(J16&lt;=60,"31-60",IF(J16&lt;=90,"61-90","90+")))))</f>
        <v/>
      </c>
      <c r="L16">
        <f>IF(F16="",E16,0)</f>
        <v/>
      </c>
    </row>
    <row r="17">
      <c r="A17" t="inlineStr">
        <is>
          <t>BILL-0016</t>
        </is>
      </c>
      <c r="B17" t="inlineStr">
        <is>
          <t>Mehta Enterprises</t>
        </is>
      </c>
      <c r="C17" s="2" t="n">
        <v>46198</v>
      </c>
      <c r="D17" s="2" t="n">
        <v>46228</v>
      </c>
      <c r="E17" s="3" t="n">
        <v>136569</v>
      </c>
      <c r="F17" s="2" t="n">
        <v>46231</v>
      </c>
      <c r="G17" t="inlineStr">
        <is>
          <t>bank</t>
        </is>
      </c>
      <c r="H17" t="n">
        <v>1</v>
      </c>
      <c r="I17" t="inlineStr">
        <is>
          <t>Rent</t>
        </is>
      </c>
      <c r="J17">
        <f>IF(F17="",AsOf-D17,F17-D17)</f>
        <v/>
      </c>
      <c r="K17">
        <f>IF(F17&lt;&gt;"","Paid",IF(J17&lt;=0,"Current",IF(J17&lt;=30,"1-30",IF(J17&lt;=60,"31-60",IF(J17&lt;=90,"61-90","90+")))))</f>
        <v/>
      </c>
      <c r="L17">
        <f>IF(F17="",E17,0)</f>
        <v/>
      </c>
    </row>
    <row r="18">
      <c r="A18" t="inlineStr">
        <is>
          <t>BILL-0017</t>
        </is>
      </c>
      <c r="B18" t="inlineStr">
        <is>
          <t>Singh &amp; Co</t>
        </is>
      </c>
      <c r="C18" s="2" t="n">
        <v>46192</v>
      </c>
      <c r="D18" s="2" t="n">
        <v>46222</v>
      </c>
      <c r="E18" s="3" t="n">
        <v>82079</v>
      </c>
      <c r="F18" s="2" t="n">
        <v>46216</v>
      </c>
      <c r="G18" t="inlineStr">
        <is>
          <t>bank</t>
        </is>
      </c>
      <c r="H18" t="n">
        <v>1</v>
      </c>
      <c r="I18" t="inlineStr">
        <is>
          <t>Rent</t>
        </is>
      </c>
      <c r="J18">
        <f>IF(F18="",AsOf-D18,F18-D18)</f>
        <v/>
      </c>
      <c r="K18">
        <f>IF(F18&lt;&gt;"","Paid",IF(J18&lt;=0,"Current",IF(J18&lt;=30,"1-30",IF(J18&lt;=60,"31-60",IF(J18&lt;=90,"61-90","90+")))))</f>
        <v/>
      </c>
      <c r="L18">
        <f>IF(F18="",E18,0)</f>
        <v/>
      </c>
    </row>
    <row r="19">
      <c r="A19" t="inlineStr">
        <is>
          <t>BILL-0018</t>
        </is>
      </c>
      <c r="B19" t="inlineStr">
        <is>
          <t>Singh &amp; Co</t>
        </is>
      </c>
      <c r="C19" s="2" t="n">
        <v>46174</v>
      </c>
      <c r="D19" s="2" t="n">
        <v>46204</v>
      </c>
      <c r="E19" s="3" t="n">
        <v>237028</v>
      </c>
      <c r="F19" s="2" t="n">
        <v>46180</v>
      </c>
      <c r="G19" t="inlineStr">
        <is>
          <t>cheque</t>
        </is>
      </c>
      <c r="H19" t="n">
        <v>1</v>
      </c>
      <c r="I19" t="inlineStr">
        <is>
          <t>Purchases</t>
        </is>
      </c>
      <c r="J19">
        <f>IF(F19="",AsOf-D19,F19-D19)</f>
        <v/>
      </c>
      <c r="K19">
        <f>IF(F19&lt;&gt;"","Paid",IF(J19&lt;=0,"Current",IF(J19&lt;=30,"1-30",IF(J19&lt;=60,"31-60",IF(J19&lt;=90,"61-90","90+")))))</f>
        <v/>
      </c>
      <c r="L19">
        <f>IF(F19="",E19,0)</f>
        <v/>
      </c>
    </row>
    <row r="20">
      <c r="A20" t="inlineStr">
        <is>
          <t>BILL-0019</t>
        </is>
      </c>
      <c r="B20" t="inlineStr">
        <is>
          <t>Das Brothers</t>
        </is>
      </c>
      <c r="C20" s="2" t="n">
        <v>46184</v>
      </c>
      <c r="D20" s="2" t="n">
        <v>46214</v>
      </c>
      <c r="E20" s="3" t="n">
        <v>209504</v>
      </c>
      <c r="F20" s="2" t="n">
        <v>46225</v>
      </c>
      <c r="G20" t="inlineStr">
        <is>
          <t>bank</t>
        </is>
      </c>
      <c r="H20" t="n">
        <v>1</v>
      </c>
      <c r="I20" t="inlineStr">
        <is>
          <t>Purchases</t>
        </is>
      </c>
      <c r="J20">
        <f>IF(F20="",AsOf-D20,F20-D20)</f>
        <v/>
      </c>
      <c r="K20">
        <f>IF(F20&lt;&gt;"","Paid",IF(J20&lt;=0,"Current",IF(J20&lt;=30,"1-30",IF(J20&lt;=60,"31-60",IF(J20&lt;=90,"61-90","90+")))))</f>
        <v/>
      </c>
      <c r="L20">
        <f>IF(F20="",E20,0)</f>
        <v/>
      </c>
    </row>
    <row r="21">
      <c r="A21" t="inlineStr">
        <is>
          <t>BILL-0020</t>
        </is>
      </c>
      <c r="B21" t="inlineStr">
        <is>
          <t>Mehta Enterprises</t>
        </is>
      </c>
      <c r="C21" s="2" t="n">
        <v>46187</v>
      </c>
      <c r="D21" s="2" t="n">
        <v>46217</v>
      </c>
      <c r="E21" s="3" t="n">
        <v>221258</v>
      </c>
      <c r="F21" s="2" t="n">
        <v>46231</v>
      </c>
      <c r="G21" t="inlineStr">
        <is>
          <t>cheque</t>
        </is>
      </c>
      <c r="H21" t="n">
        <v>0</v>
      </c>
      <c r="I21" t="inlineStr">
        <is>
          <t>Purchases</t>
        </is>
      </c>
      <c r="J21">
        <f>IF(F21="",AsOf-D21,F21-D21)</f>
        <v/>
      </c>
      <c r="K21">
        <f>IF(F21&lt;&gt;"","Paid",IF(J21&lt;=0,"Current",IF(J21&lt;=30,"1-30",IF(J21&lt;=60,"31-60",IF(J21&lt;=90,"61-90","90+")))))</f>
        <v/>
      </c>
      <c r="L21">
        <f>IF(F21="",E21,0)</f>
        <v/>
      </c>
    </row>
    <row r="22">
      <c r="A22" t="inlineStr">
        <is>
          <t>BILL-0021</t>
        </is>
      </c>
      <c r="B22" t="inlineStr">
        <is>
          <t>Gupta Supplies</t>
        </is>
      </c>
      <c r="C22" s="2" t="n">
        <v>46225</v>
      </c>
      <c r="D22" s="2" t="n">
        <v>46255</v>
      </c>
      <c r="E22" s="3" t="n">
        <v>123224</v>
      </c>
      <c r="F22" s="2" t="n">
        <v>46264</v>
      </c>
      <c r="G22" t="inlineStr">
        <is>
          <t>bank</t>
        </is>
      </c>
      <c r="H22" t="n">
        <v>1</v>
      </c>
      <c r="I22" t="inlineStr">
        <is>
          <t>Purchases</t>
        </is>
      </c>
      <c r="J22">
        <f>IF(F22="",AsOf-D22,F22-D22)</f>
        <v/>
      </c>
      <c r="K22">
        <f>IF(F22&lt;&gt;"","Paid",IF(J22&lt;=0,"Current",IF(J22&lt;=30,"1-30",IF(J22&lt;=60,"31-60",IF(J22&lt;=90,"61-90","90+")))))</f>
        <v/>
      </c>
      <c r="L22">
        <f>IF(F22="",E22,0)</f>
        <v/>
      </c>
    </row>
    <row r="23">
      <c r="A23" t="inlineStr">
        <is>
          <t>BILL-0022</t>
        </is>
      </c>
      <c r="B23" t="inlineStr">
        <is>
          <t>Das Brothers</t>
        </is>
      </c>
      <c r="C23" s="2" t="n">
        <v>46219</v>
      </c>
      <c r="D23" s="2" t="n">
        <v>46249</v>
      </c>
      <c r="E23" s="3" t="n">
        <v>243729</v>
      </c>
      <c r="F23" s="2" t="n">
        <v>46255</v>
      </c>
      <c r="G23" t="inlineStr">
        <is>
          <t>bank</t>
        </is>
      </c>
      <c r="H23" t="n">
        <v>1</v>
      </c>
      <c r="I23" t="inlineStr">
        <is>
          <t>Marketing</t>
        </is>
      </c>
      <c r="J23">
        <f>IF(F23="",AsOf-D23,F23-D23)</f>
        <v/>
      </c>
      <c r="K23">
        <f>IF(F23&lt;&gt;"","Paid",IF(J23&lt;=0,"Current",IF(J23&lt;=30,"1-30",IF(J23&lt;=60,"31-60",IF(J23&lt;=90,"61-90","90+")))))</f>
        <v/>
      </c>
      <c r="L23">
        <f>IF(F23="",E23,0)</f>
        <v/>
      </c>
    </row>
    <row r="24">
      <c r="A24" t="inlineStr">
        <is>
          <t>BILL-0023</t>
        </is>
      </c>
      <c r="B24" t="inlineStr">
        <is>
          <t>Patel Wholesale</t>
        </is>
      </c>
      <c r="C24" s="2" t="n">
        <v>46214</v>
      </c>
      <c r="D24" s="2" t="n">
        <v>46244</v>
      </c>
      <c r="E24" s="3" t="n">
        <v>92031</v>
      </c>
      <c r="F24" s="2" t="n">
        <v>46253</v>
      </c>
      <c r="G24" t="inlineStr">
        <is>
          <t>cheque</t>
        </is>
      </c>
      <c r="H24" t="n">
        <v>0</v>
      </c>
      <c r="I24" t="inlineStr">
        <is>
          <t>Purchases</t>
        </is>
      </c>
      <c r="J24">
        <f>IF(F24="",AsOf-D24,F24-D24)</f>
        <v/>
      </c>
      <c r="K24">
        <f>IF(F24&lt;&gt;"","Paid",IF(J24&lt;=0,"Current",IF(J24&lt;=30,"1-30",IF(J24&lt;=60,"31-60",IF(J24&lt;=90,"61-90","90+")))))</f>
        <v/>
      </c>
      <c r="L24">
        <f>IF(F24="",E24,0)</f>
        <v/>
      </c>
    </row>
    <row r="25">
      <c r="A25" t="inlineStr">
        <is>
          <t>BILL-0024</t>
        </is>
      </c>
      <c r="B25" t="inlineStr">
        <is>
          <t>Verma Agro</t>
        </is>
      </c>
      <c r="C25" s="2" t="n">
        <v>46227</v>
      </c>
      <c r="D25" s="2" t="n">
        <v>46257</v>
      </c>
      <c r="E25" s="3" t="n">
        <v>141570</v>
      </c>
      <c r="G25" t="inlineStr">
        <is>
          <t>bank</t>
        </is>
      </c>
      <c r="H25" t="n">
        <v>1</v>
      </c>
      <c r="I25" t="inlineStr">
        <is>
          <t>Services</t>
        </is>
      </c>
      <c r="J25">
        <f>IF(F25="",AsOf-D25,F25-D25)</f>
        <v/>
      </c>
      <c r="K25">
        <f>IF(F25&lt;&gt;"","Paid",IF(J25&lt;=0,"Current",IF(J25&lt;=30,"1-30",IF(J25&lt;=60,"31-60",IF(J25&lt;=90,"61-90","90+")))))</f>
        <v/>
      </c>
      <c r="L25">
        <f>IF(F25="",E25,0)</f>
        <v/>
      </c>
    </row>
    <row r="26">
      <c r="A26" t="inlineStr">
        <is>
          <t>BILL-0025</t>
        </is>
      </c>
      <c r="B26" t="inlineStr">
        <is>
          <t>Singh &amp; Co</t>
        </is>
      </c>
      <c r="C26" s="2" t="n">
        <v>46227</v>
      </c>
      <c r="D26" s="2" t="n">
        <v>46257</v>
      </c>
      <c r="E26" s="3" t="n">
        <v>79595</v>
      </c>
      <c r="F26" s="2" t="n">
        <v>46243</v>
      </c>
      <c r="G26" t="inlineStr">
        <is>
          <t>bank</t>
        </is>
      </c>
      <c r="H26" t="n">
        <v>1</v>
      </c>
      <c r="I26" t="inlineStr">
        <is>
          <t>Purchases</t>
        </is>
      </c>
      <c r="J26">
        <f>IF(F26="",AsOf-D26,F26-D26)</f>
        <v/>
      </c>
      <c r="K26">
        <f>IF(F26&lt;&gt;"","Paid",IF(J26&lt;=0,"Current",IF(J26&lt;=30,"1-30",IF(J26&lt;=60,"31-60",IF(J26&lt;=90,"61-90","90+")))))</f>
        <v/>
      </c>
      <c r="L26">
        <f>IF(F26="",E26,0)</f>
        <v/>
      </c>
    </row>
    <row r="27">
      <c r="A27" t="inlineStr">
        <is>
          <t>BILL-0026</t>
        </is>
      </c>
      <c r="B27" t="inlineStr">
        <is>
          <t>Mehta Enterprises</t>
        </is>
      </c>
      <c r="C27" s="2" t="n">
        <v>46209</v>
      </c>
      <c r="D27" s="2" t="n">
        <v>46239</v>
      </c>
      <c r="E27" s="3" t="n">
        <v>152411</v>
      </c>
      <c r="F27" s="2" t="n">
        <v>46248</v>
      </c>
      <c r="G27" t="inlineStr">
        <is>
          <t>bank</t>
        </is>
      </c>
      <c r="H27" t="n">
        <v>1</v>
      </c>
      <c r="I27" t="inlineStr">
        <is>
          <t>Purchases</t>
        </is>
      </c>
      <c r="J27">
        <f>IF(F27="",AsOf-D27,F27-D27)</f>
        <v/>
      </c>
      <c r="K27">
        <f>IF(F27&lt;&gt;"","Paid",IF(J27&lt;=0,"Current",IF(J27&lt;=30,"1-30",IF(J27&lt;=60,"31-60",IF(J27&lt;=90,"61-90","90+")))))</f>
        <v/>
      </c>
      <c r="L27">
        <f>IF(F27="",E27,0)</f>
        <v/>
      </c>
    </row>
    <row r="28">
      <c r="A28" t="inlineStr">
        <is>
          <t>BILL-0027</t>
        </is>
      </c>
      <c r="B28" t="inlineStr">
        <is>
          <t>Mehta Enterprises</t>
        </is>
      </c>
      <c r="C28" s="2" t="n">
        <v>46237</v>
      </c>
      <c r="D28" s="2" t="n">
        <v>46267</v>
      </c>
      <c r="E28" s="3" t="n">
        <v>238827</v>
      </c>
      <c r="G28" t="inlineStr">
        <is>
          <t>bank</t>
        </is>
      </c>
      <c r="H28" t="n">
        <v>1</v>
      </c>
      <c r="I28" t="inlineStr">
        <is>
          <t>Utilities</t>
        </is>
      </c>
      <c r="J28">
        <f>IF(F28="",AsOf-D28,F28-D28)</f>
        <v/>
      </c>
      <c r="K28">
        <f>IF(F28&lt;&gt;"","Paid",IF(J28&lt;=0,"Current",IF(J28&lt;=30,"1-30",IF(J28&lt;=60,"31-60",IF(J28&lt;=90,"61-90","90+")))))</f>
        <v/>
      </c>
      <c r="L28">
        <f>IF(F28="",E28,0)</f>
        <v/>
      </c>
    </row>
    <row r="29">
      <c r="A29" t="inlineStr">
        <is>
          <t>BILL-0028</t>
        </is>
      </c>
      <c r="B29" t="inlineStr">
        <is>
          <t>Mehta Enterprises</t>
        </is>
      </c>
      <c r="C29" s="2" t="n">
        <v>46262</v>
      </c>
      <c r="D29" s="2" t="n">
        <v>46292</v>
      </c>
      <c r="E29" s="3" t="n">
        <v>131235</v>
      </c>
      <c r="F29" s="2" t="n">
        <v>46285</v>
      </c>
      <c r="G29" t="inlineStr">
        <is>
          <t>bank</t>
        </is>
      </c>
      <c r="H29" t="n">
        <v>1</v>
      </c>
      <c r="I29" t="inlineStr">
        <is>
          <t>Rent</t>
        </is>
      </c>
      <c r="J29">
        <f>IF(F29="",AsOf-D29,F29-D29)</f>
        <v/>
      </c>
      <c r="K29">
        <f>IF(F29&lt;&gt;"","Paid",IF(J29&lt;=0,"Current",IF(J29&lt;=30,"1-30",IF(J29&lt;=60,"31-60",IF(J29&lt;=90,"61-90","90+")))))</f>
        <v/>
      </c>
      <c r="L29">
        <f>IF(F29="",E29,0)</f>
        <v/>
      </c>
    </row>
    <row r="30">
      <c r="A30" t="inlineStr">
        <is>
          <t>BILL-0029</t>
        </is>
      </c>
      <c r="B30" t="inlineStr">
        <is>
          <t>Khan Distributors</t>
        </is>
      </c>
      <c r="C30" s="2" t="n">
        <v>46249</v>
      </c>
      <c r="D30" s="2" t="n">
        <v>46279</v>
      </c>
      <c r="E30" s="3" t="n">
        <v>165923</v>
      </c>
      <c r="F30" s="2" t="n">
        <v>46288</v>
      </c>
      <c r="G30" t="inlineStr">
        <is>
          <t>bank</t>
        </is>
      </c>
      <c r="H30" t="n">
        <v>1</v>
      </c>
      <c r="I30" t="inlineStr">
        <is>
          <t>Services</t>
        </is>
      </c>
      <c r="J30">
        <f>IF(F30="",AsOf-D30,F30-D30)</f>
        <v/>
      </c>
      <c r="K30">
        <f>IF(F30&lt;&gt;"","Paid",IF(J30&lt;=0,"Current",IF(J30&lt;=30,"1-30",IF(J30&lt;=60,"31-60",IF(J30&lt;=90,"61-90","90+")))))</f>
        <v/>
      </c>
      <c r="L30">
        <f>IF(F30="",E30,0)</f>
        <v/>
      </c>
    </row>
    <row r="31">
      <c r="A31" t="inlineStr">
        <is>
          <t>BILL-0030</t>
        </is>
      </c>
      <c r="B31" t="inlineStr">
        <is>
          <t>Singh &amp; Co</t>
        </is>
      </c>
      <c r="C31" s="2" t="n">
        <v>46262</v>
      </c>
      <c r="D31" s="2" t="n">
        <v>46292</v>
      </c>
      <c r="E31" s="3" t="n">
        <v>40649</v>
      </c>
      <c r="F31" s="2" t="n">
        <v>46293</v>
      </c>
      <c r="G31" t="inlineStr">
        <is>
          <t>bank</t>
        </is>
      </c>
      <c r="H31" t="n">
        <v>1</v>
      </c>
      <c r="I31" t="inlineStr">
        <is>
          <t>Services</t>
        </is>
      </c>
      <c r="J31">
        <f>IF(F31="",AsOf-D31,F31-D31)</f>
        <v/>
      </c>
      <c r="K31">
        <f>IF(F31&lt;&gt;"","Paid",IF(J31&lt;=0,"Current",IF(J31&lt;=30,"1-30",IF(J31&lt;=60,"31-60",IF(J31&lt;=90,"61-90","90+")))))</f>
        <v/>
      </c>
      <c r="L31">
        <f>IF(F31="",E31,0)</f>
        <v/>
      </c>
    </row>
    <row r="32">
      <c r="A32" t="inlineStr">
        <is>
          <t>BILL-0031</t>
        </is>
      </c>
      <c r="B32" t="inlineStr">
        <is>
          <t>Khan Distributors</t>
        </is>
      </c>
      <c r="C32" s="2" t="n">
        <v>46262</v>
      </c>
      <c r="D32" s="2" t="n">
        <v>46292</v>
      </c>
      <c r="E32" s="3" t="n">
        <v>119327</v>
      </c>
      <c r="F32" s="2" t="n">
        <v>46283</v>
      </c>
      <c r="G32" t="inlineStr">
        <is>
          <t>cheque</t>
        </is>
      </c>
      <c r="H32" t="n">
        <v>0</v>
      </c>
      <c r="I32" t="inlineStr">
        <is>
          <t>Services</t>
        </is>
      </c>
      <c r="J32">
        <f>IF(F32="",AsOf-D32,F32-D32)</f>
        <v/>
      </c>
      <c r="K32">
        <f>IF(F32&lt;&gt;"","Paid",IF(J32&lt;=0,"Current",IF(J32&lt;=30,"1-30",IF(J32&lt;=60,"31-60",IF(J32&lt;=90,"61-90","90+")))))</f>
        <v/>
      </c>
      <c r="L32">
        <f>IF(F32="",E32,0)</f>
        <v/>
      </c>
    </row>
    <row r="33">
      <c r="A33" t="inlineStr">
        <is>
          <t>BILL-0032</t>
        </is>
      </c>
      <c r="B33" t="inlineStr">
        <is>
          <t>Sharma Traders</t>
        </is>
      </c>
      <c r="C33" s="2" t="n">
        <v>46236</v>
      </c>
      <c r="D33" s="2" t="n">
        <v>46266</v>
      </c>
      <c r="E33" s="3" t="n">
        <v>64946</v>
      </c>
      <c r="G33" t="inlineStr">
        <is>
          <t>cheque</t>
        </is>
      </c>
      <c r="H33" t="n">
        <v>0</v>
      </c>
      <c r="I33" t="inlineStr">
        <is>
          <t>Services</t>
        </is>
      </c>
      <c r="J33">
        <f>IF(F33="",AsOf-D33,F33-D33)</f>
        <v/>
      </c>
      <c r="K33">
        <f>IF(F33&lt;&gt;"","Paid",IF(J33&lt;=0,"Current",IF(J33&lt;=30,"1-30",IF(J33&lt;=60,"31-60",IF(J33&lt;=90,"61-90","90+")))))</f>
        <v/>
      </c>
      <c r="L33">
        <f>IF(F33="",E33,0)</f>
        <v/>
      </c>
    </row>
    <row r="34">
      <c r="A34" t="inlineStr">
        <is>
          <t>BILL-0033</t>
        </is>
      </c>
      <c r="B34" t="inlineStr">
        <is>
          <t>Sharma Traders</t>
        </is>
      </c>
      <c r="C34" s="2" t="n">
        <v>46283</v>
      </c>
      <c r="D34" s="2" t="n">
        <v>46313</v>
      </c>
      <c r="E34" s="3" t="n">
        <v>80941</v>
      </c>
      <c r="F34" s="2" t="n">
        <v>46295</v>
      </c>
      <c r="G34" t="inlineStr">
        <is>
          <t>bank</t>
        </is>
      </c>
      <c r="H34" t="n">
        <v>1</v>
      </c>
      <c r="I34" t="inlineStr">
        <is>
          <t>Marketing</t>
        </is>
      </c>
      <c r="J34">
        <f>IF(F34="",AsOf-D34,F34-D34)</f>
        <v/>
      </c>
      <c r="K34">
        <f>IF(F34&lt;&gt;"","Paid",IF(J34&lt;=0,"Current",IF(J34&lt;=30,"1-30",IF(J34&lt;=60,"31-60",IF(J34&lt;=90,"61-90","90+")))))</f>
        <v/>
      </c>
      <c r="L34">
        <f>IF(F34="",E34,0)</f>
        <v/>
      </c>
    </row>
    <row r="35">
      <c r="A35" t="inlineStr">
        <is>
          <t>BILL-0034</t>
        </is>
      </c>
      <c r="B35" t="inlineStr">
        <is>
          <t>Verma Agro</t>
        </is>
      </c>
      <c r="C35" s="2" t="n">
        <v>46279</v>
      </c>
      <c r="D35" s="2" t="n">
        <v>46309</v>
      </c>
      <c r="E35" s="3" t="n">
        <v>99122</v>
      </c>
      <c r="F35" s="2" t="n">
        <v>46285</v>
      </c>
      <c r="G35" t="inlineStr">
        <is>
          <t>bank</t>
        </is>
      </c>
      <c r="H35" t="n">
        <v>1</v>
      </c>
      <c r="I35" t="inlineStr">
        <is>
          <t>Rent</t>
        </is>
      </c>
      <c r="J35">
        <f>IF(F35="",AsOf-D35,F35-D35)</f>
        <v/>
      </c>
      <c r="K35">
        <f>IF(F35&lt;&gt;"","Paid",IF(J35&lt;=0,"Current",IF(J35&lt;=30,"1-30",IF(J35&lt;=60,"31-60",IF(J35&lt;=90,"61-90","90+")))))</f>
        <v/>
      </c>
      <c r="L35">
        <f>IF(F35="",E35,0)</f>
        <v/>
      </c>
    </row>
    <row r="36">
      <c r="A36" t="inlineStr">
        <is>
          <t>BILL-0035</t>
        </is>
      </c>
      <c r="B36" t="inlineStr">
        <is>
          <t>Das Brothers</t>
        </is>
      </c>
      <c r="C36" s="2" t="n">
        <v>46276</v>
      </c>
      <c r="D36" s="2" t="n">
        <v>46306</v>
      </c>
      <c r="E36" s="3" t="n">
        <v>137111</v>
      </c>
      <c r="F36" s="2" t="n">
        <v>46295</v>
      </c>
      <c r="G36" t="inlineStr">
        <is>
          <t>bank</t>
        </is>
      </c>
      <c r="H36" t="n">
        <v>1</v>
      </c>
      <c r="I36" t="inlineStr">
        <is>
          <t>Purchases</t>
        </is>
      </c>
      <c r="J36">
        <f>IF(F36="",AsOf-D36,F36-D36)</f>
        <v/>
      </c>
      <c r="K36">
        <f>IF(F36&lt;&gt;"","Paid",IF(J36&lt;=0,"Current",IF(J36&lt;=30,"1-30",IF(J36&lt;=60,"31-60",IF(J36&lt;=90,"61-90","90+")))))</f>
        <v/>
      </c>
      <c r="L36">
        <f>IF(F36="",E36,0)</f>
        <v/>
      </c>
    </row>
    <row r="37">
      <c r="A37" t="inlineStr">
        <is>
          <t>BILL-0036</t>
        </is>
      </c>
      <c r="B37" t="inlineStr">
        <is>
          <t>Sharma Traders</t>
        </is>
      </c>
      <c r="C37" s="2" t="n">
        <v>46281</v>
      </c>
      <c r="D37" s="2" t="n">
        <v>46311</v>
      </c>
      <c r="E37" s="3" t="n">
        <v>23239</v>
      </c>
      <c r="G37" t="inlineStr">
        <is>
          <t>bank</t>
        </is>
      </c>
      <c r="H37" t="n">
        <v>1</v>
      </c>
      <c r="I37" t="inlineStr">
        <is>
          <t>Services</t>
        </is>
      </c>
      <c r="J37">
        <f>IF(F37="",AsOf-D37,F37-D37)</f>
        <v/>
      </c>
      <c r="K37">
        <f>IF(F37&lt;&gt;"","Paid",IF(J37&lt;=0,"Current",IF(J37&lt;=30,"1-30",IF(J37&lt;=60,"31-60",IF(J37&lt;=90,"61-90","90+")))))</f>
        <v/>
      </c>
      <c r="L37">
        <f>IF(F37="",E37,0)</f>
        <v/>
      </c>
    </row>
    <row r="38">
      <c r="A38" t="inlineStr">
        <is>
          <t>BILL-0037</t>
        </is>
      </c>
      <c r="B38" t="inlineStr">
        <is>
          <t>Mehta Enterprises</t>
        </is>
      </c>
      <c r="C38" s="2" t="n">
        <v>46292</v>
      </c>
      <c r="D38" s="2" t="n">
        <v>46322</v>
      </c>
      <c r="E38" s="3" t="n">
        <v>149022</v>
      </c>
      <c r="F38" s="2" t="n">
        <v>46292</v>
      </c>
      <c r="G38" t="inlineStr">
        <is>
          <t>bank</t>
        </is>
      </c>
      <c r="H38" t="n">
        <v>1</v>
      </c>
      <c r="I38" t="inlineStr">
        <is>
          <t>Rent</t>
        </is>
      </c>
      <c r="J38">
        <f>IF(F38="",AsOf-D38,F38-D38)</f>
        <v/>
      </c>
      <c r="K38">
        <f>IF(F38&lt;&gt;"","Paid",IF(J38&lt;=0,"Current",IF(J38&lt;=30,"1-30",IF(J38&lt;=60,"31-60",IF(J38&lt;=90,"61-90","90+")))))</f>
        <v/>
      </c>
      <c r="L38">
        <f>IF(F38="",E38,0)</f>
        <v/>
      </c>
    </row>
    <row r="39">
      <c r="A39" t="inlineStr">
        <is>
          <t>BILL-0038</t>
        </is>
      </c>
      <c r="B39" t="inlineStr">
        <is>
          <t>Singh &amp; Co</t>
        </is>
      </c>
      <c r="C39" s="2" t="n">
        <v>46292</v>
      </c>
      <c r="D39" s="2" t="n">
        <v>46322</v>
      </c>
      <c r="E39" s="3" t="n">
        <v>26970</v>
      </c>
      <c r="F39" s="2" t="n">
        <v>46295</v>
      </c>
      <c r="G39" t="inlineStr">
        <is>
          <t>bank</t>
        </is>
      </c>
      <c r="H39" t="n">
        <v>1</v>
      </c>
      <c r="I39" t="inlineStr">
        <is>
          <t>Purchases</t>
        </is>
      </c>
      <c r="J39">
        <f>IF(F39="",AsOf-D39,F39-D39)</f>
        <v/>
      </c>
      <c r="K39">
        <f>IF(F39&lt;&gt;"","Paid",IF(J39&lt;=0,"Current",IF(J39&lt;=30,"1-30",IF(J39&lt;=60,"31-60",IF(J39&lt;=90,"61-90","90+")))))</f>
        <v/>
      </c>
      <c r="L39">
        <f>IF(F39="",E39,0)</f>
        <v/>
      </c>
    </row>
    <row r="40">
      <c r="A40" t="inlineStr">
        <is>
          <t>BILL-0039</t>
        </is>
      </c>
      <c r="B40" t="inlineStr">
        <is>
          <t>Mehta Enterprises</t>
        </is>
      </c>
      <c r="C40" s="2" t="n">
        <v>46270</v>
      </c>
      <c r="D40" s="2" t="n">
        <v>46300</v>
      </c>
      <c r="E40" s="3" t="n">
        <v>134415</v>
      </c>
      <c r="F40" s="2" t="n">
        <v>46291</v>
      </c>
      <c r="G40" t="inlineStr">
        <is>
          <t>bank</t>
        </is>
      </c>
      <c r="H40" t="n">
        <v>1</v>
      </c>
      <c r="I40" t="inlineStr">
        <is>
          <t>Marketing</t>
        </is>
      </c>
      <c r="J40">
        <f>IF(F40="",AsOf-D40,F40-D40)</f>
        <v/>
      </c>
      <c r="K40">
        <f>IF(F40&lt;&gt;"","Paid",IF(J40&lt;=0,"Current",IF(J40&lt;=30,"1-30",IF(J40&lt;=60,"31-60",IF(J40&lt;=90,"61-90","90+")))))</f>
        <v/>
      </c>
      <c r="L40">
        <f>IF(F40="",E40,0)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Invoice ID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Paid Date</t>
        </is>
      </c>
      <c r="G1" s="1" t="inlineStr">
        <is>
          <t>In Transit</t>
        </is>
      </c>
      <c r="H1" s="1" t="inlineStr">
        <is>
          <t>Days Overdue</t>
        </is>
      </c>
      <c r="I1" s="1" t="inlineStr">
        <is>
          <t>Aging Bucket</t>
        </is>
      </c>
      <c r="J1" s="1" t="inlineStr">
        <is>
          <t>Outstanding</t>
        </is>
      </c>
    </row>
    <row r="2">
      <c r="A2" t="inlineStr">
        <is>
          <t>INV-0001</t>
        </is>
      </c>
      <c r="B2" t="inlineStr">
        <is>
          <t>Fresh Bazar</t>
        </is>
      </c>
      <c r="C2" s="2" t="n">
        <v>46130</v>
      </c>
      <c r="D2" s="2" t="n">
        <v>46151</v>
      </c>
      <c r="E2" s="3" t="n">
        <v>51551</v>
      </c>
      <c r="F2" s="2" t="n">
        <v>46159</v>
      </c>
      <c r="G2" t="n">
        <v>0</v>
      </c>
      <c r="H2">
        <f>IF(F2="",AsOf-D2,F2-D2)</f>
        <v/>
      </c>
      <c r="I2">
        <f>IF(F2&lt;&gt;"","Paid",IF(H2&lt;=0,"Current",IF(H2&lt;=30,"1-30",IF(H2&lt;=60,"31-60",IF(H2&lt;=90,"61-90","90+")))))</f>
        <v/>
      </c>
      <c r="J2">
        <f>IF(F2="",E2,0)</f>
        <v/>
      </c>
    </row>
    <row r="3">
      <c r="A3" t="inlineStr">
        <is>
          <t>INV-0002</t>
        </is>
      </c>
      <c r="B3" t="inlineStr">
        <is>
          <t>Metro Retail</t>
        </is>
      </c>
      <c r="C3" s="2" t="n">
        <v>46137</v>
      </c>
      <c r="D3" s="2" t="n">
        <v>46158</v>
      </c>
      <c r="E3" s="3" t="n">
        <v>95943</v>
      </c>
      <c r="F3" s="2" t="n">
        <v>46150</v>
      </c>
      <c r="G3" t="n">
        <v>0</v>
      </c>
      <c r="H3">
        <f>IF(F3="",AsOf-D3,F3-D3)</f>
        <v/>
      </c>
      <c r="I3">
        <f>IF(F3&lt;&gt;"","Paid",IF(H3&lt;=0,"Current",IF(H3&lt;=30,"1-30",IF(H3&lt;=60,"31-60",IF(H3&lt;=90,"61-90","90+")))))</f>
        <v/>
      </c>
      <c r="J3">
        <f>IF(F3="",E3,0)</f>
        <v/>
      </c>
    </row>
    <row r="4">
      <c r="A4" t="inlineStr">
        <is>
          <t>INV-0003</t>
        </is>
      </c>
      <c r="B4" t="inlineStr">
        <is>
          <t>Daily Needs</t>
        </is>
      </c>
      <c r="C4" s="2" t="n">
        <v>46137</v>
      </c>
      <c r="D4" s="2" t="n">
        <v>46158</v>
      </c>
      <c r="E4" s="3" t="n">
        <v>129469</v>
      </c>
      <c r="G4" t="n">
        <v>0</v>
      </c>
      <c r="H4">
        <f>IF(F4="",AsOf-D4,F4-D4)</f>
        <v/>
      </c>
      <c r="I4">
        <f>IF(F4&lt;&gt;"","Paid",IF(H4&lt;=0,"Current",IF(H4&lt;=30,"1-30",IF(H4&lt;=60,"31-60",IF(H4&lt;=90,"61-90","90+")))))</f>
        <v/>
      </c>
      <c r="J4">
        <f>IF(F4="",E4,0)</f>
        <v/>
      </c>
    </row>
    <row r="5">
      <c r="A5" t="inlineStr">
        <is>
          <t>INV-0004</t>
        </is>
      </c>
      <c r="B5" t="inlineStr">
        <is>
          <t>Kiran Stores</t>
        </is>
      </c>
      <c r="C5" s="2" t="n">
        <v>46140</v>
      </c>
      <c r="D5" s="2" t="n">
        <v>46161</v>
      </c>
      <c r="E5" s="3" t="n">
        <v>385077</v>
      </c>
      <c r="F5" s="2" t="n">
        <v>46149</v>
      </c>
      <c r="G5" t="n">
        <v>0</v>
      </c>
      <c r="H5">
        <f>IF(F5="",AsOf-D5,F5-D5)</f>
        <v/>
      </c>
      <c r="I5">
        <f>IF(F5&lt;&gt;"","Paid",IF(H5&lt;=0,"Current",IF(H5&lt;=30,"1-30",IF(H5&lt;=60,"31-60",IF(H5&lt;=90,"61-90","90+")))))</f>
        <v/>
      </c>
      <c r="J5">
        <f>IF(F5="",E5,0)</f>
        <v/>
      </c>
    </row>
    <row r="6">
      <c r="A6" t="inlineStr">
        <is>
          <t>INV-0005</t>
        </is>
      </c>
      <c r="B6" t="inlineStr">
        <is>
          <t>Star Market</t>
        </is>
      </c>
      <c r="C6" s="2" t="n">
        <v>46115</v>
      </c>
      <c r="D6" s="2" t="n">
        <v>46136</v>
      </c>
      <c r="E6" s="3" t="n">
        <v>236189</v>
      </c>
      <c r="F6" s="2" t="n">
        <v>46142</v>
      </c>
      <c r="G6" t="n">
        <v>0</v>
      </c>
      <c r="H6">
        <f>IF(F6="",AsOf-D6,F6-D6)</f>
        <v/>
      </c>
      <c r="I6">
        <f>IF(F6&lt;&gt;"","Paid",IF(H6&lt;=0,"Current",IF(H6&lt;=30,"1-30",IF(H6&lt;=60,"31-60",IF(H6&lt;=90,"61-90","90+")))))</f>
        <v/>
      </c>
      <c r="J6">
        <f>IF(F6="",E6,0)</f>
        <v/>
      </c>
    </row>
    <row r="7">
      <c r="A7" t="inlineStr">
        <is>
          <t>INV-0006</t>
        </is>
      </c>
      <c r="B7" t="inlineStr">
        <is>
          <t>Daily Needs</t>
        </is>
      </c>
      <c r="C7" s="2" t="n">
        <v>46125</v>
      </c>
      <c r="D7" s="2" t="n">
        <v>46146</v>
      </c>
      <c r="E7" s="3" t="n">
        <v>399920</v>
      </c>
      <c r="F7" s="2" t="n">
        <v>46160</v>
      </c>
      <c r="G7" t="n">
        <v>0</v>
      </c>
      <c r="H7">
        <f>IF(F7="",AsOf-D7,F7-D7)</f>
        <v/>
      </c>
      <c r="I7">
        <f>IF(F7&lt;&gt;"","Paid",IF(H7&lt;=0,"Current",IF(H7&lt;=30,"1-30",IF(H7&lt;=60,"31-60",IF(H7&lt;=90,"61-90","90+")))))</f>
        <v/>
      </c>
      <c r="J7">
        <f>IF(F7="",E7,0)</f>
        <v/>
      </c>
    </row>
    <row r="8">
      <c r="A8" t="inlineStr">
        <is>
          <t>INV-0007</t>
        </is>
      </c>
      <c r="B8" t="inlineStr">
        <is>
          <t>Daily Needs</t>
        </is>
      </c>
      <c r="C8" s="2" t="n">
        <v>46139</v>
      </c>
      <c r="D8" s="2" t="n">
        <v>46160</v>
      </c>
      <c r="E8" s="3" t="n">
        <v>189632</v>
      </c>
      <c r="F8" s="2" t="n">
        <v>46167</v>
      </c>
      <c r="G8" t="n">
        <v>0</v>
      </c>
      <c r="H8">
        <f>IF(F8="",AsOf-D8,F8-D8)</f>
        <v/>
      </c>
      <c r="I8">
        <f>IF(F8&lt;&gt;"","Paid",IF(H8&lt;=0,"Current",IF(H8&lt;=30,"1-30",IF(H8&lt;=60,"31-60",IF(H8&lt;=90,"61-90","90+")))))</f>
        <v/>
      </c>
      <c r="J8">
        <f>IF(F8="",E8,0)</f>
        <v/>
      </c>
    </row>
    <row r="9">
      <c r="A9" t="inlineStr">
        <is>
          <t>INV-0008</t>
        </is>
      </c>
      <c r="B9" t="inlineStr">
        <is>
          <t>Metro Retail</t>
        </is>
      </c>
      <c r="C9" s="2" t="n">
        <v>46157</v>
      </c>
      <c r="D9" s="2" t="n">
        <v>46178</v>
      </c>
      <c r="E9" s="3" t="n">
        <v>83030</v>
      </c>
      <c r="F9" s="2" t="n">
        <v>46165</v>
      </c>
      <c r="G9" t="n">
        <v>0</v>
      </c>
      <c r="H9">
        <f>IF(F9="",AsOf-D9,F9-D9)</f>
        <v/>
      </c>
      <c r="I9">
        <f>IF(F9&lt;&gt;"","Paid",IF(H9&lt;=0,"Current",IF(H9&lt;=30,"1-30",IF(H9&lt;=60,"31-60",IF(H9&lt;=90,"61-90","90+")))))</f>
        <v/>
      </c>
      <c r="J9">
        <f>IF(F9="",E9,0)</f>
        <v/>
      </c>
    </row>
    <row r="10">
      <c r="A10" t="inlineStr">
        <is>
          <t>INV-0009</t>
        </is>
      </c>
      <c r="B10" t="inlineStr">
        <is>
          <t>Apna Bazar</t>
        </is>
      </c>
      <c r="C10" s="2" t="n">
        <v>46153</v>
      </c>
      <c r="D10" s="2" t="n">
        <v>46174</v>
      </c>
      <c r="E10" s="3" t="n">
        <v>171542</v>
      </c>
      <c r="F10" s="2" t="n">
        <v>46184</v>
      </c>
      <c r="G10" t="n">
        <v>0</v>
      </c>
      <c r="H10">
        <f>IF(F10="",AsOf-D10,F10-D10)</f>
        <v/>
      </c>
      <c r="I10">
        <f>IF(F10&lt;&gt;"","Paid",IF(H10&lt;=0,"Current",IF(H10&lt;=30,"1-30",IF(H10&lt;=60,"31-60",IF(H10&lt;=90,"61-90","90+")))))</f>
        <v/>
      </c>
      <c r="J10">
        <f>IF(F10="",E10,0)</f>
        <v/>
      </c>
    </row>
    <row r="11">
      <c r="A11" t="inlineStr">
        <is>
          <t>INV-0010</t>
        </is>
      </c>
      <c r="B11" t="inlineStr">
        <is>
          <t>Apna Bazar</t>
        </is>
      </c>
      <c r="C11" s="2" t="n">
        <v>46162</v>
      </c>
      <c r="D11" s="2" t="n">
        <v>46183</v>
      </c>
      <c r="E11" s="3" t="n">
        <v>88037</v>
      </c>
      <c r="G11" t="n">
        <v>0</v>
      </c>
      <c r="H11">
        <f>IF(F11="",AsOf-D11,F11-D11)</f>
        <v/>
      </c>
      <c r="I11">
        <f>IF(F11&lt;&gt;"","Paid",IF(H11&lt;=0,"Current",IF(H11&lt;=30,"1-30",IF(H11&lt;=60,"31-60",IF(H11&lt;=90,"61-90","90+")))))</f>
        <v/>
      </c>
      <c r="J11">
        <f>IF(F11="",E11,0)</f>
        <v/>
      </c>
    </row>
    <row r="12">
      <c r="A12" t="inlineStr">
        <is>
          <t>INV-0011</t>
        </is>
      </c>
      <c r="B12" t="inlineStr">
        <is>
          <t>Metro Retail</t>
        </is>
      </c>
      <c r="C12" s="2" t="n">
        <v>46162</v>
      </c>
      <c r="D12" s="2" t="n">
        <v>46183</v>
      </c>
      <c r="E12" s="3" t="n">
        <v>113098</v>
      </c>
      <c r="F12" s="2" t="n">
        <v>46182</v>
      </c>
      <c r="G12" t="n">
        <v>0</v>
      </c>
      <c r="H12">
        <f>IF(F12="",AsOf-D12,F12-D12)</f>
        <v/>
      </c>
      <c r="I12">
        <f>IF(F12&lt;&gt;"","Paid",IF(H12&lt;=0,"Current",IF(H12&lt;=30,"1-30",IF(H12&lt;=60,"31-60",IF(H12&lt;=90,"61-90","90+")))))</f>
        <v/>
      </c>
      <c r="J12">
        <f>IF(F12="",E12,0)</f>
        <v/>
      </c>
    </row>
    <row r="13">
      <c r="A13" t="inlineStr">
        <is>
          <t>INV-0012</t>
        </is>
      </c>
      <c r="B13" t="inlineStr">
        <is>
          <t>Value Plus</t>
        </is>
      </c>
      <c r="C13" s="2" t="n">
        <v>46155</v>
      </c>
      <c r="D13" s="2" t="n">
        <v>46176</v>
      </c>
      <c r="E13" s="3" t="n">
        <v>60287</v>
      </c>
      <c r="F13" s="2" t="n">
        <v>46171</v>
      </c>
      <c r="G13" t="n">
        <v>0</v>
      </c>
      <c r="H13">
        <f>IF(F13="",AsOf-D13,F13-D13)</f>
        <v/>
      </c>
      <c r="I13">
        <f>IF(F13&lt;&gt;"","Paid",IF(H13&lt;=0,"Current",IF(H13&lt;=30,"1-30",IF(H13&lt;=60,"31-60",IF(H13&lt;=90,"61-90","90+")))))</f>
        <v/>
      </c>
      <c r="J13">
        <f>IF(F13="",E13,0)</f>
        <v/>
      </c>
    </row>
    <row r="14">
      <c r="A14" t="inlineStr">
        <is>
          <t>INV-0013</t>
        </is>
      </c>
      <c r="B14" t="inlineStr">
        <is>
          <t>Local Hub</t>
        </is>
      </c>
      <c r="C14" s="2" t="n">
        <v>46178</v>
      </c>
      <c r="D14" s="2" t="n">
        <v>46199</v>
      </c>
      <c r="E14" s="3" t="n">
        <v>263391</v>
      </c>
      <c r="F14" s="2" t="n">
        <v>46211</v>
      </c>
      <c r="G14" t="n">
        <v>0</v>
      </c>
      <c r="H14">
        <f>IF(F14="",AsOf-D14,F14-D14)</f>
        <v/>
      </c>
      <c r="I14">
        <f>IF(F14&lt;&gt;"","Paid",IF(H14&lt;=0,"Current",IF(H14&lt;=30,"1-30",IF(H14&lt;=60,"31-60",IF(H14&lt;=90,"61-90","90+")))))</f>
        <v/>
      </c>
      <c r="J14">
        <f>IF(F14="",E14,0)</f>
        <v/>
      </c>
    </row>
    <row r="15">
      <c r="A15" t="inlineStr">
        <is>
          <t>INV-0014</t>
        </is>
      </c>
      <c r="B15" t="inlineStr">
        <is>
          <t>Metro Retail</t>
        </is>
      </c>
      <c r="C15" s="2" t="n">
        <v>46186</v>
      </c>
      <c r="D15" s="2" t="n">
        <v>46207</v>
      </c>
      <c r="E15" s="3" t="n">
        <v>139901</v>
      </c>
      <c r="G15" t="n">
        <v>0</v>
      </c>
      <c r="H15">
        <f>IF(F15="",AsOf-D15,F15-D15)</f>
        <v/>
      </c>
      <c r="I15">
        <f>IF(F15&lt;&gt;"","Paid",IF(H15&lt;=0,"Current",IF(H15&lt;=30,"1-30",IF(H15&lt;=60,"31-60",IF(H15&lt;=90,"61-90","90+")))))</f>
        <v/>
      </c>
      <c r="J15">
        <f>IF(F15="",E15,0)</f>
        <v/>
      </c>
    </row>
    <row r="16">
      <c r="A16" t="inlineStr">
        <is>
          <t>INV-0015</t>
        </is>
      </c>
      <c r="B16" t="inlineStr">
        <is>
          <t>City Mart</t>
        </is>
      </c>
      <c r="C16" s="2" t="n">
        <v>46190</v>
      </c>
      <c r="D16" s="2" t="n">
        <v>46211</v>
      </c>
      <c r="E16" s="3" t="n">
        <v>231128</v>
      </c>
      <c r="F16" s="2" t="n">
        <v>46200</v>
      </c>
      <c r="G16" t="n">
        <v>0</v>
      </c>
      <c r="H16">
        <f>IF(F16="",AsOf-D16,F16-D16)</f>
        <v/>
      </c>
      <c r="I16">
        <f>IF(F16&lt;&gt;"","Paid",IF(H16&lt;=0,"Current",IF(H16&lt;=30,"1-30",IF(H16&lt;=60,"31-60",IF(H16&lt;=90,"61-90","90+")))))</f>
        <v/>
      </c>
      <c r="J16">
        <f>IF(F16="",E16,0)</f>
        <v/>
      </c>
    </row>
    <row r="17">
      <c r="A17" t="inlineStr">
        <is>
          <t>INV-0016</t>
        </is>
      </c>
      <c r="B17" t="inlineStr">
        <is>
          <t>Green Grocer</t>
        </is>
      </c>
      <c r="C17" s="2" t="n">
        <v>46193</v>
      </c>
      <c r="D17" s="2" t="n">
        <v>46214</v>
      </c>
      <c r="E17" s="3" t="n">
        <v>213165</v>
      </c>
      <c r="F17" s="2" t="n">
        <v>46205</v>
      </c>
      <c r="G17" t="n">
        <v>0</v>
      </c>
      <c r="H17">
        <f>IF(F17="",AsOf-D17,F17-D17)</f>
        <v/>
      </c>
      <c r="I17">
        <f>IF(F17&lt;&gt;"","Paid",IF(H17&lt;=0,"Current",IF(H17&lt;=30,"1-30",IF(H17&lt;=60,"31-60",IF(H17&lt;=90,"61-90","90+")))))</f>
        <v/>
      </c>
      <c r="J17">
        <f>IF(F17="",E17,0)</f>
        <v/>
      </c>
    </row>
    <row r="18">
      <c r="A18" t="inlineStr">
        <is>
          <t>INV-0017</t>
        </is>
      </c>
      <c r="B18" t="inlineStr">
        <is>
          <t>Local Hub</t>
        </is>
      </c>
      <c r="C18" s="2" t="n">
        <v>46191</v>
      </c>
      <c r="D18" s="2" t="n">
        <v>46212</v>
      </c>
      <c r="E18" s="3" t="n">
        <v>122385</v>
      </c>
      <c r="F18" s="2" t="n">
        <v>46224</v>
      </c>
      <c r="G18" t="n">
        <v>0</v>
      </c>
      <c r="H18">
        <f>IF(F18="",AsOf-D18,F18-D18)</f>
        <v/>
      </c>
      <c r="I18">
        <f>IF(F18&lt;&gt;"","Paid",IF(H18&lt;=0,"Current",IF(H18&lt;=30,"1-30",IF(H18&lt;=60,"31-60",IF(H18&lt;=90,"61-90","90+")))))</f>
        <v/>
      </c>
      <c r="J18">
        <f>IF(F18="",E18,0)</f>
        <v/>
      </c>
    </row>
    <row r="19">
      <c r="A19" t="inlineStr">
        <is>
          <t>INV-0018</t>
        </is>
      </c>
      <c r="B19" t="inlineStr">
        <is>
          <t>Star Market</t>
        </is>
      </c>
      <c r="C19" s="2" t="n">
        <v>46181</v>
      </c>
      <c r="D19" s="2" t="n">
        <v>46202</v>
      </c>
      <c r="E19" s="3" t="n">
        <v>280358</v>
      </c>
      <c r="F19" s="2" t="n">
        <v>46214</v>
      </c>
      <c r="G19" t="n">
        <v>0</v>
      </c>
      <c r="H19">
        <f>IF(F19="",AsOf-D19,F19-D19)</f>
        <v/>
      </c>
      <c r="I19">
        <f>IF(F19&lt;&gt;"","Paid",IF(H19&lt;=0,"Current",IF(H19&lt;=30,"1-30",IF(H19&lt;=60,"31-60",IF(H19&lt;=90,"61-90","90+")))))</f>
        <v/>
      </c>
      <c r="J19">
        <f>IF(F19="",E19,0)</f>
        <v/>
      </c>
    </row>
    <row r="20">
      <c r="A20" t="inlineStr">
        <is>
          <t>INV-0019</t>
        </is>
      </c>
      <c r="B20" t="inlineStr">
        <is>
          <t>City Mart</t>
        </is>
      </c>
      <c r="C20" s="2" t="n">
        <v>46189</v>
      </c>
      <c r="D20" s="2" t="n">
        <v>46210</v>
      </c>
      <c r="E20" s="3" t="n">
        <v>139208</v>
      </c>
      <c r="G20" t="n">
        <v>0</v>
      </c>
      <c r="H20">
        <f>IF(F20="",AsOf-D20,F20-D20)</f>
        <v/>
      </c>
      <c r="I20">
        <f>IF(F20&lt;&gt;"","Paid",IF(H20&lt;=0,"Current",IF(H20&lt;=30,"1-30",IF(H20&lt;=60,"31-60",IF(H20&lt;=90,"61-90","90+")))))</f>
        <v/>
      </c>
      <c r="J20">
        <f>IF(F20="",E20,0)</f>
        <v/>
      </c>
    </row>
    <row r="21">
      <c r="A21" t="inlineStr">
        <is>
          <t>INV-0020</t>
        </is>
      </c>
      <c r="B21" t="inlineStr">
        <is>
          <t>Daily Needs</t>
        </is>
      </c>
      <c r="C21" s="2" t="n">
        <v>46212</v>
      </c>
      <c r="D21" s="2" t="n">
        <v>46233</v>
      </c>
      <c r="E21" s="3" t="n">
        <v>368240</v>
      </c>
      <c r="F21" s="2" t="n">
        <v>46236</v>
      </c>
      <c r="G21" t="n">
        <v>0</v>
      </c>
      <c r="H21">
        <f>IF(F21="",AsOf-D21,F21-D21)</f>
        <v/>
      </c>
      <c r="I21">
        <f>IF(F21&lt;&gt;"","Paid",IF(H21&lt;=0,"Current",IF(H21&lt;=30,"1-30",IF(H21&lt;=60,"31-60",IF(H21&lt;=90,"61-90","90+")))))</f>
        <v/>
      </c>
      <c r="J21">
        <f>IF(F21="",E21,0)</f>
        <v/>
      </c>
    </row>
    <row r="22">
      <c r="A22" t="inlineStr">
        <is>
          <t>INV-0021</t>
        </is>
      </c>
      <c r="B22" t="inlineStr">
        <is>
          <t>City Mart</t>
        </is>
      </c>
      <c r="C22" s="2" t="n">
        <v>46221</v>
      </c>
      <c r="D22" s="2" t="n">
        <v>46242</v>
      </c>
      <c r="E22" s="3" t="n">
        <v>301579</v>
      </c>
      <c r="F22" s="2" t="n">
        <v>46255</v>
      </c>
      <c r="G22" t="n">
        <v>0</v>
      </c>
      <c r="H22">
        <f>IF(F22="",AsOf-D22,F22-D22)</f>
        <v/>
      </c>
      <c r="I22">
        <f>IF(F22&lt;&gt;"","Paid",IF(H22&lt;=0,"Current",IF(H22&lt;=30,"1-30",IF(H22&lt;=60,"31-60",IF(H22&lt;=90,"61-90","90+")))))</f>
        <v/>
      </c>
      <c r="J22">
        <f>IF(F22="",E22,0)</f>
        <v/>
      </c>
    </row>
    <row r="23">
      <c r="A23" t="inlineStr">
        <is>
          <t>INV-0022</t>
        </is>
      </c>
      <c r="B23" t="inlineStr">
        <is>
          <t>Metro Retail</t>
        </is>
      </c>
      <c r="C23" s="2" t="n">
        <v>46207</v>
      </c>
      <c r="D23" s="2" t="n">
        <v>46228</v>
      </c>
      <c r="E23" s="3" t="n">
        <v>237961</v>
      </c>
      <c r="F23" s="2" t="n">
        <v>46210</v>
      </c>
      <c r="G23" t="n">
        <v>0</v>
      </c>
      <c r="H23">
        <f>IF(F23="",AsOf-D23,F23-D23)</f>
        <v/>
      </c>
      <c r="I23">
        <f>IF(F23&lt;&gt;"","Paid",IF(H23&lt;=0,"Current",IF(H23&lt;=30,"1-30",IF(H23&lt;=60,"31-60",IF(H23&lt;=90,"61-90","90+")))))</f>
        <v/>
      </c>
      <c r="J23">
        <f>IF(F23="",E23,0)</f>
        <v/>
      </c>
    </row>
    <row r="24">
      <c r="A24" t="inlineStr">
        <is>
          <t>INV-0023</t>
        </is>
      </c>
      <c r="B24" t="inlineStr">
        <is>
          <t>Value Plus</t>
        </is>
      </c>
      <c r="C24" s="2" t="n">
        <v>46228</v>
      </c>
      <c r="D24" s="2" t="n">
        <v>46249</v>
      </c>
      <c r="E24" s="3" t="n">
        <v>149428</v>
      </c>
      <c r="F24" s="2" t="n">
        <v>46242</v>
      </c>
      <c r="G24" t="n">
        <v>0</v>
      </c>
      <c r="H24">
        <f>IF(F24="",AsOf-D24,F24-D24)</f>
        <v/>
      </c>
      <c r="I24">
        <f>IF(F24&lt;&gt;"","Paid",IF(H24&lt;=0,"Current",IF(H24&lt;=30,"1-30",IF(H24&lt;=60,"31-60",IF(H24&lt;=90,"61-90","90+")))))</f>
        <v/>
      </c>
      <c r="J24">
        <f>IF(F24="",E24,0)</f>
        <v/>
      </c>
    </row>
    <row r="25">
      <c r="A25" t="inlineStr">
        <is>
          <t>INV-0024</t>
        </is>
      </c>
      <c r="B25" t="inlineStr">
        <is>
          <t>Kiran Stores</t>
        </is>
      </c>
      <c r="C25" s="2" t="n">
        <v>46204</v>
      </c>
      <c r="D25" s="2" t="n">
        <v>46225</v>
      </c>
      <c r="E25" s="3" t="n">
        <v>87052</v>
      </c>
      <c r="F25" s="2" t="n">
        <v>46209</v>
      </c>
      <c r="G25" t="n">
        <v>0</v>
      </c>
      <c r="H25">
        <f>IF(F25="",AsOf-D25,F25-D25)</f>
        <v/>
      </c>
      <c r="I25">
        <f>IF(F25&lt;&gt;"","Paid",IF(H25&lt;=0,"Current",IF(H25&lt;=30,"1-30",IF(H25&lt;=60,"31-60",IF(H25&lt;=90,"61-90","90+")))))</f>
        <v/>
      </c>
      <c r="J25">
        <f>IF(F25="",E25,0)</f>
        <v/>
      </c>
    </row>
    <row r="26">
      <c r="A26" t="inlineStr">
        <is>
          <t>INV-0025</t>
        </is>
      </c>
      <c r="B26" t="inlineStr">
        <is>
          <t>Star Market</t>
        </is>
      </c>
      <c r="C26" s="2" t="n">
        <v>46255</v>
      </c>
      <c r="D26" s="2" t="n">
        <v>46276</v>
      </c>
      <c r="E26" s="3" t="n">
        <v>356914</v>
      </c>
      <c r="F26" s="2" t="n">
        <v>46287</v>
      </c>
      <c r="G26" t="n">
        <v>0</v>
      </c>
      <c r="H26">
        <f>IF(F26="",AsOf-D26,F26-D26)</f>
        <v/>
      </c>
      <c r="I26">
        <f>IF(F26&lt;&gt;"","Paid",IF(H26&lt;=0,"Current",IF(H26&lt;=30,"1-30",IF(H26&lt;=60,"31-60",IF(H26&lt;=90,"61-90","90+")))))</f>
        <v/>
      </c>
      <c r="J26">
        <f>IF(F26="",E26,0)</f>
        <v/>
      </c>
    </row>
    <row r="27">
      <c r="A27" t="inlineStr">
        <is>
          <t>INV-0026</t>
        </is>
      </c>
      <c r="B27" t="inlineStr">
        <is>
          <t>Fresh Bazar</t>
        </is>
      </c>
      <c r="C27" s="2" t="n">
        <v>46253</v>
      </c>
      <c r="D27" s="2" t="n">
        <v>46274</v>
      </c>
      <c r="E27" s="3" t="n">
        <v>103365</v>
      </c>
      <c r="F27" s="2" t="n">
        <v>46274</v>
      </c>
      <c r="G27" t="n">
        <v>0</v>
      </c>
      <c r="H27">
        <f>IF(F27="",AsOf-D27,F27-D27)</f>
        <v/>
      </c>
      <c r="I27">
        <f>IF(F27&lt;&gt;"","Paid",IF(H27&lt;=0,"Current",IF(H27&lt;=30,"1-30",IF(H27&lt;=60,"31-60",IF(H27&lt;=90,"61-90","90+")))))</f>
        <v/>
      </c>
      <c r="J27">
        <f>IF(F27="",E27,0)</f>
        <v/>
      </c>
    </row>
    <row r="28">
      <c r="A28" t="inlineStr">
        <is>
          <t>INV-0027</t>
        </is>
      </c>
      <c r="B28" t="inlineStr">
        <is>
          <t>Apna Bazar</t>
        </is>
      </c>
      <c r="C28" s="2" t="n">
        <v>46252</v>
      </c>
      <c r="D28" s="2" t="n">
        <v>46273</v>
      </c>
      <c r="E28" s="3" t="n">
        <v>290257</v>
      </c>
      <c r="F28" s="2" t="n">
        <v>46265</v>
      </c>
      <c r="G28" t="n">
        <v>0</v>
      </c>
      <c r="H28">
        <f>IF(F28="",AsOf-D28,F28-D28)</f>
        <v/>
      </c>
      <c r="I28">
        <f>IF(F28&lt;&gt;"","Paid",IF(H28&lt;=0,"Current",IF(H28&lt;=30,"1-30",IF(H28&lt;=60,"31-60",IF(H28&lt;=90,"61-90","90+")))))</f>
        <v/>
      </c>
      <c r="J28">
        <f>IF(F28="",E28,0)</f>
        <v/>
      </c>
    </row>
    <row r="29">
      <c r="A29" t="inlineStr">
        <is>
          <t>INV-0028</t>
        </is>
      </c>
      <c r="B29" t="inlineStr">
        <is>
          <t>City Mart</t>
        </is>
      </c>
      <c r="C29" s="2" t="n">
        <v>46241</v>
      </c>
      <c r="D29" s="2" t="n">
        <v>46262</v>
      </c>
      <c r="E29" s="3" t="n">
        <v>157342</v>
      </c>
      <c r="F29" s="2" t="n">
        <v>46266</v>
      </c>
      <c r="G29" t="n">
        <v>0</v>
      </c>
      <c r="H29">
        <f>IF(F29="",AsOf-D29,F29-D29)</f>
        <v/>
      </c>
      <c r="I29">
        <f>IF(F29&lt;&gt;"","Paid",IF(H29&lt;=0,"Current",IF(H29&lt;=30,"1-30",IF(H29&lt;=60,"31-60",IF(H29&lt;=90,"61-90","90+")))))</f>
        <v/>
      </c>
      <c r="J29">
        <f>IF(F29="",E29,0)</f>
        <v/>
      </c>
    </row>
    <row r="30">
      <c r="A30" t="inlineStr">
        <is>
          <t>INV-0029</t>
        </is>
      </c>
      <c r="B30" t="inlineStr">
        <is>
          <t>Green Grocer</t>
        </is>
      </c>
      <c r="C30" s="2" t="n">
        <v>46244</v>
      </c>
      <c r="D30" s="2" t="n">
        <v>46265</v>
      </c>
      <c r="E30" s="3" t="n">
        <v>184200</v>
      </c>
      <c r="F30" s="2" t="n">
        <v>46252</v>
      </c>
      <c r="G30" t="n">
        <v>0</v>
      </c>
      <c r="H30">
        <f>IF(F30="",AsOf-D30,F30-D30)</f>
        <v/>
      </c>
      <c r="I30">
        <f>IF(F30&lt;&gt;"","Paid",IF(H30&lt;=0,"Current",IF(H30&lt;=30,"1-30",IF(H30&lt;=60,"31-60",IF(H30&lt;=90,"61-90","90+")))))</f>
        <v/>
      </c>
      <c r="J30">
        <f>IF(F30="",E30,0)</f>
        <v/>
      </c>
    </row>
    <row r="31">
      <c r="A31" t="inlineStr">
        <is>
          <t>INV-0030</t>
        </is>
      </c>
      <c r="B31" t="inlineStr">
        <is>
          <t>Apna Bazar</t>
        </is>
      </c>
      <c r="C31" s="2" t="n">
        <v>46259</v>
      </c>
      <c r="D31" s="2" t="n">
        <v>46280</v>
      </c>
      <c r="E31" s="3" t="n">
        <v>76967</v>
      </c>
      <c r="G31" t="n">
        <v>0</v>
      </c>
      <c r="H31">
        <f>IF(F31="",AsOf-D31,F31-D31)</f>
        <v/>
      </c>
      <c r="I31">
        <f>IF(F31&lt;&gt;"","Paid",IF(H31&lt;=0,"Current",IF(H31&lt;=30,"1-30",IF(H31&lt;=60,"31-60",IF(H31&lt;=90,"61-90","90+")))))</f>
        <v/>
      </c>
      <c r="J31">
        <f>IF(F31="",E31,0)</f>
        <v/>
      </c>
    </row>
    <row r="32">
      <c r="A32" t="inlineStr">
        <is>
          <t>INV-0031</t>
        </is>
      </c>
      <c r="B32" t="inlineStr">
        <is>
          <t>Daily Needs</t>
        </is>
      </c>
      <c r="C32" s="2" t="n">
        <v>46256</v>
      </c>
      <c r="D32" s="2" t="n">
        <v>46277</v>
      </c>
      <c r="E32" s="3" t="n">
        <v>64303</v>
      </c>
      <c r="F32" s="2" t="n">
        <v>46291</v>
      </c>
      <c r="G32" t="n">
        <v>0</v>
      </c>
      <c r="H32">
        <f>IF(F32="",AsOf-D32,F32-D32)</f>
        <v/>
      </c>
      <c r="I32">
        <f>IF(F32&lt;&gt;"","Paid",IF(H32&lt;=0,"Current",IF(H32&lt;=30,"1-30",IF(H32&lt;=60,"31-60",IF(H32&lt;=90,"61-90","90+")))))</f>
        <v/>
      </c>
      <c r="J32">
        <f>IF(F32="",E32,0)</f>
        <v/>
      </c>
    </row>
    <row r="33">
      <c r="A33" t="inlineStr">
        <is>
          <t>INV-0032</t>
        </is>
      </c>
      <c r="B33" t="inlineStr">
        <is>
          <t>Local Hub</t>
        </is>
      </c>
      <c r="C33" s="2" t="n">
        <v>46276</v>
      </c>
      <c r="D33" s="2" t="n">
        <v>46297</v>
      </c>
      <c r="E33" s="3" t="n">
        <v>242795</v>
      </c>
      <c r="F33" s="2" t="n">
        <v>46294</v>
      </c>
      <c r="G33" t="n">
        <v>1</v>
      </c>
      <c r="H33">
        <f>IF(F33="",AsOf-D33,F33-D33)</f>
        <v/>
      </c>
      <c r="I33">
        <f>IF(F33&lt;&gt;"","Paid",IF(H33&lt;=0,"Current",IF(H33&lt;=30,"1-30",IF(H33&lt;=60,"31-60",IF(H33&lt;=90,"61-90","90+")))))</f>
        <v/>
      </c>
      <c r="J33">
        <f>IF(F33="",E33,0)</f>
        <v/>
      </c>
    </row>
    <row r="34">
      <c r="A34" t="inlineStr">
        <is>
          <t>INV-0033</t>
        </is>
      </c>
      <c r="B34" t="inlineStr">
        <is>
          <t>Star Market</t>
        </is>
      </c>
      <c r="C34" s="2" t="n">
        <v>46286</v>
      </c>
      <c r="D34" s="2" t="n">
        <v>46307</v>
      </c>
      <c r="E34" s="3" t="n">
        <v>214272</v>
      </c>
      <c r="F34" s="2" t="n">
        <v>46293</v>
      </c>
      <c r="G34" t="n">
        <v>1</v>
      </c>
      <c r="H34">
        <f>IF(F34="",AsOf-D34,F34-D34)</f>
        <v/>
      </c>
      <c r="I34">
        <f>IF(F34&lt;&gt;"","Paid",IF(H34&lt;=0,"Current",IF(H34&lt;=30,"1-30",IF(H34&lt;=60,"31-60",IF(H34&lt;=90,"61-90","90+")))))</f>
        <v/>
      </c>
      <c r="J34">
        <f>IF(F34="",E34,0)</f>
        <v/>
      </c>
    </row>
    <row r="35">
      <c r="A35" t="inlineStr">
        <is>
          <t>INV-0034</t>
        </is>
      </c>
      <c r="B35" t="inlineStr">
        <is>
          <t>Local Hub</t>
        </is>
      </c>
      <c r="C35" s="2" t="n">
        <v>46267</v>
      </c>
      <c r="D35" s="2" t="n">
        <v>46288</v>
      </c>
      <c r="E35" s="3" t="n">
        <v>231991</v>
      </c>
      <c r="F35" s="2" t="n">
        <v>46280</v>
      </c>
      <c r="G35" t="n">
        <v>0</v>
      </c>
      <c r="H35">
        <f>IF(F35="",AsOf-D35,F35-D35)</f>
        <v/>
      </c>
      <c r="I35">
        <f>IF(F35&lt;&gt;"","Paid",IF(H35&lt;=0,"Current",IF(H35&lt;=30,"1-30",IF(H35&lt;=60,"31-60",IF(H35&lt;=90,"61-90","90+")))))</f>
        <v/>
      </c>
      <c r="J35">
        <f>IF(F35="",E35,0)</f>
        <v/>
      </c>
    </row>
    <row r="36">
      <c r="A36" t="inlineStr">
        <is>
          <t>INV-0035</t>
        </is>
      </c>
      <c r="B36" t="inlineStr">
        <is>
          <t>Value Plus</t>
        </is>
      </c>
      <c r="C36" s="2" t="n">
        <v>46290</v>
      </c>
      <c r="D36" s="2" t="n">
        <v>46311</v>
      </c>
      <c r="E36" s="3" t="n">
        <v>57837</v>
      </c>
      <c r="F36" s="2" t="n">
        <v>46295</v>
      </c>
      <c r="G36" t="n">
        <v>1</v>
      </c>
      <c r="H36">
        <f>IF(F36="",AsOf-D36,F36-D36)</f>
        <v/>
      </c>
      <c r="I36">
        <f>IF(F36&lt;&gt;"","Paid",IF(H36&lt;=0,"Current",IF(H36&lt;=30,"1-30",IF(H36&lt;=60,"31-60",IF(H36&lt;=90,"61-90","90+")))))</f>
        <v/>
      </c>
      <c r="J36">
        <f>IF(F36="",E36,0)</f>
        <v/>
      </c>
    </row>
    <row r="37">
      <c r="A37" t="inlineStr">
        <is>
          <t>INV-0036</t>
        </is>
      </c>
      <c r="B37" t="inlineStr">
        <is>
          <t>Metro Retail</t>
        </is>
      </c>
      <c r="C37" s="2" t="n">
        <v>46272</v>
      </c>
      <c r="D37" s="2" t="n">
        <v>46293</v>
      </c>
      <c r="E37" s="3" t="n">
        <v>260619</v>
      </c>
      <c r="F37" s="2" t="n">
        <v>46279</v>
      </c>
      <c r="G37" t="n">
        <v>0</v>
      </c>
      <c r="H37">
        <f>IF(F37="",AsOf-D37,F37-D37)</f>
        <v/>
      </c>
      <c r="I37">
        <f>IF(F37&lt;&gt;"","Paid",IF(H37&lt;=0,"Current",IF(H37&lt;=30,"1-30",IF(H37&lt;=60,"31-60",IF(H37&lt;=90,"61-90","90+")))))</f>
        <v/>
      </c>
      <c r="J37">
        <f>IF(F37="",E37,0)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Pay Date</t>
        </is>
      </c>
      <c r="E1" s="1" t="inlineStr">
        <is>
          <t>Gross</t>
        </is>
      </c>
      <c r="F1" s="1" t="inlineStr">
        <is>
          <t>Deductions</t>
        </is>
      </c>
      <c r="G1" s="1" t="inlineStr">
        <is>
          <t>Net</t>
        </is>
      </c>
    </row>
    <row r="2">
      <c r="A2" t="inlineStr">
        <is>
          <t>E001</t>
        </is>
      </c>
      <c r="B2" t="inlineStr">
        <is>
          <t>Ravi</t>
        </is>
      </c>
      <c r="C2" t="inlineStr">
        <is>
          <t>Sales</t>
        </is>
      </c>
      <c r="D2" s="2" t="n">
        <v>46142</v>
      </c>
      <c r="E2" s="3" t="n">
        <v>45000</v>
      </c>
      <c r="F2" s="3" t="n">
        <v>4500</v>
      </c>
      <c r="G2" s="3">
        <f>E2-F2</f>
        <v/>
      </c>
    </row>
    <row r="3">
      <c r="A3" t="inlineStr">
        <is>
          <t>E002</t>
        </is>
      </c>
      <c r="B3" t="inlineStr">
        <is>
          <t>Sunita</t>
        </is>
      </c>
      <c r="C3" t="inlineStr">
        <is>
          <t>Sales</t>
        </is>
      </c>
      <c r="D3" s="2" t="n">
        <v>46142</v>
      </c>
      <c r="E3" s="3" t="n">
        <v>38000</v>
      </c>
      <c r="F3" s="3" t="n">
        <v>3800</v>
      </c>
      <c r="G3" s="3">
        <f>E3-F3</f>
        <v/>
      </c>
    </row>
    <row r="4">
      <c r="A4" t="inlineStr">
        <is>
          <t>E003</t>
        </is>
      </c>
      <c r="B4" t="inlineStr">
        <is>
          <t>Amit</t>
        </is>
      </c>
      <c r="C4" t="inlineStr">
        <is>
          <t>Office</t>
        </is>
      </c>
      <c r="D4" s="2" t="n">
        <v>46142</v>
      </c>
      <c r="E4" s="3" t="n">
        <v>30000</v>
      </c>
      <c r="F4" s="3" t="n">
        <v>3000</v>
      </c>
      <c r="G4" s="3">
        <f>E4-F4</f>
        <v/>
      </c>
    </row>
    <row r="5">
      <c r="A5" t="inlineStr">
        <is>
          <t>E004</t>
        </is>
      </c>
      <c r="B5" t="inlineStr">
        <is>
          <t>Pooja</t>
        </is>
      </c>
      <c r="C5" t="inlineStr">
        <is>
          <t>Office</t>
        </is>
      </c>
      <c r="D5" s="2" t="n">
        <v>46142</v>
      </c>
      <c r="E5" s="3" t="n">
        <v>28000</v>
      </c>
      <c r="F5" s="3" t="n">
        <v>2800</v>
      </c>
      <c r="G5" s="3">
        <f>E5-F5</f>
        <v/>
      </c>
    </row>
    <row r="6">
      <c r="A6" t="inlineStr">
        <is>
          <t>E005</t>
        </is>
      </c>
      <c r="B6" t="inlineStr">
        <is>
          <t>Vikash</t>
        </is>
      </c>
      <c r="C6" t="inlineStr">
        <is>
          <t>Production</t>
        </is>
      </c>
      <c r="D6" s="2" t="n">
        <v>46142</v>
      </c>
      <c r="E6" s="3" t="n">
        <v>22000</v>
      </c>
      <c r="F6" s="3" t="n">
        <v>2200</v>
      </c>
      <c r="G6" s="3">
        <f>E6-F6</f>
        <v/>
      </c>
    </row>
    <row r="7">
      <c r="A7" t="inlineStr">
        <is>
          <t>E006</t>
        </is>
      </c>
      <c r="B7" t="inlineStr">
        <is>
          <t>Rekha</t>
        </is>
      </c>
      <c r="C7" t="inlineStr">
        <is>
          <t>Production</t>
        </is>
      </c>
      <c r="D7" s="2" t="n">
        <v>46142</v>
      </c>
      <c r="E7" s="3" t="n">
        <v>20000</v>
      </c>
      <c r="F7" s="3" t="n">
        <v>2000</v>
      </c>
      <c r="G7" s="3">
        <f>E7-F7</f>
        <v/>
      </c>
    </row>
    <row r="8">
      <c r="A8" t="inlineStr">
        <is>
          <t>E007</t>
        </is>
      </c>
      <c r="B8" t="inlineStr">
        <is>
          <t>Manoj</t>
        </is>
      </c>
      <c r="C8" t="inlineStr">
        <is>
          <t>Production</t>
        </is>
      </c>
      <c r="D8" s="2" t="n">
        <v>46142</v>
      </c>
      <c r="E8" s="3" t="n">
        <v>24000</v>
      </c>
      <c r="F8" s="3" t="n">
        <v>2400</v>
      </c>
      <c r="G8" s="3">
        <f>E8-F8</f>
        <v/>
      </c>
    </row>
    <row r="9">
      <c r="A9" t="inlineStr">
        <is>
          <t>E008</t>
        </is>
      </c>
      <c r="B9" t="inlineStr">
        <is>
          <t>Kavita</t>
        </is>
      </c>
      <c r="C9" t="inlineStr">
        <is>
          <t>Office</t>
        </is>
      </c>
      <c r="D9" s="2" t="n">
        <v>46142</v>
      </c>
      <c r="E9" s="3" t="n">
        <v>26000</v>
      </c>
      <c r="F9" s="3" t="n">
        <v>2600</v>
      </c>
      <c r="G9" s="3">
        <f>E9-F9</f>
        <v/>
      </c>
    </row>
    <row r="10">
      <c r="A10" t="inlineStr">
        <is>
          <t>E001</t>
        </is>
      </c>
      <c r="B10" t="inlineStr">
        <is>
          <t>Ravi</t>
        </is>
      </c>
      <c r="C10" t="inlineStr">
        <is>
          <t>Sales</t>
        </is>
      </c>
      <c r="D10" s="2" t="n">
        <v>46173</v>
      </c>
      <c r="E10" s="3" t="n">
        <v>45000</v>
      </c>
      <c r="F10" s="3" t="n">
        <v>4500</v>
      </c>
      <c r="G10" s="3">
        <f>E10-F10</f>
        <v/>
      </c>
    </row>
    <row r="11">
      <c r="A11" t="inlineStr">
        <is>
          <t>E002</t>
        </is>
      </c>
      <c r="B11" t="inlineStr">
        <is>
          <t>Sunita</t>
        </is>
      </c>
      <c r="C11" t="inlineStr">
        <is>
          <t>Sales</t>
        </is>
      </c>
      <c r="D11" s="2" t="n">
        <v>46173</v>
      </c>
      <c r="E11" s="3" t="n">
        <v>38000</v>
      </c>
      <c r="F11" s="3" t="n">
        <v>3800</v>
      </c>
      <c r="G11" s="3">
        <f>E11-F11</f>
        <v/>
      </c>
    </row>
    <row r="12">
      <c r="A12" t="inlineStr">
        <is>
          <t>E003</t>
        </is>
      </c>
      <c r="B12" t="inlineStr">
        <is>
          <t>Amit</t>
        </is>
      </c>
      <c r="C12" t="inlineStr">
        <is>
          <t>Office</t>
        </is>
      </c>
      <c r="D12" s="2" t="n">
        <v>46173</v>
      </c>
      <c r="E12" s="3" t="n">
        <v>30000</v>
      </c>
      <c r="F12" s="3" t="n">
        <v>3000</v>
      </c>
      <c r="G12" s="3">
        <f>E12-F12</f>
        <v/>
      </c>
    </row>
    <row r="13">
      <c r="A13" t="inlineStr">
        <is>
          <t>E004</t>
        </is>
      </c>
      <c r="B13" t="inlineStr">
        <is>
          <t>Pooja</t>
        </is>
      </c>
      <c r="C13" t="inlineStr">
        <is>
          <t>Office</t>
        </is>
      </c>
      <c r="D13" s="2" t="n">
        <v>46173</v>
      </c>
      <c r="E13" s="3" t="n">
        <v>28000</v>
      </c>
      <c r="F13" s="3" t="n">
        <v>2800</v>
      </c>
      <c r="G13" s="3">
        <f>E13-F13</f>
        <v/>
      </c>
    </row>
    <row r="14">
      <c r="A14" t="inlineStr">
        <is>
          <t>E005</t>
        </is>
      </c>
      <c r="B14" t="inlineStr">
        <is>
          <t>Vikash</t>
        </is>
      </c>
      <c r="C14" t="inlineStr">
        <is>
          <t>Production</t>
        </is>
      </c>
      <c r="D14" s="2" t="n">
        <v>46173</v>
      </c>
      <c r="E14" s="3" t="n">
        <v>22000</v>
      </c>
      <c r="F14" s="3" t="n">
        <v>2200</v>
      </c>
      <c r="G14" s="3">
        <f>E14-F14</f>
        <v/>
      </c>
    </row>
    <row r="15">
      <c r="A15" t="inlineStr">
        <is>
          <t>E006</t>
        </is>
      </c>
      <c r="B15" t="inlineStr">
        <is>
          <t>Rekha</t>
        </is>
      </c>
      <c r="C15" t="inlineStr">
        <is>
          <t>Production</t>
        </is>
      </c>
      <c r="D15" s="2" t="n">
        <v>46173</v>
      </c>
      <c r="E15" s="3" t="n">
        <v>20000</v>
      </c>
      <c r="F15" s="3" t="n">
        <v>2000</v>
      </c>
      <c r="G15" s="3">
        <f>E15-F15</f>
        <v/>
      </c>
    </row>
    <row r="16">
      <c r="A16" t="inlineStr">
        <is>
          <t>E007</t>
        </is>
      </c>
      <c r="B16" t="inlineStr">
        <is>
          <t>Manoj</t>
        </is>
      </c>
      <c r="C16" t="inlineStr">
        <is>
          <t>Production</t>
        </is>
      </c>
      <c r="D16" s="2" t="n">
        <v>46173</v>
      </c>
      <c r="E16" s="3" t="n">
        <v>24000</v>
      </c>
      <c r="F16" s="3" t="n">
        <v>2400</v>
      </c>
      <c r="G16" s="3">
        <f>E16-F16</f>
        <v/>
      </c>
    </row>
    <row r="17">
      <c r="A17" t="inlineStr">
        <is>
          <t>E008</t>
        </is>
      </c>
      <c r="B17" t="inlineStr">
        <is>
          <t>Kavita</t>
        </is>
      </c>
      <c r="C17" t="inlineStr">
        <is>
          <t>Office</t>
        </is>
      </c>
      <c r="D17" s="2" t="n">
        <v>46173</v>
      </c>
      <c r="E17" s="3" t="n">
        <v>26000</v>
      </c>
      <c r="F17" s="3" t="n">
        <v>2600</v>
      </c>
      <c r="G17" s="3">
        <f>E17-F17</f>
        <v/>
      </c>
    </row>
    <row r="18">
      <c r="A18" t="inlineStr">
        <is>
          <t>E001</t>
        </is>
      </c>
      <c r="B18" t="inlineStr">
        <is>
          <t>Ravi</t>
        </is>
      </c>
      <c r="C18" t="inlineStr">
        <is>
          <t>Sales</t>
        </is>
      </c>
      <c r="D18" s="2" t="n">
        <v>46203</v>
      </c>
      <c r="E18" s="3" t="n">
        <v>45000</v>
      </c>
      <c r="F18" s="3" t="n">
        <v>4500</v>
      </c>
      <c r="G18" s="3">
        <f>E18-F18</f>
        <v/>
      </c>
    </row>
    <row r="19">
      <c r="A19" t="inlineStr">
        <is>
          <t>E002</t>
        </is>
      </c>
      <c r="B19" t="inlineStr">
        <is>
          <t>Sunita</t>
        </is>
      </c>
      <c r="C19" t="inlineStr">
        <is>
          <t>Sales</t>
        </is>
      </c>
      <c r="D19" s="2" t="n">
        <v>46203</v>
      </c>
      <c r="E19" s="3" t="n">
        <v>38000</v>
      </c>
      <c r="F19" s="3" t="n">
        <v>3800</v>
      </c>
      <c r="G19" s="3">
        <f>E19-F19</f>
        <v/>
      </c>
    </row>
    <row r="20">
      <c r="A20" t="inlineStr">
        <is>
          <t>E003</t>
        </is>
      </c>
      <c r="B20" t="inlineStr">
        <is>
          <t>Amit</t>
        </is>
      </c>
      <c r="C20" t="inlineStr">
        <is>
          <t>Office</t>
        </is>
      </c>
      <c r="D20" s="2" t="n">
        <v>46203</v>
      </c>
      <c r="E20" s="3" t="n">
        <v>30000</v>
      </c>
      <c r="F20" s="3" t="n">
        <v>3000</v>
      </c>
      <c r="G20" s="3">
        <f>E20-F20</f>
        <v/>
      </c>
    </row>
    <row r="21">
      <c r="A21" t="inlineStr">
        <is>
          <t>E004</t>
        </is>
      </c>
      <c r="B21" t="inlineStr">
        <is>
          <t>Pooja</t>
        </is>
      </c>
      <c r="C21" t="inlineStr">
        <is>
          <t>Office</t>
        </is>
      </c>
      <c r="D21" s="2" t="n">
        <v>46203</v>
      </c>
      <c r="E21" s="3" t="n">
        <v>28000</v>
      </c>
      <c r="F21" s="3" t="n">
        <v>2800</v>
      </c>
      <c r="G21" s="3">
        <f>E21-F21</f>
        <v/>
      </c>
    </row>
    <row r="22">
      <c r="A22" t="inlineStr">
        <is>
          <t>E005</t>
        </is>
      </c>
      <c r="B22" t="inlineStr">
        <is>
          <t>Vikash</t>
        </is>
      </c>
      <c r="C22" t="inlineStr">
        <is>
          <t>Production</t>
        </is>
      </c>
      <c r="D22" s="2" t="n">
        <v>46203</v>
      </c>
      <c r="E22" s="3" t="n">
        <v>22000</v>
      </c>
      <c r="F22" s="3" t="n">
        <v>2200</v>
      </c>
      <c r="G22" s="3">
        <f>E22-F22</f>
        <v/>
      </c>
    </row>
    <row r="23">
      <c r="A23" t="inlineStr">
        <is>
          <t>E006</t>
        </is>
      </c>
      <c r="B23" t="inlineStr">
        <is>
          <t>Rekha</t>
        </is>
      </c>
      <c r="C23" t="inlineStr">
        <is>
          <t>Production</t>
        </is>
      </c>
      <c r="D23" s="2" t="n">
        <v>46203</v>
      </c>
      <c r="E23" s="3" t="n">
        <v>20000</v>
      </c>
      <c r="F23" s="3" t="n">
        <v>2000</v>
      </c>
      <c r="G23" s="3">
        <f>E23-F23</f>
        <v/>
      </c>
    </row>
    <row r="24">
      <c r="A24" t="inlineStr">
        <is>
          <t>E007</t>
        </is>
      </c>
      <c r="B24" t="inlineStr">
        <is>
          <t>Manoj</t>
        </is>
      </c>
      <c r="C24" t="inlineStr">
        <is>
          <t>Production</t>
        </is>
      </c>
      <c r="D24" s="2" t="n">
        <v>46203</v>
      </c>
      <c r="E24" s="3" t="n">
        <v>24000</v>
      </c>
      <c r="F24" s="3" t="n">
        <v>2400</v>
      </c>
      <c r="G24" s="3">
        <f>E24-F24</f>
        <v/>
      </c>
    </row>
    <row r="25">
      <c r="A25" t="inlineStr">
        <is>
          <t>E008</t>
        </is>
      </c>
      <c r="B25" t="inlineStr">
        <is>
          <t>Kavita</t>
        </is>
      </c>
      <c r="C25" t="inlineStr">
        <is>
          <t>Office</t>
        </is>
      </c>
      <c r="D25" s="2" t="n">
        <v>46203</v>
      </c>
      <c r="E25" s="3" t="n">
        <v>26000</v>
      </c>
      <c r="F25" s="3" t="n">
        <v>2600</v>
      </c>
      <c r="G25" s="3">
        <f>E25-F25</f>
        <v/>
      </c>
    </row>
    <row r="26">
      <c r="A26" t="inlineStr">
        <is>
          <t>E001</t>
        </is>
      </c>
      <c r="B26" t="inlineStr">
        <is>
          <t>Ravi</t>
        </is>
      </c>
      <c r="C26" t="inlineStr">
        <is>
          <t>Sales</t>
        </is>
      </c>
      <c r="D26" s="2" t="n">
        <v>46234</v>
      </c>
      <c r="E26" s="3" t="n">
        <v>45000</v>
      </c>
      <c r="F26" s="3" t="n">
        <v>4500</v>
      </c>
      <c r="G26" s="3">
        <f>E26-F26</f>
        <v/>
      </c>
    </row>
    <row r="27">
      <c r="A27" t="inlineStr">
        <is>
          <t>E002</t>
        </is>
      </c>
      <c r="B27" t="inlineStr">
        <is>
          <t>Sunita</t>
        </is>
      </c>
      <c r="C27" t="inlineStr">
        <is>
          <t>Sales</t>
        </is>
      </c>
      <c r="D27" s="2" t="n">
        <v>46234</v>
      </c>
      <c r="E27" s="3" t="n">
        <v>38000</v>
      </c>
      <c r="F27" s="3" t="n">
        <v>3800</v>
      </c>
      <c r="G27" s="3">
        <f>E27-F27</f>
        <v/>
      </c>
    </row>
    <row r="28">
      <c r="A28" t="inlineStr">
        <is>
          <t>E003</t>
        </is>
      </c>
      <c r="B28" t="inlineStr">
        <is>
          <t>Amit</t>
        </is>
      </c>
      <c r="C28" t="inlineStr">
        <is>
          <t>Office</t>
        </is>
      </c>
      <c r="D28" s="2" t="n">
        <v>46234</v>
      </c>
      <c r="E28" s="3" t="n">
        <v>30000</v>
      </c>
      <c r="F28" s="3" t="n">
        <v>3000</v>
      </c>
      <c r="G28" s="3">
        <f>E28-F28</f>
        <v/>
      </c>
    </row>
    <row r="29">
      <c r="A29" t="inlineStr">
        <is>
          <t>E004</t>
        </is>
      </c>
      <c r="B29" t="inlineStr">
        <is>
          <t>Pooja</t>
        </is>
      </c>
      <c r="C29" t="inlineStr">
        <is>
          <t>Office</t>
        </is>
      </c>
      <c r="D29" s="2" t="n">
        <v>46234</v>
      </c>
      <c r="E29" s="3" t="n">
        <v>28000</v>
      </c>
      <c r="F29" s="3" t="n">
        <v>2800</v>
      </c>
      <c r="G29" s="3">
        <f>E29-F29</f>
        <v/>
      </c>
    </row>
    <row r="30">
      <c r="A30" t="inlineStr">
        <is>
          <t>E005</t>
        </is>
      </c>
      <c r="B30" t="inlineStr">
        <is>
          <t>Vikash</t>
        </is>
      </c>
      <c r="C30" t="inlineStr">
        <is>
          <t>Production</t>
        </is>
      </c>
      <c r="D30" s="2" t="n">
        <v>46234</v>
      </c>
      <c r="E30" s="3" t="n">
        <v>22000</v>
      </c>
      <c r="F30" s="3" t="n">
        <v>2200</v>
      </c>
      <c r="G30" s="3">
        <f>E30-F30</f>
        <v/>
      </c>
    </row>
    <row r="31">
      <c r="A31" t="inlineStr">
        <is>
          <t>E006</t>
        </is>
      </c>
      <c r="B31" t="inlineStr">
        <is>
          <t>Rekha</t>
        </is>
      </c>
      <c r="C31" t="inlineStr">
        <is>
          <t>Production</t>
        </is>
      </c>
      <c r="D31" s="2" t="n">
        <v>46234</v>
      </c>
      <c r="E31" s="3" t="n">
        <v>20000</v>
      </c>
      <c r="F31" s="3" t="n">
        <v>2000</v>
      </c>
      <c r="G31" s="3">
        <f>E31-F31</f>
        <v/>
      </c>
    </row>
    <row r="32">
      <c r="A32" t="inlineStr">
        <is>
          <t>E007</t>
        </is>
      </c>
      <c r="B32" t="inlineStr">
        <is>
          <t>Manoj</t>
        </is>
      </c>
      <c r="C32" t="inlineStr">
        <is>
          <t>Production</t>
        </is>
      </c>
      <c r="D32" s="2" t="n">
        <v>46234</v>
      </c>
      <c r="E32" s="3" t="n">
        <v>24000</v>
      </c>
      <c r="F32" s="3" t="n">
        <v>2400</v>
      </c>
      <c r="G32" s="3">
        <f>E32-F32</f>
        <v/>
      </c>
    </row>
    <row r="33">
      <c r="A33" t="inlineStr">
        <is>
          <t>E008</t>
        </is>
      </c>
      <c r="B33" t="inlineStr">
        <is>
          <t>Kavita</t>
        </is>
      </c>
      <c r="C33" t="inlineStr">
        <is>
          <t>Office</t>
        </is>
      </c>
      <c r="D33" s="2" t="n">
        <v>46234</v>
      </c>
      <c r="E33" s="3" t="n">
        <v>26000</v>
      </c>
      <c r="F33" s="3" t="n">
        <v>2600</v>
      </c>
      <c r="G33" s="3">
        <f>E33-F33</f>
        <v/>
      </c>
    </row>
    <row r="34">
      <c r="A34" t="inlineStr">
        <is>
          <t>E001</t>
        </is>
      </c>
      <c r="B34" t="inlineStr">
        <is>
          <t>Ravi</t>
        </is>
      </c>
      <c r="C34" t="inlineStr">
        <is>
          <t>Sales</t>
        </is>
      </c>
      <c r="D34" s="2" t="n">
        <v>46265</v>
      </c>
      <c r="E34" s="3" t="n">
        <v>45000</v>
      </c>
      <c r="F34" s="3" t="n">
        <v>4500</v>
      </c>
      <c r="G34" s="3">
        <f>E34-F34</f>
        <v/>
      </c>
    </row>
    <row r="35">
      <c r="A35" t="inlineStr">
        <is>
          <t>E002</t>
        </is>
      </c>
      <c r="B35" t="inlineStr">
        <is>
          <t>Sunita</t>
        </is>
      </c>
      <c r="C35" t="inlineStr">
        <is>
          <t>Sales</t>
        </is>
      </c>
      <c r="D35" s="2" t="n">
        <v>46265</v>
      </c>
      <c r="E35" s="3" t="n">
        <v>38000</v>
      </c>
      <c r="F35" s="3" t="n">
        <v>3800</v>
      </c>
      <c r="G35" s="3">
        <f>E35-F35</f>
        <v/>
      </c>
    </row>
    <row r="36">
      <c r="A36" t="inlineStr">
        <is>
          <t>E003</t>
        </is>
      </c>
      <c r="B36" t="inlineStr">
        <is>
          <t>Amit</t>
        </is>
      </c>
      <c r="C36" t="inlineStr">
        <is>
          <t>Office</t>
        </is>
      </c>
      <c r="D36" s="2" t="n">
        <v>46265</v>
      </c>
      <c r="E36" s="3" t="n">
        <v>30000</v>
      </c>
      <c r="F36" s="3" t="n">
        <v>3000</v>
      </c>
      <c r="G36" s="3">
        <f>E36-F36</f>
        <v/>
      </c>
    </row>
    <row r="37">
      <c r="A37" t="inlineStr">
        <is>
          <t>E004</t>
        </is>
      </c>
      <c r="B37" t="inlineStr">
        <is>
          <t>Pooja</t>
        </is>
      </c>
      <c r="C37" t="inlineStr">
        <is>
          <t>Office</t>
        </is>
      </c>
      <c r="D37" s="2" t="n">
        <v>46265</v>
      </c>
      <c r="E37" s="3" t="n">
        <v>28000</v>
      </c>
      <c r="F37" s="3" t="n">
        <v>2800</v>
      </c>
      <c r="G37" s="3">
        <f>E37-F37</f>
        <v/>
      </c>
    </row>
    <row r="38">
      <c r="A38" t="inlineStr">
        <is>
          <t>E005</t>
        </is>
      </c>
      <c r="B38" t="inlineStr">
        <is>
          <t>Vikash</t>
        </is>
      </c>
      <c r="C38" t="inlineStr">
        <is>
          <t>Production</t>
        </is>
      </c>
      <c r="D38" s="2" t="n">
        <v>46265</v>
      </c>
      <c r="E38" s="3" t="n">
        <v>22000</v>
      </c>
      <c r="F38" s="3" t="n">
        <v>2200</v>
      </c>
      <c r="G38" s="3">
        <f>E38-F38</f>
        <v/>
      </c>
    </row>
    <row r="39">
      <c r="A39" t="inlineStr">
        <is>
          <t>E006</t>
        </is>
      </c>
      <c r="B39" t="inlineStr">
        <is>
          <t>Rekha</t>
        </is>
      </c>
      <c r="C39" t="inlineStr">
        <is>
          <t>Production</t>
        </is>
      </c>
      <c r="D39" s="2" t="n">
        <v>46265</v>
      </c>
      <c r="E39" s="3" t="n">
        <v>20000</v>
      </c>
      <c r="F39" s="3" t="n">
        <v>2000</v>
      </c>
      <c r="G39" s="3">
        <f>E39-F39</f>
        <v/>
      </c>
    </row>
    <row r="40">
      <c r="A40" t="inlineStr">
        <is>
          <t>E007</t>
        </is>
      </c>
      <c r="B40" t="inlineStr">
        <is>
          <t>Manoj</t>
        </is>
      </c>
      <c r="C40" t="inlineStr">
        <is>
          <t>Production</t>
        </is>
      </c>
      <c r="D40" s="2" t="n">
        <v>46265</v>
      </c>
      <c r="E40" s="3" t="n">
        <v>24000</v>
      </c>
      <c r="F40" s="3" t="n">
        <v>2400</v>
      </c>
      <c r="G40" s="3">
        <f>E40-F40</f>
        <v/>
      </c>
    </row>
    <row r="41">
      <c r="A41" t="inlineStr">
        <is>
          <t>E008</t>
        </is>
      </c>
      <c r="B41" t="inlineStr">
        <is>
          <t>Kavita</t>
        </is>
      </c>
      <c r="C41" t="inlineStr">
        <is>
          <t>Office</t>
        </is>
      </c>
      <c r="D41" s="2" t="n">
        <v>46265</v>
      </c>
      <c r="E41" s="3" t="n">
        <v>26000</v>
      </c>
      <c r="F41" s="3" t="n">
        <v>2600</v>
      </c>
      <c r="G41" s="3">
        <f>E41-F41</f>
        <v/>
      </c>
    </row>
    <row r="42">
      <c r="A42" t="inlineStr">
        <is>
          <t>E001</t>
        </is>
      </c>
      <c r="B42" t="inlineStr">
        <is>
          <t>Ravi</t>
        </is>
      </c>
      <c r="C42" t="inlineStr">
        <is>
          <t>Sales</t>
        </is>
      </c>
      <c r="D42" s="2" t="n">
        <v>46295</v>
      </c>
      <c r="E42" s="3" t="n">
        <v>45000</v>
      </c>
      <c r="F42" s="3" t="n">
        <v>4500</v>
      </c>
      <c r="G42" s="3">
        <f>E42-F42</f>
        <v/>
      </c>
    </row>
    <row r="43">
      <c r="A43" t="inlineStr">
        <is>
          <t>E002</t>
        </is>
      </c>
      <c r="B43" t="inlineStr">
        <is>
          <t>Sunita</t>
        </is>
      </c>
      <c r="C43" t="inlineStr">
        <is>
          <t>Sales</t>
        </is>
      </c>
      <c r="D43" s="2" t="n">
        <v>46295</v>
      </c>
      <c r="E43" s="3" t="n">
        <v>38000</v>
      </c>
      <c r="F43" s="3" t="n">
        <v>3800</v>
      </c>
      <c r="G43" s="3">
        <f>E43-F43</f>
        <v/>
      </c>
    </row>
    <row r="44">
      <c r="A44" t="inlineStr">
        <is>
          <t>E003</t>
        </is>
      </c>
      <c r="B44" t="inlineStr">
        <is>
          <t>Amit</t>
        </is>
      </c>
      <c r="C44" t="inlineStr">
        <is>
          <t>Office</t>
        </is>
      </c>
      <c r="D44" s="2" t="n">
        <v>46295</v>
      </c>
      <c r="E44" s="3" t="n">
        <v>30000</v>
      </c>
      <c r="F44" s="3" t="n">
        <v>3000</v>
      </c>
      <c r="G44" s="3">
        <f>E44-F44</f>
        <v/>
      </c>
    </row>
    <row r="45">
      <c r="A45" t="inlineStr">
        <is>
          <t>E004</t>
        </is>
      </c>
      <c r="B45" t="inlineStr">
        <is>
          <t>Pooja</t>
        </is>
      </c>
      <c r="C45" t="inlineStr">
        <is>
          <t>Office</t>
        </is>
      </c>
      <c r="D45" s="2" t="n">
        <v>46295</v>
      </c>
      <c r="E45" s="3" t="n">
        <v>28000</v>
      </c>
      <c r="F45" s="3" t="n">
        <v>2800</v>
      </c>
      <c r="G45" s="3">
        <f>E45-F45</f>
        <v/>
      </c>
    </row>
    <row r="46">
      <c r="A46" t="inlineStr">
        <is>
          <t>E005</t>
        </is>
      </c>
      <c r="B46" t="inlineStr">
        <is>
          <t>Vikash</t>
        </is>
      </c>
      <c r="C46" t="inlineStr">
        <is>
          <t>Production</t>
        </is>
      </c>
      <c r="D46" s="2" t="n">
        <v>46295</v>
      </c>
      <c r="E46" s="3" t="n">
        <v>22000</v>
      </c>
      <c r="F46" s="3" t="n">
        <v>2200</v>
      </c>
      <c r="G46" s="3">
        <f>E46-F46</f>
        <v/>
      </c>
    </row>
    <row r="47">
      <c r="A47" t="inlineStr">
        <is>
          <t>E006</t>
        </is>
      </c>
      <c r="B47" t="inlineStr">
        <is>
          <t>Rekha</t>
        </is>
      </c>
      <c r="C47" t="inlineStr">
        <is>
          <t>Production</t>
        </is>
      </c>
      <c r="D47" s="2" t="n">
        <v>46295</v>
      </c>
      <c r="E47" s="3" t="n">
        <v>20000</v>
      </c>
      <c r="F47" s="3" t="n">
        <v>2000</v>
      </c>
      <c r="G47" s="3">
        <f>E47-F47</f>
        <v/>
      </c>
    </row>
    <row r="48">
      <c r="A48" t="inlineStr">
        <is>
          <t>E007</t>
        </is>
      </c>
      <c r="B48" t="inlineStr">
        <is>
          <t>Manoj</t>
        </is>
      </c>
      <c r="C48" t="inlineStr">
        <is>
          <t>Production</t>
        </is>
      </c>
      <c r="D48" s="2" t="n">
        <v>46295</v>
      </c>
      <c r="E48" s="3" t="n">
        <v>24000</v>
      </c>
      <c r="F48" s="3" t="n">
        <v>2400</v>
      </c>
      <c r="G48" s="3">
        <f>E48-F48</f>
        <v/>
      </c>
    </row>
    <row r="49">
      <c r="A49" t="inlineStr">
        <is>
          <t>E008</t>
        </is>
      </c>
      <c r="B49" t="inlineStr">
        <is>
          <t>Kavita</t>
        </is>
      </c>
      <c r="C49" t="inlineStr">
        <is>
          <t>Office</t>
        </is>
      </c>
      <c r="D49" s="2" t="n">
        <v>46295</v>
      </c>
      <c r="E49" s="3" t="n">
        <v>26000</v>
      </c>
      <c r="F49" s="3" t="n">
        <v>2600</v>
      </c>
      <c r="G49" s="3">
        <f>E49-F49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Net</t>
        </is>
      </c>
    </row>
    <row r="2">
      <c r="A2" s="2" t="n">
        <v>46113</v>
      </c>
      <c r="B2" t="inlineStr">
        <is>
          <t>Opening balance</t>
        </is>
      </c>
      <c r="C2" t="inlineStr">
        <is>
          <t>OPEN-001</t>
        </is>
      </c>
      <c r="D2" s="3" t="n">
        <v>0</v>
      </c>
      <c r="E2" s="3" t="n">
        <v>500000</v>
      </c>
      <c r="F2" s="3">
        <f>E2-D2</f>
        <v/>
      </c>
    </row>
    <row r="3">
      <c r="A3" s="2" t="n">
        <v>46142</v>
      </c>
      <c r="B3" t="inlineStr">
        <is>
          <t>NEFT - Patel Wholesale</t>
        </is>
      </c>
      <c r="C3" t="inlineStr">
        <is>
          <t>NEFT-0007</t>
        </is>
      </c>
      <c r="D3" s="3" t="n">
        <v>98450</v>
      </c>
      <c r="E3" s="3" t="n">
        <v>0</v>
      </c>
      <c r="F3" s="3">
        <f>E3-D3</f>
        <v/>
      </c>
    </row>
    <row r="4">
      <c r="A4" s="2" t="n">
        <v>46142</v>
      </c>
      <c r="B4" t="inlineStr">
        <is>
          <t>Salary - Ravi</t>
        </is>
      </c>
      <c r="C4" t="inlineStr">
        <is>
          <t>SAL-E001-202604</t>
        </is>
      </c>
      <c r="D4" s="3" t="n">
        <v>40500</v>
      </c>
      <c r="E4" s="3" t="n">
        <v>0</v>
      </c>
      <c r="F4" s="3">
        <f>E4-D4</f>
        <v/>
      </c>
    </row>
    <row r="5">
      <c r="A5" s="2" t="n">
        <v>46142</v>
      </c>
      <c r="B5" t="inlineStr">
        <is>
          <t>Salary - Sunita</t>
        </is>
      </c>
      <c r="C5" t="inlineStr">
        <is>
          <t>SAL-E002-202604</t>
        </is>
      </c>
      <c r="D5" s="3" t="n">
        <v>34200</v>
      </c>
      <c r="E5" s="3" t="n">
        <v>0</v>
      </c>
      <c r="F5" s="3">
        <f>E5-D5</f>
        <v/>
      </c>
    </row>
    <row r="6">
      <c r="A6" s="2" t="n">
        <v>46142</v>
      </c>
      <c r="B6" t="inlineStr">
        <is>
          <t>Salary - Amit</t>
        </is>
      </c>
      <c r="C6" t="inlineStr">
        <is>
          <t>SAL-E003-202604</t>
        </is>
      </c>
      <c r="D6" s="3" t="n">
        <v>27000</v>
      </c>
      <c r="E6" s="3" t="n">
        <v>0</v>
      </c>
      <c r="F6" s="3">
        <f>E6-D6</f>
        <v/>
      </c>
    </row>
    <row r="7">
      <c r="A7" s="2" t="n">
        <v>46142</v>
      </c>
      <c r="B7" t="inlineStr">
        <is>
          <t>Salary - Pooja</t>
        </is>
      </c>
      <c r="C7" t="inlineStr">
        <is>
          <t>SAL-E004-202604</t>
        </is>
      </c>
      <c r="D7" s="3" t="n">
        <v>25200</v>
      </c>
      <c r="E7" s="3" t="n">
        <v>0</v>
      </c>
      <c r="F7" s="3">
        <f>E7-D7</f>
        <v/>
      </c>
    </row>
    <row r="8">
      <c r="A8" s="2" t="n">
        <v>46142</v>
      </c>
      <c r="B8" t="inlineStr">
        <is>
          <t>Salary - Vikash</t>
        </is>
      </c>
      <c r="C8" t="inlineStr">
        <is>
          <t>SAL-E005-202604</t>
        </is>
      </c>
      <c r="D8" s="3" t="n">
        <v>19800</v>
      </c>
      <c r="E8" s="3" t="n">
        <v>0</v>
      </c>
      <c r="F8" s="3">
        <f>E8-D8</f>
        <v/>
      </c>
    </row>
    <row r="9">
      <c r="A9" s="2" t="n">
        <v>46142</v>
      </c>
      <c r="B9" t="inlineStr">
        <is>
          <t>Salary - Rekha</t>
        </is>
      </c>
      <c r="C9" t="inlineStr">
        <is>
          <t>SAL-E006-202604</t>
        </is>
      </c>
      <c r="D9" s="3" t="n">
        <v>18000</v>
      </c>
      <c r="E9" s="3" t="n">
        <v>0</v>
      </c>
      <c r="F9" s="3">
        <f>E9-D9</f>
        <v/>
      </c>
    </row>
    <row r="10">
      <c r="A10" s="2" t="n">
        <v>46142</v>
      </c>
      <c r="B10" t="inlineStr">
        <is>
          <t>Salary - Manoj</t>
        </is>
      </c>
      <c r="C10" t="inlineStr">
        <is>
          <t>SAL-E007-202604</t>
        </is>
      </c>
      <c r="D10" s="3" t="n">
        <v>21600</v>
      </c>
      <c r="E10" s="3" t="n">
        <v>0</v>
      </c>
      <c r="F10" s="3">
        <f>E10-D10</f>
        <v/>
      </c>
    </row>
    <row r="11">
      <c r="A11" s="2" t="n">
        <v>46142</v>
      </c>
      <c r="B11" t="inlineStr">
        <is>
          <t>Salary - Kavita</t>
        </is>
      </c>
      <c r="C11" t="inlineStr">
        <is>
          <t>SAL-E008-202604</t>
        </is>
      </c>
      <c r="D11" s="3" t="n">
        <v>23400</v>
      </c>
      <c r="E11" s="3" t="n">
        <v>0</v>
      </c>
      <c r="F11" s="3">
        <f>E11-D11</f>
        <v/>
      </c>
    </row>
    <row r="12">
      <c r="A12" s="2" t="n">
        <v>46142</v>
      </c>
      <c r="B12" t="inlineStr">
        <is>
          <t>UPI - Star Market</t>
        </is>
      </c>
      <c r="C12" t="inlineStr">
        <is>
          <t>UPI-0005</t>
        </is>
      </c>
      <c r="D12" s="3" t="n">
        <v>0</v>
      </c>
      <c r="E12" s="3" t="n">
        <v>236189</v>
      </c>
      <c r="F12" s="3">
        <f>E12-D12</f>
        <v/>
      </c>
    </row>
    <row r="13">
      <c r="A13" s="2" t="n">
        <v>46148</v>
      </c>
      <c r="B13" t="inlineStr">
        <is>
          <t>NEFT - Verma Agro</t>
        </is>
      </c>
      <c r="C13" t="inlineStr">
        <is>
          <t>NEFT-0003</t>
        </is>
      </c>
      <c r="D13" s="3" t="n">
        <v>230083</v>
      </c>
      <c r="E13" s="3" t="n">
        <v>0</v>
      </c>
      <c r="F13" s="3">
        <f>E13-D13</f>
        <v/>
      </c>
    </row>
    <row r="14">
      <c r="A14" s="2" t="n">
        <v>46149</v>
      </c>
      <c r="B14" t="inlineStr">
        <is>
          <t>UPI - Kiran Stores</t>
        </is>
      </c>
      <c r="C14" t="inlineStr">
        <is>
          <t>UPI-0004</t>
        </is>
      </c>
      <c r="D14" s="3" t="n">
        <v>0</v>
      </c>
      <c r="E14" s="3" t="n">
        <v>385077</v>
      </c>
      <c r="F14" s="3">
        <f>E14-D14</f>
        <v/>
      </c>
    </row>
    <row r="15">
      <c r="A15" s="2" t="n">
        <v>46150</v>
      </c>
      <c r="B15" t="inlineStr">
        <is>
          <t>UPI - Metro Retail</t>
        </is>
      </c>
      <c r="C15" t="inlineStr">
        <is>
          <t>UPI-0002</t>
        </is>
      </c>
      <c r="D15" s="3" t="n">
        <v>0</v>
      </c>
      <c r="E15" s="3" t="n">
        <v>95943</v>
      </c>
      <c r="F15" s="3">
        <f>E15-D15</f>
        <v/>
      </c>
    </row>
    <row r="16">
      <c r="A16" s="2" t="n">
        <v>46157</v>
      </c>
      <c r="B16" t="inlineStr">
        <is>
          <t>NEFT - Verma Agro</t>
        </is>
      </c>
      <c r="C16" t="inlineStr">
        <is>
          <t>NEFT-0002</t>
        </is>
      </c>
      <c r="D16" s="3" t="n">
        <v>178568</v>
      </c>
      <c r="E16" s="3" t="n">
        <v>0</v>
      </c>
      <c r="F16" s="3">
        <f>E16-D16</f>
        <v/>
      </c>
    </row>
    <row r="17">
      <c r="A17" s="2" t="n">
        <v>46159</v>
      </c>
      <c r="B17" t="inlineStr">
        <is>
          <t>UPI - Fresh Bazar</t>
        </is>
      </c>
      <c r="C17" t="inlineStr">
        <is>
          <t>UPI-0001</t>
        </is>
      </c>
      <c r="D17" s="3" t="n">
        <v>0</v>
      </c>
      <c r="E17" s="3" t="n">
        <v>51551</v>
      </c>
      <c r="F17" s="3">
        <f>E17-D17</f>
        <v/>
      </c>
    </row>
    <row r="18">
      <c r="A18" s="2" t="n">
        <v>46160</v>
      </c>
      <c r="B18" t="inlineStr">
        <is>
          <t>UPI - Daily Needs</t>
        </is>
      </c>
      <c r="C18" t="inlineStr">
        <is>
          <t>UPI-0006</t>
        </is>
      </c>
      <c r="D18" s="3" t="n">
        <v>0</v>
      </c>
      <c r="E18" s="3" t="n">
        <v>399920</v>
      </c>
      <c r="F18" s="3">
        <f>E18-D18</f>
        <v/>
      </c>
    </row>
    <row r="19">
      <c r="A19" s="2" t="n">
        <v>46162</v>
      </c>
      <c r="B19" t="inlineStr">
        <is>
          <t>NEFT - Mehta Enterprises</t>
        </is>
      </c>
      <c r="C19" t="inlineStr">
        <is>
          <t>NEFT-0008</t>
        </is>
      </c>
      <c r="D19" s="3" t="n">
        <v>144302</v>
      </c>
      <c r="E19" s="3" t="n">
        <v>0</v>
      </c>
      <c r="F19" s="3">
        <f>E19-D19</f>
        <v/>
      </c>
    </row>
    <row r="20">
      <c r="A20" s="2" t="n">
        <v>46163</v>
      </c>
      <c r="B20" t="inlineStr">
        <is>
          <t>NEFT - Sharma Traders</t>
        </is>
      </c>
      <c r="C20" t="inlineStr">
        <is>
          <t>NEFT-0012</t>
        </is>
      </c>
      <c r="D20" s="3" t="n">
        <v>230590</v>
      </c>
      <c r="E20" s="3" t="n">
        <v>0</v>
      </c>
      <c r="F20" s="3">
        <f>E20-D20</f>
        <v/>
      </c>
    </row>
    <row r="21">
      <c r="A21" s="2" t="n">
        <v>46165</v>
      </c>
      <c r="B21" t="inlineStr">
        <is>
          <t>UPI - Metro Retail</t>
        </is>
      </c>
      <c r="C21" t="inlineStr">
        <is>
          <t>UPI-0008</t>
        </is>
      </c>
      <c r="D21" s="3" t="n">
        <v>0</v>
      </c>
      <c r="E21" s="3" t="n">
        <v>83030</v>
      </c>
      <c r="F21" s="3">
        <f>E21-D21</f>
        <v/>
      </c>
    </row>
    <row r="22">
      <c r="A22" s="2" t="n">
        <v>46167</v>
      </c>
      <c r="B22" t="inlineStr">
        <is>
          <t>UPI - Daily Needs</t>
        </is>
      </c>
      <c r="C22" t="inlineStr">
        <is>
          <t>UPI-0007</t>
        </is>
      </c>
      <c r="D22" s="3" t="n">
        <v>0</v>
      </c>
      <c r="E22" s="3" t="n">
        <v>189632</v>
      </c>
      <c r="F22" s="3">
        <f>E22-D22</f>
        <v/>
      </c>
    </row>
    <row r="23">
      <c r="A23" s="2" t="n">
        <v>46171</v>
      </c>
      <c r="B23" t="inlineStr">
        <is>
          <t>UPI - Value Plus</t>
        </is>
      </c>
      <c r="C23" t="inlineStr">
        <is>
          <t>UPI-0012</t>
        </is>
      </c>
      <c r="D23" s="3" t="n">
        <v>0</v>
      </c>
      <c r="E23" s="3" t="n">
        <v>60287</v>
      </c>
      <c r="F23" s="3">
        <f>E23-D23</f>
        <v/>
      </c>
    </row>
    <row r="24">
      <c r="A24" s="2" t="n">
        <v>46173</v>
      </c>
      <c r="B24" t="inlineStr">
        <is>
          <t>Salary - Ravi</t>
        </is>
      </c>
      <c r="C24" t="inlineStr">
        <is>
          <t>SAL-E001-202605</t>
        </is>
      </c>
      <c r="D24" s="3" t="n">
        <v>40500</v>
      </c>
      <c r="E24" s="3" t="n">
        <v>0</v>
      </c>
      <c r="F24" s="3">
        <f>E24-D24</f>
        <v/>
      </c>
    </row>
    <row r="25">
      <c r="A25" s="2" t="n">
        <v>46173</v>
      </c>
      <c r="B25" t="inlineStr">
        <is>
          <t>Salary - Sunita</t>
        </is>
      </c>
      <c r="C25" t="inlineStr">
        <is>
          <t>SAL-E002-202605</t>
        </is>
      </c>
      <c r="D25" s="3" t="n">
        <v>34200</v>
      </c>
      <c r="E25" s="3" t="n">
        <v>0</v>
      </c>
      <c r="F25" s="3">
        <f>E25-D25</f>
        <v/>
      </c>
    </row>
    <row r="26">
      <c r="A26" s="2" t="n">
        <v>46173</v>
      </c>
      <c r="B26" t="inlineStr">
        <is>
          <t>Salary - Amit</t>
        </is>
      </c>
      <c r="C26" t="inlineStr">
        <is>
          <t>SAL-E003-202605</t>
        </is>
      </c>
      <c r="D26" s="3" t="n">
        <v>27000</v>
      </c>
      <c r="E26" s="3" t="n">
        <v>0</v>
      </c>
      <c r="F26" s="3">
        <f>E26-D26</f>
        <v/>
      </c>
    </row>
    <row r="27">
      <c r="A27" s="2" t="n">
        <v>46173</v>
      </c>
      <c r="B27" t="inlineStr">
        <is>
          <t>Salary - Pooja</t>
        </is>
      </c>
      <c r="C27" t="inlineStr">
        <is>
          <t>SAL-E004-202605</t>
        </is>
      </c>
      <c r="D27" s="3" t="n">
        <v>25200</v>
      </c>
      <c r="E27" s="3" t="n">
        <v>0</v>
      </c>
      <c r="F27" s="3">
        <f>E27-D27</f>
        <v/>
      </c>
    </row>
    <row r="28">
      <c r="A28" s="2" t="n">
        <v>46173</v>
      </c>
      <c r="B28" t="inlineStr">
        <is>
          <t>Salary - Vikash</t>
        </is>
      </c>
      <c r="C28" t="inlineStr">
        <is>
          <t>SAL-E005-202605</t>
        </is>
      </c>
      <c r="D28" s="3" t="n">
        <v>19800</v>
      </c>
      <c r="E28" s="3" t="n">
        <v>0</v>
      </c>
      <c r="F28" s="3">
        <f>E28-D28</f>
        <v/>
      </c>
    </row>
    <row r="29">
      <c r="A29" s="2" t="n">
        <v>46173</v>
      </c>
      <c r="B29" t="inlineStr">
        <is>
          <t>Salary - Rekha</t>
        </is>
      </c>
      <c r="C29" t="inlineStr">
        <is>
          <t>SAL-E006-202605</t>
        </is>
      </c>
      <c r="D29" s="3" t="n">
        <v>18000</v>
      </c>
      <c r="E29" s="3" t="n">
        <v>0</v>
      </c>
      <c r="F29" s="3">
        <f>E29-D29</f>
        <v/>
      </c>
    </row>
    <row r="30">
      <c r="A30" s="2" t="n">
        <v>46173</v>
      </c>
      <c r="B30" t="inlineStr">
        <is>
          <t>Salary - Manoj</t>
        </is>
      </c>
      <c r="C30" t="inlineStr">
        <is>
          <t>SAL-E007-202605</t>
        </is>
      </c>
      <c r="D30" s="3" t="n">
        <v>21600</v>
      </c>
      <c r="E30" s="3" t="n">
        <v>0</v>
      </c>
      <c r="F30" s="3">
        <f>E30-D30</f>
        <v/>
      </c>
    </row>
    <row r="31">
      <c r="A31" s="2" t="n">
        <v>46173</v>
      </c>
      <c r="B31" t="inlineStr">
        <is>
          <t>Salary - Kavita</t>
        </is>
      </c>
      <c r="C31" t="inlineStr">
        <is>
          <t>SAL-E008-202605</t>
        </is>
      </c>
      <c r="D31" s="3" t="n">
        <v>23400</v>
      </c>
      <c r="E31" s="3" t="n">
        <v>0</v>
      </c>
      <c r="F31" s="3">
        <f>E31-D31</f>
        <v/>
      </c>
    </row>
    <row r="32">
      <c r="A32" s="2" t="n">
        <v>46174</v>
      </c>
      <c r="B32" t="inlineStr">
        <is>
          <t>NEFT - Das Brothers</t>
        </is>
      </c>
      <c r="C32" t="inlineStr">
        <is>
          <t>NEFT-0011</t>
        </is>
      </c>
      <c r="D32" s="3" t="n">
        <v>37107</v>
      </c>
      <c r="E32" s="3" t="n">
        <v>0</v>
      </c>
      <c r="F32" s="3">
        <f>E32-D32</f>
        <v/>
      </c>
    </row>
    <row r="33">
      <c r="A33" s="2" t="n">
        <v>46180</v>
      </c>
      <c r="B33" t="inlineStr">
        <is>
          <t>NEFT - Singh &amp; Co</t>
        </is>
      </c>
      <c r="C33" t="inlineStr">
        <is>
          <t>NEFT-0018</t>
        </is>
      </c>
      <c r="D33" s="3" t="n">
        <v>237028</v>
      </c>
      <c r="E33" s="3" t="n">
        <v>0</v>
      </c>
      <c r="F33" s="3">
        <f>E33-D33</f>
        <v/>
      </c>
    </row>
    <row r="34">
      <c r="A34" s="2" t="n">
        <v>46181</v>
      </c>
      <c r="B34" t="inlineStr">
        <is>
          <t>NEFT - Das Brothers</t>
        </is>
      </c>
      <c r="C34" t="inlineStr">
        <is>
          <t>NEFT-0013</t>
        </is>
      </c>
      <c r="D34" s="3" t="n">
        <v>216515</v>
      </c>
      <c r="E34" s="3" t="n">
        <v>0</v>
      </c>
      <c r="F34" s="3">
        <f>E34-D34</f>
        <v/>
      </c>
    </row>
    <row r="35">
      <c r="A35" s="2" t="n">
        <v>46182</v>
      </c>
      <c r="B35" t="inlineStr">
        <is>
          <t>UPI - Metro Retail</t>
        </is>
      </c>
      <c r="C35" t="inlineStr">
        <is>
          <t>UPI-0011</t>
        </is>
      </c>
      <c r="D35" s="3" t="n">
        <v>0</v>
      </c>
      <c r="E35" s="3" t="n">
        <v>113098</v>
      </c>
      <c r="F35" s="3">
        <f>E35-D35</f>
        <v/>
      </c>
    </row>
    <row r="36">
      <c r="A36" s="2" t="n">
        <v>46184</v>
      </c>
      <c r="B36" t="inlineStr">
        <is>
          <t>UPI - Apna Bazar</t>
        </is>
      </c>
      <c r="C36" t="inlineStr">
        <is>
          <t>UPI-0009</t>
        </is>
      </c>
      <c r="D36" s="3" t="n">
        <v>0</v>
      </c>
      <c r="E36" s="3" t="n">
        <v>171542</v>
      </c>
      <c r="F36" s="3">
        <f>E36-D36</f>
        <v/>
      </c>
    </row>
    <row r="37">
      <c r="A37" s="2" t="n">
        <v>46188</v>
      </c>
      <c r="B37" t="inlineStr">
        <is>
          <t>Bank charges Q1</t>
        </is>
      </c>
      <c r="C37" t="inlineStr">
        <is>
          <t>CHG-001</t>
        </is>
      </c>
      <c r="D37" s="3" t="n">
        <v>354</v>
      </c>
      <c r="E37" s="3" t="n">
        <v>0</v>
      </c>
      <c r="F37" s="3">
        <f>E37-D37</f>
        <v/>
      </c>
    </row>
    <row r="38">
      <c r="A38" s="2" t="n">
        <v>46188</v>
      </c>
      <c r="B38" t="inlineStr">
        <is>
          <t>NEFT - Khan Distributors</t>
        </is>
      </c>
      <c r="C38" t="inlineStr">
        <is>
          <t>NEFT-0009</t>
        </is>
      </c>
      <c r="D38" s="3" t="n">
        <v>236901</v>
      </c>
      <c r="E38" s="3" t="n">
        <v>0</v>
      </c>
      <c r="F38" s="3">
        <f>E38-D38</f>
        <v/>
      </c>
    </row>
    <row r="39">
      <c r="A39" s="2" t="n">
        <v>46200</v>
      </c>
      <c r="B39" t="inlineStr">
        <is>
          <t>UPI - City Mart</t>
        </is>
      </c>
      <c r="C39" t="inlineStr">
        <is>
          <t>UPI-0015</t>
        </is>
      </c>
      <c r="D39" s="3" t="n">
        <v>0</v>
      </c>
      <c r="E39" s="3" t="n">
        <v>231128</v>
      </c>
      <c r="F39" s="3">
        <f>E39-D39</f>
        <v/>
      </c>
    </row>
    <row r="40">
      <c r="A40" s="2" t="n">
        <v>46203</v>
      </c>
      <c r="B40" t="inlineStr">
        <is>
          <t>Salary - Ravi</t>
        </is>
      </c>
      <c r="C40" t="inlineStr">
        <is>
          <t>SAL-E001-202606</t>
        </is>
      </c>
      <c r="D40" s="3" t="n">
        <v>40500</v>
      </c>
      <c r="E40" s="3" t="n">
        <v>0</v>
      </c>
      <c r="F40" s="3">
        <f>E40-D40</f>
        <v/>
      </c>
    </row>
    <row r="41">
      <c r="A41" s="2" t="n">
        <v>46203</v>
      </c>
      <c r="B41" t="inlineStr">
        <is>
          <t>Salary - Sunita</t>
        </is>
      </c>
      <c r="C41" t="inlineStr">
        <is>
          <t>SAL-E002-202606</t>
        </is>
      </c>
      <c r="D41" s="3" t="n">
        <v>34200</v>
      </c>
      <c r="E41" s="3" t="n">
        <v>0</v>
      </c>
      <c r="F41" s="3">
        <f>E41-D41</f>
        <v/>
      </c>
    </row>
    <row r="42">
      <c r="A42" s="2" t="n">
        <v>46203</v>
      </c>
      <c r="B42" t="inlineStr">
        <is>
          <t>Salary - Amit</t>
        </is>
      </c>
      <c r="C42" t="inlineStr">
        <is>
          <t>SAL-E003-202606</t>
        </is>
      </c>
      <c r="D42" s="3" t="n">
        <v>27000</v>
      </c>
      <c r="E42" s="3" t="n">
        <v>0</v>
      </c>
      <c r="F42" s="3">
        <f>E42-D42</f>
        <v/>
      </c>
    </row>
    <row r="43">
      <c r="A43" s="2" t="n">
        <v>46203</v>
      </c>
      <c r="B43" t="inlineStr">
        <is>
          <t>Salary - Pooja</t>
        </is>
      </c>
      <c r="C43" t="inlineStr">
        <is>
          <t>SAL-E004-202606</t>
        </is>
      </c>
      <c r="D43" s="3" t="n">
        <v>25200</v>
      </c>
      <c r="E43" s="3" t="n">
        <v>0</v>
      </c>
      <c r="F43" s="3">
        <f>E43-D43</f>
        <v/>
      </c>
    </row>
    <row r="44">
      <c r="A44" s="2" t="n">
        <v>46203</v>
      </c>
      <c r="B44" t="inlineStr">
        <is>
          <t>Salary - Vikash</t>
        </is>
      </c>
      <c r="C44" t="inlineStr">
        <is>
          <t>SAL-E005-202606</t>
        </is>
      </c>
      <c r="D44" s="3" t="n">
        <v>19800</v>
      </c>
      <c r="E44" s="3" t="n">
        <v>0</v>
      </c>
      <c r="F44" s="3">
        <f>E44-D44</f>
        <v/>
      </c>
    </row>
    <row r="45">
      <c r="A45" s="2" t="n">
        <v>46203</v>
      </c>
      <c r="B45" t="inlineStr">
        <is>
          <t>Salary - Rekha</t>
        </is>
      </c>
      <c r="C45" t="inlineStr">
        <is>
          <t>SAL-E006-202606</t>
        </is>
      </c>
      <c r="D45" s="3" t="n">
        <v>18000</v>
      </c>
      <c r="E45" s="3" t="n">
        <v>0</v>
      </c>
      <c r="F45" s="3">
        <f>E45-D45</f>
        <v/>
      </c>
    </row>
    <row r="46">
      <c r="A46" s="2" t="n">
        <v>46203</v>
      </c>
      <c r="B46" t="inlineStr">
        <is>
          <t>Salary - Manoj</t>
        </is>
      </c>
      <c r="C46" t="inlineStr">
        <is>
          <t>SAL-E007-202606</t>
        </is>
      </c>
      <c r="D46" s="3" t="n">
        <v>21600</v>
      </c>
      <c r="E46" s="3" t="n">
        <v>0</v>
      </c>
      <c r="F46" s="3">
        <f>E46-D46</f>
        <v/>
      </c>
    </row>
    <row r="47">
      <c r="A47" s="2" t="n">
        <v>46203</v>
      </c>
      <c r="B47" t="inlineStr">
        <is>
          <t>Salary - Kavita</t>
        </is>
      </c>
      <c r="C47" t="inlineStr">
        <is>
          <t>SAL-E008-202606</t>
        </is>
      </c>
      <c r="D47" s="3" t="n">
        <v>23400</v>
      </c>
      <c r="E47" s="3" t="n">
        <v>0</v>
      </c>
      <c r="F47" s="3">
        <f>E47-D47</f>
        <v/>
      </c>
    </row>
    <row r="48">
      <c r="A48" s="2" t="n">
        <v>46205</v>
      </c>
      <c r="B48" t="inlineStr">
        <is>
          <t>UPI - Green Grocer</t>
        </is>
      </c>
      <c r="C48" t="inlineStr">
        <is>
          <t>UPI-0016</t>
        </is>
      </c>
      <c r="D48" s="3" t="n">
        <v>0</v>
      </c>
      <c r="E48" s="3" t="n">
        <v>213165</v>
      </c>
      <c r="F48" s="3">
        <f>E48-D48</f>
        <v/>
      </c>
    </row>
    <row r="49">
      <c r="A49" s="2" t="n">
        <v>46209</v>
      </c>
      <c r="B49" t="inlineStr">
        <is>
          <t>UPI - Kiran Stores</t>
        </is>
      </c>
      <c r="C49" t="inlineStr">
        <is>
          <t>UPI-0024</t>
        </is>
      </c>
      <c r="D49" s="3" t="n">
        <v>0</v>
      </c>
      <c r="E49" s="3" t="n">
        <v>87052</v>
      </c>
      <c r="F49" s="3">
        <f>E49-D49</f>
        <v/>
      </c>
    </row>
    <row r="50">
      <c r="A50" s="2" t="n">
        <v>46210</v>
      </c>
      <c r="B50" t="inlineStr">
        <is>
          <t>UPI - Metro Retail</t>
        </is>
      </c>
      <c r="C50" t="inlineStr">
        <is>
          <t>UPI-0022</t>
        </is>
      </c>
      <c r="D50" s="3" t="n">
        <v>0</v>
      </c>
      <c r="E50" s="3" t="n">
        <v>237961</v>
      </c>
      <c r="F50" s="3">
        <f>E50-D50</f>
        <v/>
      </c>
    </row>
    <row r="51">
      <c r="A51" s="2" t="n">
        <v>46211</v>
      </c>
      <c r="B51" t="inlineStr">
        <is>
          <t>NEFT - Sharma Traders</t>
        </is>
      </c>
      <c r="C51" t="inlineStr">
        <is>
          <t>NEFT-0014</t>
        </is>
      </c>
      <c r="D51" s="3" t="n">
        <v>244491</v>
      </c>
      <c r="E51" s="3" t="n">
        <v>0</v>
      </c>
      <c r="F51" s="3">
        <f>E51-D51</f>
        <v/>
      </c>
    </row>
    <row r="52">
      <c r="A52" s="2" t="n">
        <v>46211</v>
      </c>
      <c r="B52" t="inlineStr">
        <is>
          <t>UPI - Local Hub</t>
        </is>
      </c>
      <c r="C52" t="inlineStr">
        <is>
          <t>UPI-0013</t>
        </is>
      </c>
      <c r="D52" s="3" t="n">
        <v>0</v>
      </c>
      <c r="E52" s="3" t="n">
        <v>263391</v>
      </c>
      <c r="F52" s="3">
        <f>E52-D52</f>
        <v/>
      </c>
    </row>
    <row r="53">
      <c r="A53" s="2" t="n">
        <v>46214</v>
      </c>
      <c r="B53" t="inlineStr">
        <is>
          <t>UPI - Star Market</t>
        </is>
      </c>
      <c r="C53" t="inlineStr">
        <is>
          <t>UPI-0018</t>
        </is>
      </c>
      <c r="D53" s="3" t="n">
        <v>0</v>
      </c>
      <c r="E53" s="3" t="n">
        <v>280358</v>
      </c>
      <c r="F53" s="3">
        <f>E53-D53</f>
        <v/>
      </c>
    </row>
    <row r="54">
      <c r="A54" s="2" t="n">
        <v>46216</v>
      </c>
      <c r="B54" t="inlineStr">
        <is>
          <t>NEFT - Singh &amp; Co</t>
        </is>
      </c>
      <c r="C54" t="inlineStr">
        <is>
          <t>NEFT-0017</t>
        </is>
      </c>
      <c r="D54" s="3" t="n">
        <v>82079</v>
      </c>
      <c r="E54" s="3" t="n">
        <v>0</v>
      </c>
      <c r="F54" s="3">
        <f>E54-D54</f>
        <v/>
      </c>
    </row>
    <row r="55">
      <c r="A55" s="2" t="n">
        <v>46224</v>
      </c>
      <c r="B55" t="inlineStr">
        <is>
          <t>NEFT - Das Brothers</t>
        </is>
      </c>
      <c r="C55" t="inlineStr">
        <is>
          <t>NEFT-0015</t>
        </is>
      </c>
      <c r="D55" s="3" t="n">
        <v>156734</v>
      </c>
      <c r="E55" s="3" t="n">
        <v>0</v>
      </c>
      <c r="F55" s="3">
        <f>E55-D55</f>
        <v/>
      </c>
    </row>
    <row r="56">
      <c r="A56" s="2" t="n">
        <v>46224</v>
      </c>
      <c r="B56" t="inlineStr">
        <is>
          <t>UPI - Local Hub</t>
        </is>
      </c>
      <c r="C56" t="inlineStr">
        <is>
          <t>UPI-0017</t>
        </is>
      </c>
      <c r="D56" s="3" t="n">
        <v>0</v>
      </c>
      <c r="E56" s="3" t="n">
        <v>122385</v>
      </c>
      <c r="F56" s="3">
        <f>E56-D56</f>
        <v/>
      </c>
    </row>
    <row r="57">
      <c r="A57" s="2" t="n">
        <v>46225</v>
      </c>
      <c r="B57" t="inlineStr">
        <is>
          <t>NEFT - Das Brothers</t>
        </is>
      </c>
      <c r="C57" t="inlineStr">
        <is>
          <t>NEFT-0019</t>
        </is>
      </c>
      <c r="D57" s="3" t="n">
        <v>209504</v>
      </c>
      <c r="E57" s="3" t="n">
        <v>0</v>
      </c>
      <c r="F57" s="3">
        <f>E57-D57</f>
        <v/>
      </c>
    </row>
    <row r="58">
      <c r="A58" s="2" t="n">
        <v>46231</v>
      </c>
      <c r="B58" t="inlineStr">
        <is>
          <t>NEFT - Mehta Enterprises</t>
        </is>
      </c>
      <c r="C58" t="inlineStr">
        <is>
          <t>NEFT-0016</t>
        </is>
      </c>
      <c r="D58" s="3" t="n">
        <v>136569</v>
      </c>
      <c r="E58" s="3" t="n">
        <v>0</v>
      </c>
      <c r="F58" s="3">
        <f>E58-D58</f>
        <v/>
      </c>
    </row>
    <row r="59">
      <c r="A59" s="2" t="n">
        <v>46234</v>
      </c>
      <c r="B59" t="inlineStr">
        <is>
          <t>Salary - Ravi</t>
        </is>
      </c>
      <c r="C59" t="inlineStr">
        <is>
          <t>SAL-E001-202607</t>
        </is>
      </c>
      <c r="D59" s="3" t="n">
        <v>40500</v>
      </c>
      <c r="E59" s="3" t="n">
        <v>0</v>
      </c>
      <c r="F59" s="3">
        <f>E59-D59</f>
        <v/>
      </c>
    </row>
    <row r="60">
      <c r="A60" s="2" t="n">
        <v>46234</v>
      </c>
      <c r="B60" t="inlineStr">
        <is>
          <t>Salary - Sunita</t>
        </is>
      </c>
      <c r="C60" t="inlineStr">
        <is>
          <t>SAL-E002-202607</t>
        </is>
      </c>
      <c r="D60" s="3" t="n">
        <v>34200</v>
      </c>
      <c r="E60" s="3" t="n">
        <v>0</v>
      </c>
      <c r="F60" s="3">
        <f>E60-D60</f>
        <v/>
      </c>
    </row>
    <row r="61">
      <c r="A61" s="2" t="n">
        <v>46234</v>
      </c>
      <c r="B61" t="inlineStr">
        <is>
          <t>Salary - Amit</t>
        </is>
      </c>
      <c r="C61" t="inlineStr">
        <is>
          <t>SAL-E003-202607</t>
        </is>
      </c>
      <c r="D61" s="3" t="n">
        <v>27000</v>
      </c>
      <c r="E61" s="3" t="n">
        <v>0</v>
      </c>
      <c r="F61" s="3">
        <f>E61-D61</f>
        <v/>
      </c>
    </row>
    <row r="62">
      <c r="A62" s="2" t="n">
        <v>46234</v>
      </c>
      <c r="B62" t="inlineStr">
        <is>
          <t>Salary - Pooja</t>
        </is>
      </c>
      <c r="C62" t="inlineStr">
        <is>
          <t>SAL-E004-202607</t>
        </is>
      </c>
      <c r="D62" s="3" t="n">
        <v>25200</v>
      </c>
      <c r="E62" s="3" t="n">
        <v>0</v>
      </c>
      <c r="F62" s="3">
        <f>E62-D62</f>
        <v/>
      </c>
    </row>
    <row r="63">
      <c r="A63" s="2" t="n">
        <v>46234</v>
      </c>
      <c r="B63" t="inlineStr">
        <is>
          <t>Salary - Vikash</t>
        </is>
      </c>
      <c r="C63" t="inlineStr">
        <is>
          <t>SAL-E005-202607</t>
        </is>
      </c>
      <c r="D63" s="3" t="n">
        <v>19800</v>
      </c>
      <c r="E63" s="3" t="n">
        <v>0</v>
      </c>
      <c r="F63" s="3">
        <f>E63-D63</f>
        <v/>
      </c>
    </row>
    <row r="64">
      <c r="A64" s="2" t="n">
        <v>46234</v>
      </c>
      <c r="B64" t="inlineStr">
        <is>
          <t>Salary - Rekha</t>
        </is>
      </c>
      <c r="C64" t="inlineStr">
        <is>
          <t>SAL-E006-202607</t>
        </is>
      </c>
      <c r="D64" s="3" t="n">
        <v>18000</v>
      </c>
      <c r="E64" s="3" t="n">
        <v>0</v>
      </c>
      <c r="F64" s="3">
        <f>E64-D64</f>
        <v/>
      </c>
    </row>
    <row r="65">
      <c r="A65" s="2" t="n">
        <v>46234</v>
      </c>
      <c r="B65" t="inlineStr">
        <is>
          <t>Salary - Manoj</t>
        </is>
      </c>
      <c r="C65" t="inlineStr">
        <is>
          <t>SAL-E007-202607</t>
        </is>
      </c>
      <c r="D65" s="3" t="n">
        <v>21600</v>
      </c>
      <c r="E65" s="3" t="n">
        <v>0</v>
      </c>
      <c r="F65" s="3">
        <f>E65-D65</f>
        <v/>
      </c>
    </row>
    <row r="66">
      <c r="A66" s="2" t="n">
        <v>46234</v>
      </c>
      <c r="B66" t="inlineStr">
        <is>
          <t>Salary - Kavita</t>
        </is>
      </c>
      <c r="C66" t="inlineStr">
        <is>
          <t>SAL-E008-202607</t>
        </is>
      </c>
      <c r="D66" s="3" t="n">
        <v>23400</v>
      </c>
      <c r="E66" s="3" t="n">
        <v>0</v>
      </c>
      <c r="F66" s="3">
        <f>E66-D66</f>
        <v/>
      </c>
    </row>
    <row r="67">
      <c r="A67" s="2" t="n">
        <v>46236</v>
      </c>
      <c r="B67" t="inlineStr">
        <is>
          <t>UPI - Daily Needs</t>
        </is>
      </c>
      <c r="C67" t="inlineStr">
        <is>
          <t>UPI-0020</t>
        </is>
      </c>
      <c r="D67" s="3" t="n">
        <v>0</v>
      </c>
      <c r="E67" s="3" t="n">
        <v>368240</v>
      </c>
      <c r="F67" s="3">
        <f>E67-D67</f>
        <v/>
      </c>
    </row>
    <row r="68">
      <c r="A68" s="2" t="n">
        <v>46242</v>
      </c>
      <c r="B68" t="inlineStr">
        <is>
          <t>UPI - Value Plus</t>
        </is>
      </c>
      <c r="C68" t="inlineStr">
        <is>
          <t>UPI-0023</t>
        </is>
      </c>
      <c r="D68" s="3" t="n">
        <v>0</v>
      </c>
      <c r="E68" s="3" t="n">
        <v>149428</v>
      </c>
      <c r="F68" s="3">
        <f>E68-D68</f>
        <v/>
      </c>
    </row>
    <row r="69">
      <c r="A69" s="2" t="n">
        <v>46243</v>
      </c>
      <c r="B69" t="inlineStr">
        <is>
          <t>NEFT - Singh &amp; Co</t>
        </is>
      </c>
      <c r="C69" t="inlineStr">
        <is>
          <t>NEFT-0025</t>
        </is>
      </c>
      <c r="D69" s="3" t="n">
        <v>79595</v>
      </c>
      <c r="E69" s="3" t="n">
        <v>0</v>
      </c>
      <c r="F69" s="3">
        <f>E69-D69</f>
        <v/>
      </c>
    </row>
    <row r="70">
      <c r="A70" s="2" t="n">
        <v>46248</v>
      </c>
      <c r="B70" t="inlineStr">
        <is>
          <t>NEFT - Mehta Enterprises</t>
        </is>
      </c>
      <c r="C70" t="inlineStr">
        <is>
          <t>NEFT-0026</t>
        </is>
      </c>
      <c r="D70" s="3" t="n">
        <v>152411</v>
      </c>
      <c r="E70" s="3" t="n">
        <v>0</v>
      </c>
      <c r="F70" s="3">
        <f>E70-D70</f>
        <v/>
      </c>
    </row>
    <row r="71">
      <c r="A71" s="2" t="n">
        <v>46252</v>
      </c>
      <c r="B71" t="inlineStr">
        <is>
          <t>UPI - Green Grocer</t>
        </is>
      </c>
      <c r="C71" t="inlineStr">
        <is>
          <t>UPI-0029</t>
        </is>
      </c>
      <c r="D71" s="3" t="n">
        <v>0</v>
      </c>
      <c r="E71" s="3" t="n">
        <v>184200</v>
      </c>
      <c r="F71" s="3">
        <f>E71-D71</f>
        <v/>
      </c>
    </row>
    <row r="72">
      <c r="A72" s="2" t="n">
        <v>46255</v>
      </c>
      <c r="B72" t="inlineStr">
        <is>
          <t>NEFT - Das Brothers</t>
        </is>
      </c>
      <c r="C72" t="inlineStr">
        <is>
          <t>NEFT-0022</t>
        </is>
      </c>
      <c r="D72" s="3" t="n">
        <v>243729</v>
      </c>
      <c r="E72" s="3" t="n">
        <v>0</v>
      </c>
      <c r="F72" s="3">
        <f>E72-D72</f>
        <v/>
      </c>
    </row>
    <row r="73">
      <c r="A73" s="2" t="n">
        <v>46255</v>
      </c>
      <c r="B73" t="inlineStr">
        <is>
          <t>UPI - City Mart</t>
        </is>
      </c>
      <c r="C73" t="inlineStr">
        <is>
          <t>UPI-0021</t>
        </is>
      </c>
      <c r="D73" s="3" t="n">
        <v>0</v>
      </c>
      <c r="E73" s="3" t="n">
        <v>301579</v>
      </c>
      <c r="F73" s="3">
        <f>E73-D73</f>
        <v/>
      </c>
    </row>
    <row r="74">
      <c r="A74" s="2" t="n">
        <v>46264</v>
      </c>
      <c r="B74" t="inlineStr">
        <is>
          <t>NEFT - Gupta Supplies</t>
        </is>
      </c>
      <c r="C74" t="inlineStr">
        <is>
          <t>NEFT-0021</t>
        </is>
      </c>
      <c r="D74" s="3" t="n">
        <v>123224</v>
      </c>
      <c r="E74" s="3" t="n">
        <v>0</v>
      </c>
      <c r="F74" s="3">
        <f>E74-D74</f>
        <v/>
      </c>
    </row>
    <row r="75">
      <c r="A75" s="2" t="n">
        <v>46265</v>
      </c>
      <c r="B75" t="inlineStr">
        <is>
          <t>Salary - Ravi</t>
        </is>
      </c>
      <c r="C75" t="inlineStr">
        <is>
          <t>SAL-E001-202608</t>
        </is>
      </c>
      <c r="D75" s="3" t="n">
        <v>40500</v>
      </c>
      <c r="E75" s="3" t="n">
        <v>0</v>
      </c>
      <c r="F75" s="3">
        <f>E75-D75</f>
        <v/>
      </c>
    </row>
    <row r="76">
      <c r="A76" s="2" t="n">
        <v>46265</v>
      </c>
      <c r="B76" t="inlineStr">
        <is>
          <t>Salary - Sunita</t>
        </is>
      </c>
      <c r="C76" t="inlineStr">
        <is>
          <t>SAL-E002-202608</t>
        </is>
      </c>
      <c r="D76" s="3" t="n">
        <v>34200</v>
      </c>
      <c r="E76" s="3" t="n">
        <v>0</v>
      </c>
      <c r="F76" s="3">
        <f>E76-D76</f>
        <v/>
      </c>
    </row>
    <row r="77">
      <c r="A77" s="2" t="n">
        <v>46265</v>
      </c>
      <c r="B77" t="inlineStr">
        <is>
          <t>Salary - Amit</t>
        </is>
      </c>
      <c r="C77" t="inlineStr">
        <is>
          <t>SAL-E003-202608</t>
        </is>
      </c>
      <c r="D77" s="3" t="n">
        <v>27000</v>
      </c>
      <c r="E77" s="3" t="n">
        <v>0</v>
      </c>
      <c r="F77" s="3">
        <f>E77-D77</f>
        <v/>
      </c>
    </row>
    <row r="78">
      <c r="A78" s="2" t="n">
        <v>46265</v>
      </c>
      <c r="B78" t="inlineStr">
        <is>
          <t>Salary - Pooja</t>
        </is>
      </c>
      <c r="C78" t="inlineStr">
        <is>
          <t>SAL-E004-202608</t>
        </is>
      </c>
      <c r="D78" s="3" t="n">
        <v>25200</v>
      </c>
      <c r="E78" s="3" t="n">
        <v>0</v>
      </c>
      <c r="F78" s="3">
        <f>E78-D78</f>
        <v/>
      </c>
    </row>
    <row r="79">
      <c r="A79" s="2" t="n">
        <v>46265</v>
      </c>
      <c r="B79" t="inlineStr">
        <is>
          <t>Salary - Vikash</t>
        </is>
      </c>
      <c r="C79" t="inlineStr">
        <is>
          <t>SAL-E005-202608</t>
        </is>
      </c>
      <c r="D79" s="3" t="n">
        <v>19800</v>
      </c>
      <c r="E79" s="3" t="n">
        <v>0</v>
      </c>
      <c r="F79" s="3">
        <f>E79-D79</f>
        <v/>
      </c>
    </row>
    <row r="80">
      <c r="A80" s="2" t="n">
        <v>46265</v>
      </c>
      <c r="B80" t="inlineStr">
        <is>
          <t>Salary - Rekha</t>
        </is>
      </c>
      <c r="C80" t="inlineStr">
        <is>
          <t>SAL-E006-202608</t>
        </is>
      </c>
      <c r="D80" s="3" t="n">
        <v>18000</v>
      </c>
      <c r="E80" s="3" t="n">
        <v>0</v>
      </c>
      <c r="F80" s="3">
        <f>E80-D80</f>
        <v/>
      </c>
    </row>
    <row r="81">
      <c r="A81" s="2" t="n">
        <v>46265</v>
      </c>
      <c r="B81" t="inlineStr">
        <is>
          <t>Salary - Manoj</t>
        </is>
      </c>
      <c r="C81" t="inlineStr">
        <is>
          <t>SAL-E007-202608</t>
        </is>
      </c>
      <c r="D81" s="3" t="n">
        <v>21600</v>
      </c>
      <c r="E81" s="3" t="n">
        <v>0</v>
      </c>
      <c r="F81" s="3">
        <f>E81-D81</f>
        <v/>
      </c>
    </row>
    <row r="82">
      <c r="A82" s="2" t="n">
        <v>46265</v>
      </c>
      <c r="B82" t="inlineStr">
        <is>
          <t>Salary - Kavita</t>
        </is>
      </c>
      <c r="C82" t="inlineStr">
        <is>
          <t>SAL-E008-202608</t>
        </is>
      </c>
      <c r="D82" s="3" t="n">
        <v>23400</v>
      </c>
      <c r="E82" s="3" t="n">
        <v>0</v>
      </c>
      <c r="F82" s="3">
        <f>E82-D82</f>
        <v/>
      </c>
    </row>
    <row r="83">
      <c r="A83" s="2" t="n">
        <v>46265</v>
      </c>
      <c r="B83" t="inlineStr">
        <is>
          <t>UPI - Apna Bazar</t>
        </is>
      </c>
      <c r="C83" t="inlineStr">
        <is>
          <t>UPI-0027</t>
        </is>
      </c>
      <c r="D83" s="3" t="n">
        <v>0</v>
      </c>
      <c r="E83" s="3" t="n">
        <v>290257</v>
      </c>
      <c r="F83" s="3">
        <f>E83-D83</f>
        <v/>
      </c>
    </row>
    <row r="84">
      <c r="A84" s="2" t="n">
        <v>46266</v>
      </c>
      <c r="B84" t="inlineStr">
        <is>
          <t>UPI - City Mart</t>
        </is>
      </c>
      <c r="C84" t="inlineStr">
        <is>
          <t>UPI-0028</t>
        </is>
      </c>
      <c r="D84" s="3" t="n">
        <v>0</v>
      </c>
      <c r="E84" s="3" t="n">
        <v>157342</v>
      </c>
      <c r="F84" s="3">
        <f>E84-D84</f>
        <v/>
      </c>
    </row>
    <row r="85">
      <c r="A85" s="2" t="n">
        <v>46274</v>
      </c>
      <c r="B85" t="inlineStr">
        <is>
          <t>UPI - Fresh Bazar</t>
        </is>
      </c>
      <c r="C85" t="inlineStr">
        <is>
          <t>UPI-0026</t>
        </is>
      </c>
      <c r="D85" s="3" t="n">
        <v>0</v>
      </c>
      <c r="E85" s="3" t="n">
        <v>103365</v>
      </c>
      <c r="F85" s="3">
        <f>E85-D85</f>
        <v/>
      </c>
    </row>
    <row r="86">
      <c r="A86" s="2" t="n">
        <v>46275</v>
      </c>
      <c r="B86" t="inlineStr">
        <is>
          <t>Interest credited</t>
        </is>
      </c>
      <c r="C86" t="inlineStr">
        <is>
          <t>INT-001</t>
        </is>
      </c>
      <c r="D86" s="3" t="n">
        <v>0</v>
      </c>
      <c r="E86" s="3" t="n">
        <v>1248</v>
      </c>
      <c r="F86" s="3">
        <f>E86-D86</f>
        <v/>
      </c>
    </row>
    <row r="87">
      <c r="A87" s="2" t="n">
        <v>46279</v>
      </c>
      <c r="B87" t="inlineStr">
        <is>
          <t>UPI - Metro Retail</t>
        </is>
      </c>
      <c r="C87" t="inlineStr">
        <is>
          <t>UPI-0036</t>
        </is>
      </c>
      <c r="D87" s="3" t="n">
        <v>0</v>
      </c>
      <c r="E87" s="3" t="n">
        <v>260619</v>
      </c>
      <c r="F87" s="3">
        <f>E87-D87</f>
        <v/>
      </c>
    </row>
    <row r="88">
      <c r="A88" s="2" t="n">
        <v>46280</v>
      </c>
      <c r="B88" t="inlineStr">
        <is>
          <t>Bank charges Q2</t>
        </is>
      </c>
      <c r="C88" t="inlineStr">
        <is>
          <t>CHG-002</t>
        </is>
      </c>
      <c r="D88" s="3" t="n">
        <v>389</v>
      </c>
      <c r="E88" s="3" t="n">
        <v>0</v>
      </c>
      <c r="F88" s="3">
        <f>E88-D88</f>
        <v/>
      </c>
    </row>
    <row r="89">
      <c r="A89" s="2" t="n">
        <v>46280</v>
      </c>
      <c r="B89" t="inlineStr">
        <is>
          <t>UPI - Local Hub</t>
        </is>
      </c>
      <c r="C89" t="inlineStr">
        <is>
          <t>UPI-0034</t>
        </is>
      </c>
      <c r="D89" s="3" t="n">
        <v>0</v>
      </c>
      <c r="E89" s="3" t="n">
        <v>231991</v>
      </c>
      <c r="F89" s="3">
        <f>E89-D89</f>
        <v/>
      </c>
    </row>
    <row r="90">
      <c r="A90" s="2" t="n">
        <v>46285</v>
      </c>
      <c r="B90" t="inlineStr">
        <is>
          <t>NEFT - Mehta Enterprises</t>
        </is>
      </c>
      <c r="C90" t="inlineStr">
        <is>
          <t>NEFT-0028</t>
        </is>
      </c>
      <c r="D90" s="3" t="n">
        <v>131235</v>
      </c>
      <c r="E90" s="3" t="n">
        <v>0</v>
      </c>
      <c r="F90" s="3">
        <f>E90-D90</f>
        <v/>
      </c>
    </row>
    <row r="91">
      <c r="A91" s="2" t="n">
        <v>46285</v>
      </c>
      <c r="B91" t="inlineStr">
        <is>
          <t>NEFT - Verma Agro</t>
        </is>
      </c>
      <c r="C91" t="inlineStr">
        <is>
          <t>NEFT-0034</t>
        </is>
      </c>
      <c r="D91" s="3" t="n">
        <v>99122</v>
      </c>
      <c r="E91" s="3" t="n">
        <v>0</v>
      </c>
      <c r="F91" s="3">
        <f>E91-D91</f>
        <v/>
      </c>
    </row>
    <row r="92">
      <c r="A92" s="2" t="n">
        <v>46287</v>
      </c>
      <c r="B92" t="inlineStr">
        <is>
          <t>UPI - Star Market</t>
        </is>
      </c>
      <c r="C92" t="inlineStr">
        <is>
          <t>UPI-0025</t>
        </is>
      </c>
      <c r="D92" s="3" t="n">
        <v>0</v>
      </c>
      <c r="E92" s="3" t="n">
        <v>356914</v>
      </c>
      <c r="F92" s="3">
        <f>E92-D92</f>
        <v/>
      </c>
    </row>
    <row r="93">
      <c r="A93" s="2" t="n">
        <v>46288</v>
      </c>
      <c r="B93" t="inlineStr">
        <is>
          <t>NEFT - Khan Distributors</t>
        </is>
      </c>
      <c r="C93" t="inlineStr">
        <is>
          <t>NEFT-0029</t>
        </is>
      </c>
      <c r="D93" s="3" t="n">
        <v>165923</v>
      </c>
      <c r="E93" s="3" t="n">
        <v>0</v>
      </c>
      <c r="F93" s="3">
        <f>E93-D93</f>
        <v/>
      </c>
    </row>
    <row r="94">
      <c r="A94" s="2" t="n">
        <v>46291</v>
      </c>
      <c r="B94" t="inlineStr">
        <is>
          <t>NEFT - Mehta Enterprises</t>
        </is>
      </c>
      <c r="C94" t="inlineStr">
        <is>
          <t>NEFT-0039</t>
        </is>
      </c>
      <c r="D94" s="3" t="n">
        <v>134415</v>
      </c>
      <c r="E94" s="3" t="n">
        <v>0</v>
      </c>
      <c r="F94" s="3">
        <f>E94-D94</f>
        <v/>
      </c>
    </row>
    <row r="95">
      <c r="A95" s="2" t="n">
        <v>46291</v>
      </c>
      <c r="B95" t="inlineStr">
        <is>
          <t>UPI - Daily Needs</t>
        </is>
      </c>
      <c r="C95" t="inlineStr">
        <is>
          <t>UPI-0031</t>
        </is>
      </c>
      <c r="D95" s="3" t="n">
        <v>0</v>
      </c>
      <c r="E95" s="3" t="n">
        <v>64303</v>
      </c>
      <c r="F95" s="3">
        <f>E95-D95</f>
        <v/>
      </c>
    </row>
    <row r="96">
      <c r="A96" s="2" t="n">
        <v>46292</v>
      </c>
      <c r="B96" t="inlineStr">
        <is>
          <t>NEFT - Mehta Enterprises</t>
        </is>
      </c>
      <c r="C96" t="inlineStr">
        <is>
          <t>NEFT-0037</t>
        </is>
      </c>
      <c r="D96" s="3" t="n">
        <v>149022</v>
      </c>
      <c r="E96" s="3" t="n">
        <v>0</v>
      </c>
      <c r="F96" s="3">
        <f>E96-D96</f>
        <v/>
      </c>
    </row>
    <row r="97">
      <c r="A97" s="2" t="n">
        <v>46293</v>
      </c>
      <c r="B97" t="inlineStr">
        <is>
          <t>NEFT - Singh &amp; Co</t>
        </is>
      </c>
      <c r="C97" t="inlineStr">
        <is>
          <t>NEFT-0030</t>
        </is>
      </c>
      <c r="D97" s="3" t="n">
        <v>40649</v>
      </c>
      <c r="E97" s="3" t="n">
        <v>0</v>
      </c>
      <c r="F97" s="3">
        <f>E97-D97</f>
        <v/>
      </c>
    </row>
    <row r="98">
      <c r="A98" s="2" t="n">
        <v>46295</v>
      </c>
      <c r="B98" t="inlineStr">
        <is>
          <t>NEFT - Sharma Traders</t>
        </is>
      </c>
      <c r="C98" t="inlineStr">
        <is>
          <t>NEFT-0033</t>
        </is>
      </c>
      <c r="D98" s="3" t="n">
        <v>80941</v>
      </c>
      <c r="E98" s="3" t="n">
        <v>0</v>
      </c>
      <c r="F98" s="3">
        <f>E98-D98</f>
        <v/>
      </c>
    </row>
    <row r="99">
      <c r="A99" s="2" t="n">
        <v>46295</v>
      </c>
      <c r="B99" t="inlineStr">
        <is>
          <t>NEFT - Das Brothers</t>
        </is>
      </c>
      <c r="C99" t="inlineStr">
        <is>
          <t>NEFT-0035</t>
        </is>
      </c>
      <c r="D99" s="3" t="n">
        <v>137111</v>
      </c>
      <c r="E99" s="3" t="n">
        <v>0</v>
      </c>
      <c r="F99" s="3">
        <f>E99-D99</f>
        <v/>
      </c>
    </row>
    <row r="100">
      <c r="A100" s="2" t="n">
        <v>46295</v>
      </c>
      <c r="B100" t="inlineStr">
        <is>
          <t>NEFT - Singh &amp; Co</t>
        </is>
      </c>
      <c r="C100" t="inlineStr">
        <is>
          <t>NEFT-0038</t>
        </is>
      </c>
      <c r="D100" s="3" t="n">
        <v>26970</v>
      </c>
      <c r="E100" s="3" t="n">
        <v>0</v>
      </c>
      <c r="F100" s="3">
        <f>E100-D100</f>
        <v/>
      </c>
    </row>
    <row r="101">
      <c r="A101" s="2" t="n">
        <v>46295</v>
      </c>
      <c r="B101" t="inlineStr">
        <is>
          <t>Salary - Ravi</t>
        </is>
      </c>
      <c r="C101" t="inlineStr">
        <is>
          <t>SAL-E001-202609</t>
        </is>
      </c>
      <c r="D101" s="3" t="n">
        <v>40500</v>
      </c>
      <c r="E101" s="3" t="n">
        <v>0</v>
      </c>
      <c r="F101" s="3">
        <f>E101-D101</f>
        <v/>
      </c>
    </row>
    <row r="102">
      <c r="A102" s="2" t="n">
        <v>46295</v>
      </c>
      <c r="B102" t="inlineStr">
        <is>
          <t>Salary - Sunita</t>
        </is>
      </c>
      <c r="C102" t="inlineStr">
        <is>
          <t>SAL-E002-202609</t>
        </is>
      </c>
      <c r="D102" s="3" t="n">
        <v>34200</v>
      </c>
      <c r="E102" s="3" t="n">
        <v>0</v>
      </c>
      <c r="F102" s="3">
        <f>E102-D102</f>
        <v/>
      </c>
    </row>
    <row r="103">
      <c r="A103" s="2" t="n">
        <v>46295</v>
      </c>
      <c r="B103" t="inlineStr">
        <is>
          <t>Salary - Amit</t>
        </is>
      </c>
      <c r="C103" t="inlineStr">
        <is>
          <t>SAL-E003-202609</t>
        </is>
      </c>
      <c r="D103" s="3" t="n">
        <v>27000</v>
      </c>
      <c r="E103" s="3" t="n">
        <v>0</v>
      </c>
      <c r="F103" s="3">
        <f>E103-D103</f>
        <v/>
      </c>
    </row>
    <row r="104">
      <c r="A104" s="2" t="n">
        <v>46295</v>
      </c>
      <c r="B104" t="inlineStr">
        <is>
          <t>Salary - Pooja</t>
        </is>
      </c>
      <c r="C104" t="inlineStr">
        <is>
          <t>SAL-E004-202609</t>
        </is>
      </c>
      <c r="D104" s="3" t="n">
        <v>25200</v>
      </c>
      <c r="E104" s="3" t="n">
        <v>0</v>
      </c>
      <c r="F104" s="3">
        <f>E104-D104</f>
        <v/>
      </c>
    </row>
    <row r="105">
      <c r="A105" s="2" t="n">
        <v>46295</v>
      </c>
      <c r="B105" t="inlineStr">
        <is>
          <t>Salary - Vikash</t>
        </is>
      </c>
      <c r="C105" t="inlineStr">
        <is>
          <t>SAL-E005-202609</t>
        </is>
      </c>
      <c r="D105" s="3" t="n">
        <v>19800</v>
      </c>
      <c r="E105" s="3" t="n">
        <v>0</v>
      </c>
      <c r="F105" s="3">
        <f>E105-D105</f>
        <v/>
      </c>
    </row>
    <row r="106">
      <c r="A106" s="2" t="n">
        <v>46295</v>
      </c>
      <c r="B106" t="inlineStr">
        <is>
          <t>Salary - Rekha</t>
        </is>
      </c>
      <c r="C106" t="inlineStr">
        <is>
          <t>SAL-E006-202609</t>
        </is>
      </c>
      <c r="D106" s="3" t="n">
        <v>18000</v>
      </c>
      <c r="E106" s="3" t="n">
        <v>0</v>
      </c>
      <c r="F106" s="3">
        <f>E106-D106</f>
        <v/>
      </c>
    </row>
    <row r="107">
      <c r="A107" s="2" t="n">
        <v>46295</v>
      </c>
      <c r="B107" t="inlineStr">
        <is>
          <t>Salary - Manoj</t>
        </is>
      </c>
      <c r="C107" t="inlineStr">
        <is>
          <t>SAL-E007-202609</t>
        </is>
      </c>
      <c r="D107" s="3" t="n">
        <v>21600</v>
      </c>
      <c r="E107" s="3" t="n">
        <v>0</v>
      </c>
      <c r="F107" s="3">
        <f>E107-D107</f>
        <v/>
      </c>
    </row>
    <row r="108">
      <c r="A108" s="2" t="n">
        <v>46295</v>
      </c>
      <c r="B108" t="inlineStr">
        <is>
          <t>Salary - Kavita</t>
        </is>
      </c>
      <c r="C108" t="inlineStr">
        <is>
          <t>SAL-E008-202609</t>
        </is>
      </c>
      <c r="D108" s="3" t="n">
        <v>23400</v>
      </c>
      <c r="E108" s="3" t="n">
        <v>0</v>
      </c>
      <c r="F108" s="3">
        <f>E108-D108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4" t="inlineStr">
        <is>
          <t>Bank Reconciliation (INR) - all figures are live formulas</t>
        </is>
      </c>
    </row>
    <row r="3">
      <c r="A3" t="inlineStr">
        <is>
          <t>Bank balance per statement</t>
        </is>
      </c>
      <c r="B3" s="3">
        <f>SUM(Bank!F:F)</f>
        <v/>
      </c>
    </row>
    <row r="4">
      <c r="A4" t="inlineStr">
        <is>
          <t>Add: deposits in transit</t>
        </is>
      </c>
      <c r="B4" s="3">
        <f>SUMIFS(Raw_AR!E:E,Raw_AR!G:G,1)</f>
        <v/>
      </c>
    </row>
    <row r="5">
      <c r="A5" t="inlineStr">
        <is>
          <t>Less: outstanding cheques</t>
        </is>
      </c>
      <c r="B5" s="3">
        <f>SUMIFS(Raw_AP!E:E,Raw_AP!G:G,"cheque",Raw_AP!F:F,"&lt;&gt;"&amp;"",Raw_AP!H:H,0)</f>
        <v/>
      </c>
    </row>
    <row r="6">
      <c r="A6" s="5" t="inlineStr">
        <is>
          <t>ADJUSTED BANK BALANCE</t>
        </is>
      </c>
      <c r="B6" s="6">
        <f>B3+B4-B5</f>
        <v/>
      </c>
    </row>
    <row r="8">
      <c r="A8" t="inlineStr">
        <is>
          <t>Book balance per books</t>
        </is>
      </c>
      <c r="B8" s="3">
        <f>BookOpen+SUMIFS(Raw_AR!E:E,Raw_AR!F:F,"&lt;&gt;"&amp;"",Raw_AR!C:C,"&gt;="&amp;PeriodStart,Raw_AR!C:C,"&lt;"&amp;PeriodEnd)-SUMIFS(Raw_AP!E:E,Raw_AP!F:F,"&lt;&gt;"&amp;"",Raw_AP!C:C,"&gt;="&amp;PeriodStart,Raw_AP!C:C,"&lt;"&amp;PeriodEnd)-SUMIFS(Payroll!G:G,Payroll!D:D,"&gt;="&amp;PeriodStart,Payroll!D:D,"&lt;"&amp;PeriodEnd)</f>
        <v/>
      </c>
    </row>
    <row r="9">
      <c r="A9" t="inlineStr">
        <is>
          <t>Add: interest credited (not in books)</t>
        </is>
      </c>
      <c r="B9" s="3">
        <f>SUMIFS(Bank!E:E,Bank!C:C,"INT-*")</f>
        <v/>
      </c>
    </row>
    <row r="10">
      <c r="A10" t="inlineStr">
        <is>
          <t>Less: bank charges (not in books)</t>
        </is>
      </c>
      <c r="B10" s="3">
        <f>SUMIFS(Bank!D:D,Bank!C:C,"CHG-*")</f>
        <v/>
      </c>
    </row>
    <row r="11">
      <c r="A11" s="5" t="inlineStr">
        <is>
          <t>ADJUSTED BOOK BALANCE</t>
        </is>
      </c>
      <c r="B11" s="6">
        <f>B8+B9-B10</f>
        <v/>
      </c>
    </row>
    <row r="13">
      <c r="A13" t="inlineStr">
        <is>
          <t>Difference (adjusted bank - adjusted book)</t>
        </is>
      </c>
      <c r="B13" s="3">
        <f>B6-B11</f>
        <v/>
      </c>
    </row>
    <row r="14">
      <c r="A14" t="inlineStr">
        <is>
          <t>Status</t>
        </is>
      </c>
      <c r="B14" s="3">
        <f>IF(ABS(B13)&lt;0.01,"OK - reconciled","OUT OF BALANCE - investigate")</f>
        <v/>
      </c>
    </row>
  </sheetData>
  <conditionalFormatting sqref="B14">
    <cfRule type="expression" priority="1" dxfId="0">
      <formula>NOT(ISNUMBER(SEARCH("OK",B14)))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4" t="inlineStr">
        <is>
          <t>AP Aging (INR) - live SUMIFS</t>
        </is>
      </c>
    </row>
    <row r="2">
      <c r="A2" s="1" t="inlineStr">
        <is>
          <t>Bucket</t>
        </is>
      </c>
      <c r="B2" s="1" t="inlineStr">
        <is>
          <t>Outstanding</t>
        </is>
      </c>
      <c r="C2" s="1" t="inlineStr">
        <is>
          <t>Count</t>
        </is>
      </c>
    </row>
    <row r="3">
      <c r="A3" t="inlineStr">
        <is>
          <t>Current</t>
        </is>
      </c>
      <c r="B3" s="3">
        <f>SUMIFS(Raw_AP!L:L,Raw_AP!K:K,A3)</f>
        <v/>
      </c>
      <c r="C3">
        <f>COUNTIFS(Raw_AP!K:K,A3,Raw_AP!L:L,"&gt;0")</f>
        <v/>
      </c>
    </row>
    <row r="4">
      <c r="A4" t="inlineStr">
        <is>
          <t>1-30</t>
        </is>
      </c>
      <c r="B4" s="3">
        <f>SUMIFS(Raw_AP!L:L,Raw_AP!K:K,A4)</f>
        <v/>
      </c>
      <c r="C4">
        <f>COUNTIFS(Raw_AP!K:K,A4,Raw_AP!L:L,"&gt;0")</f>
        <v/>
      </c>
    </row>
    <row r="5">
      <c r="A5" t="inlineStr">
        <is>
          <t>31-60</t>
        </is>
      </c>
      <c r="B5" s="3">
        <f>SUMIFS(Raw_AP!L:L,Raw_AP!K:K,A5)</f>
        <v/>
      </c>
      <c r="C5">
        <f>COUNTIFS(Raw_AP!K:K,A5,Raw_AP!L:L,"&gt;0")</f>
        <v/>
      </c>
    </row>
    <row r="6">
      <c r="A6" t="inlineStr">
        <is>
          <t>61-90</t>
        </is>
      </c>
      <c r="B6" s="3">
        <f>SUMIFS(Raw_AP!L:L,Raw_AP!K:K,A6)</f>
        <v/>
      </c>
      <c r="C6">
        <f>COUNTIFS(Raw_AP!K:K,A6,Raw_AP!L:L,"&gt;0")</f>
        <v/>
      </c>
    </row>
    <row r="7">
      <c r="A7" t="inlineStr">
        <is>
          <t>90+</t>
        </is>
      </c>
      <c r="B7" s="3">
        <f>SUMIFS(Raw_AP!L:L,Raw_AP!K:K,A7)</f>
        <v/>
      </c>
      <c r="C7">
        <f>COUNTIFS(Raw_AP!K:K,A7,Raw_AP!L:L,"&gt;0")</f>
        <v/>
      </c>
    </row>
    <row r="8">
      <c r="A8" s="5" t="inlineStr">
        <is>
          <t>TOTAL</t>
        </is>
      </c>
      <c r="B8" s="6">
        <f>SUM(B3:B7)</f>
        <v/>
      </c>
      <c r="C8" s="5">
        <f>SUM(C3:C7)</f>
        <v/>
      </c>
    </row>
    <row r="9">
      <c r="A9" t="inlineStr">
        <is>
          <t>Integrity check</t>
        </is>
      </c>
      <c r="B9">
        <f>IF(ABS(B8-SUM(Raw_AP!L:L))&lt;0.01,"OK - ties to raw data","DIFF")</f>
        <v/>
      </c>
    </row>
  </sheetData>
  <conditionalFormatting sqref="B7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4" t="inlineStr">
        <is>
          <t>AR Aging (INR) - live SUMIFS</t>
        </is>
      </c>
    </row>
    <row r="2">
      <c r="A2" s="1" t="inlineStr">
        <is>
          <t>Bucket</t>
        </is>
      </c>
      <c r="B2" s="1" t="inlineStr">
        <is>
          <t>Outstanding</t>
        </is>
      </c>
      <c r="C2" s="1" t="inlineStr">
        <is>
          <t>Count</t>
        </is>
      </c>
    </row>
    <row r="3">
      <c r="A3" t="inlineStr">
        <is>
          <t>Current</t>
        </is>
      </c>
      <c r="B3" s="3">
        <f>SUMIFS(Raw_AR!J:J,Raw_AR!I:I,A3)</f>
        <v/>
      </c>
      <c r="C3">
        <f>COUNTIFS(Raw_AR!I:I,A3,Raw_AR!J:J,"&gt;0")</f>
        <v/>
      </c>
    </row>
    <row r="4">
      <c r="A4" t="inlineStr">
        <is>
          <t>1-30</t>
        </is>
      </c>
      <c r="B4" s="3">
        <f>SUMIFS(Raw_AR!J:J,Raw_AR!I:I,A4)</f>
        <v/>
      </c>
      <c r="C4">
        <f>COUNTIFS(Raw_AR!I:I,A4,Raw_AR!J:J,"&gt;0")</f>
        <v/>
      </c>
    </row>
    <row r="5">
      <c r="A5" t="inlineStr">
        <is>
          <t>31-60</t>
        </is>
      </c>
      <c r="B5" s="3">
        <f>SUMIFS(Raw_AR!J:J,Raw_AR!I:I,A5)</f>
        <v/>
      </c>
      <c r="C5">
        <f>COUNTIFS(Raw_AR!I:I,A5,Raw_AR!J:J,"&gt;0")</f>
        <v/>
      </c>
    </row>
    <row r="6">
      <c r="A6" t="inlineStr">
        <is>
          <t>61-90</t>
        </is>
      </c>
      <c r="B6" s="3">
        <f>SUMIFS(Raw_AR!J:J,Raw_AR!I:I,A6)</f>
        <v/>
      </c>
      <c r="C6">
        <f>COUNTIFS(Raw_AR!I:I,A6,Raw_AR!J:J,"&gt;0")</f>
        <v/>
      </c>
    </row>
    <row r="7">
      <c r="A7" t="inlineStr">
        <is>
          <t>90+</t>
        </is>
      </c>
      <c r="B7" s="3">
        <f>SUMIFS(Raw_AR!J:J,Raw_AR!I:I,A7)</f>
        <v/>
      </c>
      <c r="C7">
        <f>COUNTIFS(Raw_AR!I:I,A7,Raw_AR!J:J,"&gt;0")</f>
        <v/>
      </c>
    </row>
    <row r="8">
      <c r="A8" s="5" t="inlineStr">
        <is>
          <t>TOTAL</t>
        </is>
      </c>
      <c r="B8" s="6">
        <f>SUM(B3:B7)</f>
        <v/>
      </c>
      <c r="C8" s="5">
        <f>SUM(C3:C7)</f>
        <v/>
      </c>
    </row>
    <row r="9">
      <c r="A9" t="inlineStr">
        <is>
          <t>Integrity check</t>
        </is>
      </c>
      <c r="B9">
        <f>IF(ABS(B8-SUM(Raw_AR!J:J))&lt;0.01,"OK - ties to raw data","DIFF")</f>
        <v/>
      </c>
    </row>
  </sheetData>
  <conditionalFormatting sqref="B7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Profit &amp; Loss (INR), Apr-Sep 2026</t>
        </is>
      </c>
    </row>
    <row r="2">
      <c r="B2" s="7" t="n">
        <v>46113</v>
      </c>
      <c r="C2" s="7" t="n">
        <v>46143</v>
      </c>
      <c r="D2" s="7" t="n">
        <v>46174</v>
      </c>
      <c r="E2" s="7" t="n">
        <v>46204</v>
      </c>
      <c r="F2" s="7" t="n">
        <v>46235</v>
      </c>
      <c r="G2" s="7" t="n">
        <v>46266</v>
      </c>
    </row>
    <row r="3">
      <c r="A3" s="1" t="inlineStr">
        <is>
          <t>Line</t>
        </is>
      </c>
      <c r="B3" s="1" t="inlineStr">
        <is>
          <t>Apr-26</t>
        </is>
      </c>
      <c r="C3" s="1" t="inlineStr">
        <is>
          <t>May-26</t>
        </is>
      </c>
      <c r="D3" s="1" t="inlineStr">
        <is>
          <t>Jun-26</t>
        </is>
      </c>
      <c r="E3" s="1" t="inlineStr">
        <is>
          <t>Jul-26</t>
        </is>
      </c>
      <c r="F3" s="1" t="inlineStr">
        <is>
          <t>Aug-26</t>
        </is>
      </c>
      <c r="G3" s="1" t="inlineStr">
        <is>
          <t>Sep-26</t>
        </is>
      </c>
      <c r="H3" s="1" t="inlineStr">
        <is>
          <t>Total</t>
        </is>
      </c>
    </row>
    <row r="4">
      <c r="A4" t="inlineStr">
        <is>
          <t>Revenue (invoiced)</t>
        </is>
      </c>
      <c r="B4" s="8">
        <f>SUMIFS(Raw_AR!E:E,Raw_AR!C:C,"&gt;="&amp;B$2,Raw_AR!C:C,"&lt;"&amp;EDATE(B$2,1))</f>
        <v/>
      </c>
      <c r="C4" s="8">
        <f>SUMIFS(Raw_AR!E:E,Raw_AR!C:C,"&gt;="&amp;C$2,Raw_AR!C:C,"&lt;"&amp;EDATE(C$2,1))</f>
        <v/>
      </c>
      <c r="D4" s="8">
        <f>SUMIFS(Raw_AR!E:E,Raw_AR!C:C,"&gt;="&amp;D$2,Raw_AR!C:C,"&lt;"&amp;EDATE(D$2,1))</f>
        <v/>
      </c>
      <c r="E4" s="8">
        <f>SUMIFS(Raw_AR!E:E,Raw_AR!C:C,"&gt;="&amp;E$2,Raw_AR!C:C,"&lt;"&amp;EDATE(E$2,1))</f>
        <v/>
      </c>
      <c r="F4" s="8">
        <f>SUMIFS(Raw_AR!E:E,Raw_AR!C:C,"&gt;="&amp;F$2,Raw_AR!C:C,"&lt;"&amp;EDATE(F$2,1))</f>
        <v/>
      </c>
      <c r="G4" s="8">
        <f>SUMIFS(Raw_AR!E:E,Raw_AR!C:C,"&gt;="&amp;G$2,Raw_AR!C:C,"&lt;"&amp;EDATE(G$2,1))</f>
        <v/>
      </c>
      <c r="H4" s="8">
        <f>SUM(B4:G4)</f>
        <v/>
      </c>
    </row>
    <row r="5">
      <c r="A5" t="inlineStr">
        <is>
          <t>Purchases</t>
        </is>
      </c>
      <c r="B5" s="8">
        <f>SUMIFS(Raw_AP!E:E,Raw_AP!I:I,"Purchases",Raw_AP!C:C,"&gt;="&amp;B$2,Raw_AP!C:C,"&lt;"&amp;EDATE(B$2,1))</f>
        <v/>
      </c>
      <c r="C5" s="8">
        <f>SUMIFS(Raw_AP!E:E,Raw_AP!I:I,"Purchases",Raw_AP!C:C,"&gt;="&amp;C$2,Raw_AP!C:C,"&lt;"&amp;EDATE(C$2,1))</f>
        <v/>
      </c>
      <c r="D5" s="8">
        <f>SUMIFS(Raw_AP!E:E,Raw_AP!I:I,"Purchases",Raw_AP!C:C,"&gt;="&amp;D$2,Raw_AP!C:C,"&lt;"&amp;EDATE(D$2,1))</f>
        <v/>
      </c>
      <c r="E5" s="8">
        <f>SUMIFS(Raw_AP!E:E,Raw_AP!I:I,"Purchases",Raw_AP!C:C,"&gt;="&amp;E$2,Raw_AP!C:C,"&lt;"&amp;EDATE(E$2,1))</f>
        <v/>
      </c>
      <c r="F5" s="8">
        <f>SUMIFS(Raw_AP!E:E,Raw_AP!I:I,"Purchases",Raw_AP!C:C,"&gt;="&amp;F$2,Raw_AP!C:C,"&lt;"&amp;EDATE(F$2,1))</f>
        <v/>
      </c>
      <c r="G5" s="8">
        <f>SUMIFS(Raw_AP!E:E,Raw_AP!I:I,"Purchases",Raw_AP!C:C,"&gt;="&amp;G$2,Raw_AP!C:C,"&lt;"&amp;EDATE(G$2,1))</f>
        <v/>
      </c>
      <c r="H5" s="8">
        <f>SUM(B5:G5)</f>
        <v/>
      </c>
    </row>
    <row r="6">
      <c r="A6" s="5" t="inlineStr">
        <is>
          <t>Gross Profit</t>
        </is>
      </c>
      <c r="B6" s="9">
        <f>B4-B5</f>
        <v/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  <c r="G6" s="9">
        <f>G4-G5</f>
        <v/>
      </c>
      <c r="H6" s="9">
        <f>H4-H5</f>
        <v/>
      </c>
    </row>
    <row r="7">
      <c r="A7" t="inlineStr">
        <is>
          <t>Payroll</t>
        </is>
      </c>
      <c r="B7" s="8">
        <f>SUMIFS(Payroll!G:G,Payroll!D:D,"&gt;="&amp;B$2,Payroll!D:D,"&lt;"&amp;EDATE(B$2,1))</f>
        <v/>
      </c>
      <c r="C7" s="8">
        <f>SUMIFS(Payroll!G:G,Payroll!D:D,"&gt;="&amp;C$2,Payroll!D:D,"&lt;"&amp;EDATE(C$2,1))</f>
        <v/>
      </c>
      <c r="D7" s="8">
        <f>SUMIFS(Payroll!G:G,Payroll!D:D,"&gt;="&amp;D$2,Payroll!D:D,"&lt;"&amp;EDATE(D$2,1))</f>
        <v/>
      </c>
      <c r="E7" s="8">
        <f>SUMIFS(Payroll!G:G,Payroll!D:D,"&gt;="&amp;E$2,Payroll!D:D,"&lt;"&amp;EDATE(E$2,1))</f>
        <v/>
      </c>
      <c r="F7" s="8">
        <f>SUMIFS(Payroll!G:G,Payroll!D:D,"&gt;="&amp;F$2,Payroll!D:D,"&lt;"&amp;EDATE(F$2,1))</f>
        <v/>
      </c>
      <c r="G7" s="8">
        <f>SUMIFS(Payroll!G:G,Payroll!D:D,"&gt;="&amp;G$2,Payroll!D:D,"&lt;"&amp;EDATE(G$2,1))</f>
        <v/>
      </c>
      <c r="H7" s="8">
        <f>SUM(B7:G7)</f>
        <v/>
      </c>
    </row>
    <row r="8">
      <c r="A8" t="inlineStr">
        <is>
          <t>Other operating expenses</t>
        </is>
      </c>
      <c r="B8" s="8">
        <f>SUMIFS(Raw_AP!E:E,Raw_AP!I:I,"&lt;&gt;"&amp;"Purchases",Raw_AP!C:C,"&gt;="&amp;B$2,Raw_AP!C:C,"&lt;"&amp;EDATE(B$2,1))</f>
        <v/>
      </c>
      <c r="C8" s="8">
        <f>SUMIFS(Raw_AP!E:E,Raw_AP!I:I,"&lt;&gt;"&amp;"Purchases",Raw_AP!C:C,"&gt;="&amp;C$2,Raw_AP!C:C,"&lt;"&amp;EDATE(C$2,1))</f>
        <v/>
      </c>
      <c r="D8" s="8">
        <f>SUMIFS(Raw_AP!E:E,Raw_AP!I:I,"&lt;&gt;"&amp;"Purchases",Raw_AP!C:C,"&gt;="&amp;D$2,Raw_AP!C:C,"&lt;"&amp;EDATE(D$2,1))</f>
        <v/>
      </c>
      <c r="E8" s="8">
        <f>SUMIFS(Raw_AP!E:E,Raw_AP!I:I,"&lt;&gt;"&amp;"Purchases",Raw_AP!C:C,"&gt;="&amp;E$2,Raw_AP!C:C,"&lt;"&amp;EDATE(E$2,1))</f>
        <v/>
      </c>
      <c r="F8" s="8">
        <f>SUMIFS(Raw_AP!E:E,Raw_AP!I:I,"&lt;&gt;"&amp;"Purchases",Raw_AP!C:C,"&gt;="&amp;F$2,Raw_AP!C:C,"&lt;"&amp;EDATE(F$2,1))</f>
        <v/>
      </c>
      <c r="G8" s="8">
        <f>SUMIFS(Raw_AP!E:E,Raw_AP!I:I,"&lt;&gt;"&amp;"Purchases",Raw_AP!C:C,"&gt;="&amp;G$2,Raw_AP!C:C,"&lt;"&amp;EDATE(G$2,1))</f>
        <v/>
      </c>
      <c r="H8" s="8">
        <f>SUM(B8:G8)</f>
        <v/>
      </c>
    </row>
    <row r="9">
      <c r="A9" s="5" t="inlineStr">
        <is>
          <t>Total operating expenses</t>
        </is>
      </c>
      <c r="B9" s="9">
        <f>B7+B8</f>
        <v/>
      </c>
      <c r="C9" s="9">
        <f>C7+C8</f>
        <v/>
      </c>
      <c r="D9" s="9">
        <f>D7+D8</f>
        <v/>
      </c>
      <c r="E9" s="9">
        <f>E7+E8</f>
        <v/>
      </c>
      <c r="F9" s="9">
        <f>F7+F8</f>
        <v/>
      </c>
      <c r="G9" s="9">
        <f>G7+G8</f>
        <v/>
      </c>
      <c r="H9" s="9">
        <f>H7+H8</f>
        <v/>
      </c>
    </row>
    <row r="10">
      <c r="A10" s="5" t="inlineStr">
        <is>
          <t>NET INCOME</t>
        </is>
      </c>
      <c r="B10" s="9">
        <f>B6-B9</f>
        <v/>
      </c>
      <c r="C10" s="9">
        <f>C6-C9</f>
        <v/>
      </c>
      <c r="D10" s="9">
        <f>D6-D9</f>
        <v/>
      </c>
      <c r="E10" s="9">
        <f>E6-E9</f>
        <v/>
      </c>
      <c r="F10" s="9">
        <f>F6-F9</f>
        <v/>
      </c>
      <c r="G10" s="9">
        <f>G6-G9</f>
        <v/>
      </c>
      <c r="H10" s="9">
        <f>H6-H9</f>
        <v/>
      </c>
    </row>
    <row r="11">
      <c r="A11" s="5" t="inlineStr">
        <is>
          <t>Total expenses (charts)</t>
        </is>
      </c>
      <c r="B11" s="9">
        <f>B5+B9</f>
        <v/>
      </c>
      <c r="C11" s="9">
        <f>C5+C9</f>
        <v/>
      </c>
      <c r="D11" s="9">
        <f>D5+D9</f>
        <v/>
      </c>
      <c r="E11" s="9">
        <f>E5+E9</f>
        <v/>
      </c>
      <c r="F11" s="9">
        <f>F5+F9</f>
        <v/>
      </c>
      <c r="G11" s="9">
        <f>G5+G9</f>
        <v/>
      </c>
      <c r="H11" s="9">
        <f>H5+H9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hidden="1" width="13" customWidth="1" min="5" max="5"/>
    <col width="14" customWidth="1" min="7" max="7"/>
    <col width="16" customWidth="1" min="8" max="8"/>
  </cols>
  <sheetData>
    <row r="1">
      <c r="A1" s="10" t="inlineStr">
        <is>
          <t>AccountingPulse - Rajesh Kumar &amp; Sons (INR)</t>
        </is>
      </c>
      <c r="E1" s="2" t="n">
        <v>46113</v>
      </c>
    </row>
    <row r="2">
      <c r="A2" s="11" t="inlineStr">
        <is>
          <t>Apr-Sep 2026  |  All figures are live formulas - refresh = append rows + rerun generate.py</t>
        </is>
      </c>
      <c r="E2" s="2" t="n">
        <v>46296</v>
      </c>
    </row>
    <row r="3">
      <c r="A3" t="inlineStr">
        <is>
          <t>As-of date</t>
        </is>
      </c>
      <c r="B3" s="12" t="n">
        <v>46295</v>
      </c>
    </row>
    <row r="4">
      <c r="A4" t="inlineStr">
        <is>
          <t>Opening book cash</t>
        </is>
      </c>
      <c r="B4" s="3" t="n">
        <v>500000</v>
      </c>
    </row>
    <row r="6">
      <c r="A6" s="13" t="inlineStr">
        <is>
          <t>Key figures</t>
        </is>
      </c>
      <c r="G6" t="inlineStr">
        <is>
          <t>Department</t>
        </is>
      </c>
      <c r="H6" t="inlineStr">
        <is>
          <t>Payroll total</t>
        </is>
      </c>
    </row>
    <row r="7">
      <c r="A7" s="5" t="inlineStr">
        <is>
          <t>AP Outstanding</t>
        </is>
      </c>
      <c r="B7" s="14">
        <f>'AP_Aging'!B8</f>
        <v/>
      </c>
      <c r="G7" t="inlineStr">
        <is>
          <t>Office</t>
        </is>
      </c>
      <c r="H7" s="3">
        <f>SUMIFS(Payroll!G:G,Payroll!C:C,G7)</f>
        <v/>
      </c>
    </row>
    <row r="8">
      <c r="A8" s="5" t="inlineStr">
        <is>
          <t>AR Outstanding</t>
        </is>
      </c>
      <c r="B8" s="14">
        <f>'AR_Aging'!B8</f>
        <v/>
      </c>
      <c r="G8" t="inlineStr">
        <is>
          <t>Production</t>
        </is>
      </c>
      <c r="H8" s="3">
        <f>SUMIFS(Payroll!G:G,Payroll!C:C,G8)</f>
        <v/>
      </c>
    </row>
    <row r="9">
      <c r="A9" s="5" t="inlineStr">
        <is>
          <t>Adjusted bank balance</t>
        </is>
      </c>
      <c r="B9" s="14">
        <f>'Bank_Rec'!B6</f>
        <v/>
      </c>
      <c r="G9" t="inlineStr">
        <is>
          <t>Sales</t>
        </is>
      </c>
      <c r="H9" s="3">
        <f>SUMIFS(Payroll!G:G,Payroll!C:C,G9)</f>
        <v/>
      </c>
    </row>
    <row r="10">
      <c r="A10" s="5" t="inlineStr">
        <is>
          <t>Bank-book difference</t>
        </is>
      </c>
      <c r="B10" s="14">
        <f>'Bank_Rec'!B13</f>
        <v/>
      </c>
    </row>
    <row r="11">
      <c r="A11" s="5" t="inlineStr">
        <is>
          <t>Reconciliation status</t>
        </is>
      </c>
      <c r="B11" s="15">
        <f>'Bank_Rec'!B14</f>
        <v/>
      </c>
    </row>
    <row r="12">
      <c r="A12" s="5" t="inlineStr">
        <is>
          <t>Monthly payroll run-rate</t>
        </is>
      </c>
      <c r="B12" s="14">
        <f>SUM(Payroll!G:G)/6</f>
        <v/>
      </c>
    </row>
    <row r="13">
      <c r="A13" s="5" t="inlineStr">
        <is>
          <t>Net income (6 mo)</t>
        </is>
      </c>
      <c r="B13" s="14">
        <f>'P&amp;L'!H10</f>
        <v/>
      </c>
    </row>
    <row r="14">
      <c r="A14" s="5" t="inlineStr">
        <is>
          <t>AR overdue 90+</t>
        </is>
      </c>
      <c r="B14" s="14">
        <f>'AR_Aging'!B7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2026-10-11T02:36:58+00:00Z</dcterms:created>
  <dcterms:modified xmlns:dcterms="http://purl.org/dc/terms/" xmlns:xsi="http://www.w3.org/2001/XMLSchema-instance" xsi:type="dcterms:W3CDTF">2026-10-11T02:36:58+00:00Z</dcterms:modified>
</cp:coreProperties>
</file>